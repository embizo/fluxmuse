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icing" sheetId="3" state="visible" r:id="rId3"/>
    <sheet xmlns:r="http://schemas.openxmlformats.org/officeDocument/2006/relationships" name="Revenue_Build" sheetId="4" state="visible" r:id="rId4"/>
    <sheet xmlns:r="http://schemas.openxmlformats.org/officeDocument/2006/relationships" name="Costs" sheetId="5" state="visible" r:id="rId5"/>
    <sheet xmlns:r="http://schemas.openxmlformats.org/officeDocument/2006/relationships" name="P&amp;L" sheetId="6" state="visible" r:id="rId6"/>
    <sheet xmlns:r="http://schemas.openxmlformats.org/officeDocument/2006/relationships" name="Annual_Summary" sheetId="7" state="visible" r:id="rId7"/>
    <sheet xmlns:r="http://schemas.openxmlformats.org/officeDocument/2006/relationships" name="Cash_Flow" sheetId="8" state="visible" r:id="rId8"/>
    <sheet xmlns:r="http://schemas.openxmlformats.org/officeDocument/2006/relationships" name="Unit_Economics" sheetId="9" state="visible" r:id="rId9"/>
    <sheet xmlns:r="http://schemas.openxmlformats.org/officeDocument/2006/relationships" name="Use_of_Fund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Market_Sizin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0.0%;(0.0%);&quot;-&quot;"/>
    <numFmt numFmtId="165" formatCode="&quot;R&quot;#,##0;(&quot;R&quot;#,##0);&quot;-&quot;"/>
    <numFmt numFmtId="166" formatCode="0.00&quot;x&quot;"/>
    <numFmt numFmtId="167" formatCode="0.00%;(0.00%);&quot;-&quot;"/>
    <numFmt numFmtId="168" formatCode="#,##0.0"/>
    <numFmt numFmtId="169" formatCode="#,##0;(#,##0);&quot;-&quot;"/>
    <numFmt numFmtId="170" formatCode="&quot;US$&quot;#,##0;(&quot;US$&quot;#,##0);&quot;-&quot;"/>
    <numFmt numFmtId="171" formatCode="&quot;₦&quot;#,##0"/>
    <numFmt numFmtId="172" formatCode="&quot;KSh &quot;#,##0"/>
    <numFmt numFmtId="173" formatCode="&quot;GH₵ &quot;#,##0"/>
    <numFmt numFmtId="174" formatCode="0.000&quot;x&quot;"/>
    <numFmt numFmtId="175" formatCode="#,##0.0;(#,##0.0);&quot;-&quot;"/>
    <numFmt numFmtId="176" formatCode="#,##0.00;(#,##0.00);&quot;-&quot;"/>
    <numFmt numFmtId="177" formatCode="0.0&quot;x&quot;;(0.0&quot;x&quot;);&quot;-&quot;"/>
  </numFmts>
  <fonts count="11">
    <font>
      <name val="Calibri"/>
      <family val="2"/>
      <color theme="1"/>
      <sz val="11"/>
      <scheme val="minor"/>
    </font>
    <font>
      <name val="Arial"/>
      <b val="1"/>
      <color rgb="000F1419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C62828"/>
      <sz val="10"/>
    </font>
    <font>
      <name val="Arial"/>
      <b val="1"/>
      <color rgb="000F1419"/>
      <sz val="10"/>
    </font>
    <font>
      <name val="Arial"/>
      <b val="1"/>
      <color rgb="00FF6A00"/>
      <sz val="22"/>
    </font>
    <font>
      <name val="Arial"/>
      <color rgb="0037474F"/>
      <sz val="11"/>
    </font>
  </fonts>
  <fills count="7">
    <fill>
      <patternFill/>
    </fill>
    <fill>
      <patternFill patternType="gray125"/>
    </fill>
    <fill>
      <patternFill patternType="solid">
        <fgColor rgb="00FF6A00"/>
      </patternFill>
    </fill>
    <fill>
      <patternFill patternType="solid">
        <fgColor rgb="00FFF9DB"/>
      </patternFill>
    </fill>
    <fill>
      <patternFill patternType="solid">
        <fgColor rgb="0037474F"/>
      </patternFill>
    </fill>
    <fill>
      <patternFill patternType="solid">
        <fgColor rgb="00FFF4EB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6" fillId="0" borderId="0" pivotButton="0" quotePrefix="0" xfId="0"/>
    <xf numFmtId="164" fontId="6" fillId="0" borderId="0" pivotButton="0" quotePrefix="0" xfId="0"/>
    <xf numFmtId="169" fontId="6" fillId="0" borderId="0" pivotButton="0" quotePrefix="0" xfId="0"/>
    <xf numFmtId="165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49" fontId="5" fillId="3" borderId="0" pivotButton="0" quotePrefix="0" xfId="0"/>
    <xf numFmtId="0" fontId="2" fillId="6" borderId="0" pivotButton="0" quotePrefix="0" xfId="0"/>
    <xf numFmtId="0" fontId="1" fillId="0" borderId="0" pivotButton="0" quotePrefix="0" xfId="0"/>
    <xf numFmtId="0" fontId="2" fillId="0" borderId="0" pivotButton="0" quotePrefix="0" xfId="0"/>
    <xf numFmtId="1" fontId="6" fillId="0" borderId="0" pivotButton="0" quotePrefix="0" xfId="0"/>
    <xf numFmtId="0" fontId="3" fillId="4" borderId="0" pivotButton="0" quotePrefix="0" xfId="0"/>
    <xf numFmtId="4" fontId="5" fillId="3" borderId="0" pivotButton="0" quotePrefix="0" xfId="0"/>
    <xf numFmtId="164" fontId="5" fillId="3" borderId="0" pivotButton="0" quotePrefix="0" xfId="0"/>
    <xf numFmtId="165" fontId="5" fillId="3" borderId="0" pivotButton="0" quotePrefix="0" xfId="0"/>
    <xf numFmtId="1" fontId="5" fillId="3" borderId="0" pivotButton="0" quotePrefix="0" xfId="0"/>
    <xf numFmtId="166" fontId="5" fillId="3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7" fontId="5" fillId="3" borderId="0" pivotButton="0" quotePrefix="0" xfId="0"/>
    <xf numFmtId="168" fontId="5" fillId="3" borderId="0" pivotButton="0" quotePrefix="0" xfId="0"/>
    <xf numFmtId="0" fontId="3" fillId="2" borderId="0" applyAlignment="1" pivotButton="0" quotePrefix="0" xfId="0">
      <alignment vertical="center" wrapText="1"/>
    </xf>
    <xf numFmtId="170" fontId="6" fillId="0" borderId="0" pivotButton="0" quotePrefix="0" xfId="0"/>
    <xf numFmtId="169" fontId="5" fillId="3" borderId="0" pivotButton="0" quotePrefix="0" xfId="0"/>
    <xf numFmtId="171" fontId="5" fillId="3" borderId="0" pivotButton="0" quotePrefix="0" xfId="0"/>
    <xf numFmtId="172" fontId="5" fillId="3" borderId="0" pivotButton="0" quotePrefix="0" xfId="0"/>
    <xf numFmtId="173" fontId="5" fillId="3" borderId="0" pivotButton="0" quotePrefix="0" xfId="0"/>
    <xf numFmtId="170" fontId="5" fillId="3" borderId="0" pivotButton="0" quotePrefix="0" xfId="0"/>
    <xf numFmtId="174" fontId="6" fillId="0" borderId="0" pivotButton="0" quotePrefix="0" xfId="0"/>
    <xf numFmtId="1" fontId="3" fillId="2" borderId="0" applyAlignment="1" pivotButton="0" quotePrefix="0" xfId="0">
      <alignment horizontal="center"/>
    </xf>
    <xf numFmtId="49" fontId="3" fillId="2" borderId="0" applyAlignment="1" pivotButton="0" quotePrefix="0" xfId="0">
      <alignment horizontal="center"/>
    </xf>
    <xf numFmtId="1" fontId="6" fillId="0" borderId="0" applyAlignment="1" pivotButton="0" quotePrefix="0" xfId="0">
      <alignment horizontal="center"/>
    </xf>
    <xf numFmtId="169" fontId="4" fillId="5" borderId="0" pivotButton="0" quotePrefix="0" xfId="0"/>
    <xf numFmtId="175" fontId="6" fillId="0" borderId="0" pivotButton="0" quotePrefix="0" xfId="0"/>
    <xf numFmtId="165" fontId="4" fillId="5" borderId="0" pivotButton="0" quotePrefix="0" xfId="0"/>
    <xf numFmtId="176" fontId="6" fillId="0" borderId="0" pivotButton="0" quotePrefix="0" xfId="0"/>
    <xf numFmtId="175" fontId="4" fillId="5" borderId="0" pivotButton="0" quotePrefix="0" xfId="0"/>
    <xf numFmtId="4" fontId="6" fillId="0" borderId="0" pivotButton="0" quotePrefix="0" xfId="0"/>
    <xf numFmtId="49" fontId="2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right"/>
    </xf>
    <xf numFmtId="165" fontId="4" fillId="5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9" fontId="6" fillId="0" borderId="0" applyAlignment="1" pivotButton="0" quotePrefix="0" xfId="0">
      <alignment horizontal="right"/>
    </xf>
    <xf numFmtId="169" fontId="4" fillId="5" borderId="0" applyAlignment="1" pivotButton="0" quotePrefix="0" xfId="0">
      <alignment horizontal="right"/>
    </xf>
    <xf numFmtId="49" fontId="4" fillId="5" borderId="0" applyAlignment="1" pivotButton="0" quotePrefix="0" xfId="0">
      <alignment horizontal="right"/>
    </xf>
    <xf numFmtId="175" fontId="4" fillId="5" borderId="0" applyAlignment="1" pivotButton="0" quotePrefix="0" xfId="0">
      <alignment horizontal="right"/>
    </xf>
    <xf numFmtId="177" fontId="6" fillId="0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7" fontId="4" fillId="5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0" fontId="4" fillId="5" borderId="0" pivotButton="0" quotePrefix="0" xfId="0"/>
    <xf numFmtId="164" fontId="4" fillId="5" borderId="0" pivotButton="0" quotePrefix="0" xfId="0"/>
    <xf numFmtId="170" fontId="4" fillId="5" borderId="0" pivotButton="0" quotePrefix="0" xfId="0"/>
    <xf numFmtId="0" fontId="3" fillId="4" borderId="0" applyAlignment="1" pivotButton="0" quotePrefix="0" xfId="0">
      <alignment horizontal="left" wrapText="1"/>
    </xf>
    <xf numFmtId="0" fontId="3" fillId="4" borderId="0" applyAlignment="1" pivotButton="0" quotePrefix="0" xfId="0">
      <alignment horizontal="center" wrapText="1"/>
    </xf>
    <xf numFmtId="165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9" fontId="2" fillId="6" borderId="0" applyAlignment="1" pivotButton="0" quotePrefix="0" xfId="0">
      <alignment horizontal="right"/>
    </xf>
    <xf numFmtId="49" fontId="2" fillId="6" borderId="0" applyAlignment="1" pivotButton="0" quotePrefix="0" xfId="0">
      <alignment horizontal="right"/>
    </xf>
    <xf numFmtId="175" fontId="2" fillId="6" borderId="0" applyAlignment="1" pivotButton="0" quotePrefix="0" xfId="0">
      <alignment horizontal="right"/>
    </xf>
    <xf numFmtId="166" fontId="3" fillId="4" borderId="0" applyAlignment="1" pivotButton="0" quotePrefix="0" xfId="0">
      <alignment horizontal="center"/>
    </xf>
    <xf numFmtId="166" fontId="2" fillId="0" borderId="0" pivotButton="0" quotePrefix="0" xfId="0"/>
    <xf numFmtId="165" fontId="2" fillId="6" borderId="0" pivotButton="0" quotePrefix="0" xfId="0"/>
    <xf numFmtId="165" fontId="8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6A00"/>
    <outlinePr summaryBelow="1" summaryRight="1"/>
    <pageSetUpPr/>
  </sheetPr>
  <dimension ref="A1:G6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FluxMuse Financial Model</t>
        </is>
      </c>
    </row>
    <row r="2">
      <c r="A2" s="2" t="inlineStr">
        <is>
          <t>AI marketing team &amp; WhatsApp commerce for African SMBs | Fluxmuse Pty Ltd</t>
        </is>
      </c>
    </row>
    <row r="3"/>
    <row r="4">
      <c r="A4" s="3" t="inlineStr">
        <is>
          <t>Version</t>
        </is>
      </c>
      <c r="B4" s="4" t="inlineStr">
        <is>
          <t>v2 (R25M seed, profitable on the seed alone)</t>
        </is>
      </c>
    </row>
    <row r="5">
      <c r="A5" s="3" t="inlineStr">
        <is>
          <t>Model date</t>
        </is>
      </c>
      <c r="B5" s="4" t="inlineStr">
        <is>
          <t>2026-09-11</t>
        </is>
      </c>
    </row>
    <row r="6">
      <c r="A6" s="3" t="inlineStr">
        <is>
          <t>Horizon</t>
        </is>
      </c>
      <c r="B6" s="4" t="inlineStr">
        <is>
          <t>60 months: Oct 2026 - Sep 2031 (FY1-FY5, fiscal year Oct-Sep). Month 1 = Oct 2026</t>
        </is>
      </c>
    </row>
    <row r="7">
      <c r="A7" s="3" t="inlineStr">
        <is>
          <t>Currency</t>
        </is>
      </c>
      <c r="B7" s="4" t="inlineStr">
        <is>
          <t>ZAR (R); US$ at R18.50 = US$1 (input on Assumptions)</t>
        </is>
      </c>
    </row>
    <row r="8">
      <c r="A8" s="3" t="inlineStr">
        <is>
          <t>Active scenario</t>
        </is>
      </c>
      <c r="B8" s="3">
        <f>Assumptions!$B$6</f>
        <v/>
      </c>
    </row>
    <row r="9">
      <c r="A9" s="3" t="inlineStr">
        <is>
          <t>Disclaimer</t>
        </is>
      </c>
      <c r="B9" s="5" t="inlineStr">
        <is>
          <t>Forward-looking projections; assumptions to be validated with pilot data. Red-flagged inputs need founder confirmation.</t>
        </is>
      </c>
    </row>
    <row r="10"/>
    <row r="11">
      <c r="A11" s="6" t="inlineStr">
        <is>
          <t>Headline (live formulas, selected scenario)</t>
        </is>
      </c>
      <c r="B11" s="6" t="n"/>
      <c r="C11" s="7" t="inlineStr">
        <is>
          <t>FY1</t>
        </is>
      </c>
      <c r="D11" s="7" t="inlineStr">
        <is>
          <t>FY2</t>
        </is>
      </c>
      <c r="E11" s="7" t="inlineStr">
        <is>
          <t>FY3</t>
        </is>
      </c>
      <c r="F11" s="7" t="inlineStr">
        <is>
          <t>FY4</t>
        </is>
      </c>
      <c r="G11" s="7" t="inlineStr">
        <is>
          <t>FY5</t>
        </is>
      </c>
    </row>
    <row r="12">
      <c r="A12" s="4" t="inlineStr">
        <is>
          <t>Total revenue (net of launch discounts)</t>
        </is>
      </c>
      <c r="C12" s="8">
        <f>Annual_Summary!$C$17</f>
        <v/>
      </c>
      <c r="D12" s="8">
        <f>Annual_Summary!$D$17</f>
        <v/>
      </c>
      <c r="E12" s="8">
        <f>Annual_Summary!$E$17</f>
        <v/>
      </c>
      <c r="F12" s="8">
        <f>Annual_Summary!$F$17</f>
        <v/>
      </c>
      <c r="G12" s="8">
        <f>Annual_Summary!$G$17</f>
        <v/>
      </c>
    </row>
    <row r="13">
      <c r="A13" s="4" t="inlineStr">
        <is>
          <t>EBITDA</t>
        </is>
      </c>
      <c r="C13" s="8">
        <f>Annual_Summary!$C$56</f>
        <v/>
      </c>
      <c r="D13" s="8">
        <f>Annual_Summary!$D$56</f>
        <v/>
      </c>
      <c r="E13" s="8">
        <f>Annual_Summary!$E$56</f>
        <v/>
      </c>
      <c r="F13" s="8">
        <f>Annual_Summary!$F$56</f>
        <v/>
      </c>
      <c r="G13" s="8">
        <f>Annual_Summary!$G$56</f>
        <v/>
      </c>
    </row>
    <row r="14">
      <c r="A14" s="4" t="inlineStr">
        <is>
          <t>EBITDA margin</t>
        </is>
      </c>
      <c r="C14" s="9">
        <f>Annual_Summary!$C$57</f>
        <v/>
      </c>
      <c r="D14" s="9">
        <f>Annual_Summary!$D$57</f>
        <v/>
      </c>
      <c r="E14" s="9">
        <f>Annual_Summary!$E$57</f>
        <v/>
      </c>
      <c r="F14" s="9">
        <f>Annual_Summary!$F$57</f>
        <v/>
      </c>
      <c r="G14" s="9">
        <f>Annual_Summary!$G$57</f>
        <v/>
      </c>
    </row>
    <row r="15">
      <c r="A15" s="4" t="inlineStr">
        <is>
          <t>Paying workspaces (end of FY)</t>
        </is>
      </c>
      <c r="C15" s="10">
        <f>Annual_Summary!$C$88</f>
        <v/>
      </c>
      <c r="D15" s="10">
        <f>Annual_Summary!$D$88</f>
        <v/>
      </c>
      <c r="E15" s="10">
        <f>Annual_Summary!$E$88</f>
        <v/>
      </c>
      <c r="F15" s="10">
        <f>Annual_Summary!$F$88</f>
        <v/>
      </c>
      <c r="G15" s="10">
        <f>Annual_Summary!$G$88</f>
        <v/>
      </c>
    </row>
    <row r="16">
      <c r="A16" s="4" t="inlineStr">
        <is>
          <t>Subscription ARR</t>
        </is>
      </c>
      <c r="C16" s="8">
        <f>Annual_Summary!$C$100</f>
        <v/>
      </c>
      <c r="D16" s="8">
        <f>Annual_Summary!$D$100</f>
        <v/>
      </c>
      <c r="E16" s="8">
        <f>Annual_Summary!$E$100</f>
        <v/>
      </c>
      <c r="F16" s="8">
        <f>Annual_Summary!$F$100</f>
        <v/>
      </c>
      <c r="G16" s="8">
        <f>Annual_Summary!$G$100</f>
        <v/>
      </c>
    </row>
    <row r="17">
      <c r="A17" s="4" t="inlineStr">
        <is>
          <t>Closing cash</t>
        </is>
      </c>
      <c r="C17" s="8">
        <f>Annual_Summary!$C$65</f>
        <v/>
      </c>
      <c r="D17" s="8">
        <f>Annual_Summary!$D$65</f>
        <v/>
      </c>
      <c r="E17" s="8">
        <f>Annual_Summary!$E$65</f>
        <v/>
      </c>
      <c r="F17" s="8">
        <f>Annual_Summary!$F$65</f>
        <v/>
      </c>
      <c r="G17" s="8">
        <f>Annual_Summary!$G$65</f>
        <v/>
      </c>
    </row>
    <row r="18">
      <c r="A18" s="4" t="inlineStr">
        <is>
          <t>Headcount (end of FY)</t>
        </is>
      </c>
      <c r="C18" s="10">
        <f>Annual_Summary!$C$106</f>
        <v/>
      </c>
      <c r="D18" s="10">
        <f>Annual_Summary!$D$106</f>
        <v/>
      </c>
      <c r="E18" s="10">
        <f>Annual_Summary!$E$106</f>
        <v/>
      </c>
      <c r="F18" s="10">
        <f>Annual_Summary!$F$106</f>
        <v/>
      </c>
      <c r="G18" s="10">
        <f>Annual_Summary!$G$106</f>
        <v/>
      </c>
    </row>
    <row r="19">
      <c r="A19" s="4" t="inlineStr">
        <is>
          <t>Founding Member discount cost</t>
        </is>
      </c>
      <c r="C19" s="8">
        <f>Annual_Summary!$C$22</f>
        <v/>
      </c>
      <c r="D19" s="8">
        <f>Annual_Summary!$D$22</f>
        <v/>
      </c>
      <c r="E19" s="8">
        <f>Annual_Summary!$E$22</f>
        <v/>
      </c>
      <c r="F19" s="8">
        <f>Annual_Summary!$F$22</f>
        <v/>
      </c>
      <c r="G19" s="8">
        <f>Annual_Summary!$G$22</f>
        <v/>
      </c>
    </row>
    <row r="20"/>
    <row r="21">
      <c r="A21" s="6" t="inlineStr">
        <is>
          <t>Constraint check &amp; key outputs (live formulas, selected scenario)</t>
        </is>
      </c>
      <c r="B21" s="6" t="n"/>
      <c r="C21" s="6" t="n"/>
      <c r="D21" s="6" t="n"/>
      <c r="E21" s="6" t="n"/>
      <c r="F21" s="6" t="n"/>
      <c r="G21" s="6" t="n"/>
    </row>
    <row r="22">
      <c r="A22" s="4" t="inlineStr">
        <is>
          <t>Profitable on the R25M seed alone?</t>
        </is>
      </c>
      <c r="C22" s="3">
        <f>Cash_Flow!$B$68</f>
        <v/>
      </c>
    </row>
    <row r="23">
      <c r="A23" s="4" t="inlineStr">
        <is>
          <t>EBITDA break-even (first month)</t>
        </is>
      </c>
      <c r="C23" s="3">
        <f>Cash_Flow!$B$46</f>
        <v/>
      </c>
    </row>
    <row r="24">
      <c r="A24" s="4" t="inlineStr">
        <is>
          <t>EBITDA break-even (sustained)</t>
        </is>
      </c>
      <c r="C24" s="3">
        <f>Cash_Flow!$B$48</f>
        <v/>
      </c>
    </row>
    <row r="25">
      <c r="A25" s="4" t="inlineStr">
        <is>
          <t>Operating cash flow positive (first month)</t>
        </is>
      </c>
      <c r="C25" s="3">
        <f>Cash_Flow!$B$50</f>
        <v/>
      </c>
    </row>
    <row r="26">
      <c r="A26" s="4" t="inlineStr">
        <is>
          <t>Operating cash flow positive (sustained)</t>
        </is>
      </c>
      <c r="C26" s="3">
        <f>Cash_Flow!$B$52</f>
        <v/>
      </c>
    </row>
    <row r="27">
      <c r="A27" s="4" t="inlineStr">
        <is>
          <t>Minimum closing cash from the seed month on</t>
        </is>
      </c>
      <c r="C27" s="11">
        <f>Cash_Flow!$B$56</f>
        <v/>
      </c>
    </row>
    <row r="28">
      <c r="A28" s="4" t="inlineStr">
        <is>
          <t>Month of minimum post-seed cash</t>
        </is>
      </c>
      <c r="C28" s="3">
        <f>Cash_Flow!$B$58</f>
        <v/>
      </c>
    </row>
    <row r="29">
      <c r="A29" s="4" t="inlineStr">
        <is>
          <t>Minimum-cash buffer</t>
        </is>
      </c>
      <c r="C29" s="11">
        <f>Cash_Flow!$B$63</f>
        <v/>
      </c>
    </row>
    <row r="30">
      <c r="A30" s="4" t="inlineStr">
        <is>
          <t>Shortfall vs buffer</t>
        </is>
      </c>
      <c r="C30" s="11">
        <f>Cash_Flow!$B$65</f>
        <v/>
      </c>
    </row>
    <row r="31">
      <c r="A31" s="4" t="inlineStr">
        <is>
          <t>Pre-seed bridge required</t>
        </is>
      </c>
      <c r="C31" s="11">
        <f>Cash_Flow!$B$62</f>
        <v/>
      </c>
    </row>
    <row r="32">
      <c r="A32" s="4" t="inlineStr">
        <is>
          <t>Nigeria launch</t>
        </is>
      </c>
      <c r="C32" s="3">
        <f>Cash_Flow!$B$77</f>
        <v/>
      </c>
    </row>
    <row r="33">
      <c r="A33" s="4" t="inlineStr">
        <is>
          <t>Kenya launch</t>
        </is>
      </c>
      <c r="C33" s="3">
        <f>Cash_Flow!$B$79</f>
        <v/>
      </c>
    </row>
    <row r="34">
      <c r="A34" s="4" t="inlineStr">
        <is>
          <t>Ghana launch</t>
        </is>
      </c>
      <c r="C34" s="3">
        <f>Cash_Flow!$B$81</f>
        <v/>
      </c>
    </row>
    <row r="35">
      <c r="A35" s="4" t="inlineStr">
        <is>
          <t>Rest of Africa (USD) launch</t>
        </is>
      </c>
      <c r="C35" s="3">
        <f>Cash_Flow!$B$83</f>
        <v/>
      </c>
    </row>
    <row r="36"/>
    <row r="37">
      <c r="A37" s="6" t="inlineStr">
        <is>
          <t>Changes from v1 (R18.5M model) and why</t>
        </is>
      </c>
      <c r="B37" s="6" t="n"/>
      <c r="C37" s="6" t="n"/>
      <c r="D37" s="6" t="n"/>
      <c r="E37" s="6" t="n"/>
      <c r="F37" s="6" t="n"/>
      <c r="G37" s="6" t="n"/>
    </row>
    <row r="38" ht="44" customHeight="1">
      <c r="A38" s="12" t="inlineStr">
        <is>
          <t>Seed &amp; timing</t>
        </is>
      </c>
      <c r="B38" s="13" t="inlineStr">
        <is>
          <t>Seed R18.5M (Dec 2026) -&gt; R25M landing Feb 2027 (input). Lean pre-seed mode Oct 2026-Jan 2027: founders, infrastructure and pilot costs only. New output: pre-seed bridge required.</t>
        </is>
      </c>
    </row>
    <row r="39" ht="44" customHeight="1">
      <c r="A39" s="12" t="inlineStr">
        <is>
          <t>Profitability constraint</t>
        </is>
      </c>
      <c r="B39" s="13" t="inlineStr">
        <is>
          <t>R25M must reach profitability alone: no Series A in Base or Conservative (input kept at 0). Closing cash &gt;= R3.0M buffer every month from the seed month; sustained EBITDA and operating-cash-flow break-even.</t>
        </is>
      </c>
    </row>
    <row r="40" ht="44" customHeight="1">
      <c r="A40" s="12" t="inlineStr">
        <is>
          <t>Cost discipline</t>
        </is>
      </c>
      <c r="B40" s="13" t="inlineStr">
        <is>
          <t>Hires and NG/KE/GH/Rest launches gated on last month's net MRR x a scenario gate multiplier (Conservative 1.40, Base 1.00, Upside 0.80). Paid acquisition = MIN(desired, floor + % of MRR) and switched off where CAC payback &gt; 12 months. Brand budget scales with MRR. Hiring now differs by scenario.</t>
        </is>
      </c>
    </row>
    <row r="41" ht="44" customHeight="1">
      <c r="A41" s="12" t="inlineStr">
        <is>
          <t>Pilot</t>
        </is>
      </c>
      <c r="B41" s="13" t="inlineStr">
        <is>
          <t>12 Gauteng brands free in Oct-Nov 2026; 75% convert on 1 Dec 2026 at 50% off the first 2 bills (R249/R999/R2,499/R3,999). No other paying customers before the 1 Dec SA launch.</t>
        </is>
      </c>
    </row>
    <row r="42" ht="44" customHeight="1">
      <c r="A42" s="12" t="inlineStr">
        <is>
          <t>Founding Member</t>
        </is>
      </c>
      <c r="B42" s="13" t="inlineStr">
        <is>
          <t>30% off the first 2 monthly bills for sign-ups in each launch window (ZA Dec 2026-Jan 2027; NG/KE/GH first 60 days); annual plans get 2 bonus months (fee recognised over 14 months). Not on Agency. +20% sign-up uplift in windows. Option A / None as sensitivities.</t>
        </is>
      </c>
    </row>
    <row r="43" ht="44" customHeight="1">
      <c r="A43" s="12" t="inlineStr">
        <is>
          <t>Markets</t>
        </is>
      </c>
      <c r="B43" s="13" t="inlineStr">
        <is>
          <t>v1 regions removed. ZA -&gt; Nigeria, Kenya, Ghana (own rows, launch month, country lead, launch marketing, compliance) -&gt; Rest of rail-covered Africa (19 countries, USD, self-serve, no team) -&gt; Botswana &amp; Namibia (off). Gated countries = 0.</t>
        </is>
      </c>
    </row>
    <row r="44" ht="44" customHeight="1">
      <c r="A44" s="12" t="inlineStr">
        <is>
          <t>Pricing</t>
        </is>
      </c>
      <c r="B44" s="13" t="inlineStr">
        <is>
          <t>v1's 75-85% regional price index removed. Local NGN/KES/GHS and USD price points at FX parity, with depreciation vs ZAR and quarterly repricing when drift &gt; 10%. FX-shock sensitivity (ZAR 15% stronger).</t>
        </is>
      </c>
    </row>
    <row r="45" ht="44" customHeight="1">
      <c r="A45" s="12" t="inlineStr">
        <is>
          <t>Segments</t>
        </is>
      </c>
      <c r="B45" s="13" t="inlineStr">
        <is>
          <t>v1 channels (self-serve / agency / direct AE) replaced by segments: Solo (Starter -&gt; Growth), SMEs (Growth -&gt; Scale), Agencies, Enterprise inbound only. Own CAC, churn, mix and upgrade rates. Account executives removed.</t>
        </is>
      </c>
    </row>
    <row r="46" ht="44" customHeight="1">
      <c r="A46" s="12" t="inlineStr">
        <is>
          <t>Partner wholesale</t>
        </is>
      </c>
      <c r="B46" s="13" t="inlineStr">
        <is>
          <t>Agency-segment customers pay partner wholesale R5,599/mo (₦463,000 / KSh 44,999 / GH₵ 3,799 / $299). v1's 40% sub-account wholesale discount and separate client sub-account revenue removed. Referral commission not modelled (undecided).</t>
        </is>
      </c>
    </row>
    <row r="47" ht="44" customHeight="1">
      <c r="A47" s="12" t="inlineStr">
        <is>
          <t>Commerce fee</t>
        </is>
      </c>
      <c r="B47" s="13" t="inlineStr">
        <is>
          <t>0.75% commerce fee now Upside only (0% Base &amp; Conservative); flagged not in current pricing. Campaign Financing still excluded.</t>
        </is>
      </c>
    </row>
    <row r="48" ht="44" customHeight="1">
      <c r="A48" s="12" t="inlineStr">
        <is>
          <t>Use of funds</t>
        </is>
      </c>
      <c r="B48" s="13" t="inlineStr">
        <is>
          <t>R25M: 40/30/15/15, reconciled against modelled spend in the 18 and 24 months after close.</t>
        </is>
      </c>
    </row>
    <row r="49"/>
    <row r="50">
      <c r="A50" s="6" t="inlineStr">
        <is>
          <t>Sheet guide</t>
        </is>
      </c>
      <c r="B50" s="6" t="n"/>
      <c r="C50" s="6" t="n"/>
      <c r="D50" s="6" t="n"/>
      <c r="E50" s="6" t="n"/>
      <c r="F50" s="6" t="n"/>
      <c r="G50" s="6" t="n"/>
    </row>
    <row r="51">
      <c r="A51" s="3" t="inlineStr">
        <is>
          <t>Assumptions</t>
        </is>
      </c>
      <c r="B51" s="4" t="inlineStr">
        <is>
          <t>All drivers with units and sources; scenario selector (B6); lean mode, pilot, Founding Member, markets, segments; MRR-gated headcount plan.</t>
        </is>
      </c>
    </row>
    <row r="52">
      <c r="A52" s="3" t="inlineStr">
        <is>
          <t>Pricing</t>
        </is>
      </c>
      <c r="B52" s="4" t="inlineStr">
        <is>
          <t>ZAR list, NGN/KES/GHS/USD price points, partner wholesale, Founding Member &amp; pilot prices, FX depreciation &amp; repricing, ZAR-parity table.</t>
        </is>
      </c>
    </row>
    <row r="53">
      <c r="A53" s="3" t="inlineStr">
        <is>
          <t>Revenue_Build</t>
        </is>
      </c>
      <c r="B53" s="4" t="inlineStr">
        <is>
          <t>Monthly launch gates, FX value factors, trials, marketing cap &amp; payback test, cohorts by market/segment/tier, discounts, revenue.</t>
        </is>
      </c>
    </row>
    <row r="54">
      <c r="A54" s="3" t="inlineStr">
        <is>
          <t>Costs</t>
        </is>
      </c>
      <c r="B54" s="4" t="inlineStr">
        <is>
          <t>MRR-gated headcount by role, payroll, COGS (AI, hosting, WhatsApp, processing, support, CS), opex.</t>
        </is>
      </c>
    </row>
    <row r="55">
      <c r="A55" s="3" t="inlineStr">
        <is>
          <t>P&amp;L</t>
        </is>
      </c>
      <c r="B55" s="4" t="inlineStr">
        <is>
          <t>Monthly P&amp;L: gross subscriptions -&gt; discounts -&gt; net, other revenue, gross margin, opex, EBITDA, tax, net income.</t>
        </is>
      </c>
    </row>
    <row r="56">
      <c r="A56" s="3" t="inlineStr">
        <is>
          <t>Annual_Summary</t>
        </is>
      </c>
      <c r="B56" s="4" t="inlineStr">
        <is>
          <t>FY1-FY5 roll-up: revenue, discounts, margins, EBITDA, cash, customers by segment/market/tier, ARR, ARPA, headcount.</t>
        </is>
      </c>
    </row>
    <row r="57">
      <c r="A57" s="3" t="inlineStr">
        <is>
          <t>Cash_Flow</t>
        </is>
      </c>
      <c r="B57" s="4" t="inlineStr">
        <is>
          <t>Working capital, funding (seed only), cash vs R3.0M buffer, runway, break-even, bridge, launch months and the constraint check.</t>
        </is>
      </c>
    </row>
    <row r="58">
      <c r="A58" s="3" t="inlineStr">
        <is>
          <t>Unit_Economics</t>
        </is>
      </c>
      <c r="B58" s="4" t="inlineStr">
        <is>
          <t>ARPA, churn, LTV, CAC, LTV:CAC and payback by segment (tier memo); magic number, burn multiple, Rule of 40.</t>
        </is>
      </c>
    </row>
    <row r="59">
      <c r="A59" s="3" t="inlineStr">
        <is>
          <t>Use_of_Funds</t>
        </is>
      </c>
      <c r="B59" s="4" t="inlineStr">
        <is>
          <t>R25M allocation and reconciliation against modelled spend in the 18 and 24 months after close.</t>
        </is>
      </c>
    </row>
    <row r="60">
      <c r="A60" s="3" t="inlineStr">
        <is>
          <t>Sensitivity</t>
        </is>
      </c>
      <c r="B60" s="4" t="inlineStr">
        <is>
          <t>Scenario comparison, FX shock, discount options, pilot conversion, Conservative shortfall &amp; fix, churn x volume grids (build-time values).</t>
        </is>
      </c>
    </row>
    <row r="61">
      <c r="A61" s="3" t="inlineStr">
        <is>
          <t>Market_Sizing</t>
        </is>
      </c>
      <c r="B61" s="4" t="inlineStr">
        <is>
          <t>TAM / SAM / SOM (estimates) linked to modelled FY5 workspaces.</t>
        </is>
      </c>
    </row>
    <row r="62"/>
    <row r="63">
      <c r="A63" s="6" t="inlineStr">
        <is>
          <t>Colour legend</t>
        </is>
      </c>
      <c r="B63" s="6" t="n"/>
      <c r="C63" s="6" t="n"/>
      <c r="D63" s="6" t="n"/>
      <c r="E63" s="6" t="n"/>
      <c r="F63" s="6" t="n"/>
      <c r="G63" s="6" t="n"/>
    </row>
    <row r="64">
      <c r="A64" s="14" t="inlineStr">
        <is>
          <t>1,234</t>
        </is>
      </c>
      <c r="B64" s="4" t="inlineStr">
        <is>
          <t>Input: blue font on light yellow. Change these.</t>
        </is>
      </c>
    </row>
    <row r="65">
      <c r="A65" s="4">
        <f>1+1</f>
        <v/>
      </c>
      <c r="B65" s="4" t="inlineStr">
        <is>
          <t>Formula: black font. Do not overwrite.</t>
        </is>
      </c>
    </row>
    <row r="66">
      <c r="A66" s="15" t="inlineStr">
        <is>
          <t>5,678</t>
        </is>
      </c>
      <c r="B66" s="4" t="inlineStr">
        <is>
          <t>Value computed at build time by the Python mirror (Sensitivity sheet only).</t>
        </is>
      </c>
    </row>
    <row r="67">
      <c r="A67" s="5" t="inlineStr">
        <is>
          <t>[[CONFIRM]]</t>
        </is>
      </c>
      <c r="B67" s="4" t="inlineStr">
        <is>
          <t>Red source note: founder confirmation or decision needed.</t>
        </is>
      </c>
    </row>
    <row r="68"/>
    <row r="69">
      <c r="A69" s="3" t="inlineStr">
        <is>
          <t>Not in any scenario</t>
        </is>
      </c>
      <c r="B69" s="4" t="inlineStr">
        <is>
          <t>Campaign Financing (upside only). Partner referral commission (undecided). Series A (optional acceleration only; switched off).</t>
        </is>
      </c>
    </row>
  </sheetData>
  <mergeCells count="11">
    <mergeCell ref="B38:G38"/>
    <mergeCell ref="B47:G47"/>
    <mergeCell ref="B42:G42"/>
    <mergeCell ref="B46:G46"/>
    <mergeCell ref="B45:G45"/>
    <mergeCell ref="B41:G41"/>
    <mergeCell ref="B40:G40"/>
    <mergeCell ref="B43:G43"/>
    <mergeCell ref="B44:G44"/>
    <mergeCell ref="B48:G48"/>
    <mergeCell ref="B39:G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6A00"/>
    <outlinePr summaryBelow="1" summaryRight="1"/>
    <pageSetUpPr/>
  </sheetPr>
  <dimension ref="A1:G26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6" customWidth="1" min="2" max="2"/>
    <col width="24" customWidth="1" min="3" max="3"/>
    <col width="15" customWidth="1" min="4" max="4"/>
    <col width="15" customWidth="1" min="5" max="5"/>
    <col width="15" customWidth="1" min="6" max="6"/>
    <col width="95" customWidth="1" min="7" max="7"/>
  </cols>
  <sheetData>
    <row r="1">
      <c r="A1" s="16" t="inlineStr">
        <is>
          <t>Assumptions</t>
        </is>
      </c>
    </row>
    <row r="2">
      <c r="A2" s="17" t="inlineStr">
        <is>
          <t>Every driver of the model. Blue on yellow = input. Black = formula. Red source text = [[CONFIRM]] / founder decision pending.</t>
        </is>
      </c>
    </row>
    <row r="3"/>
    <row r="4">
      <c r="A4" s="6" t="inlineStr">
        <is>
          <t>Driver</t>
        </is>
      </c>
      <c r="B4" s="6" t="inlineStr">
        <is>
          <t>Live value</t>
        </is>
      </c>
      <c r="C4" s="6" t="inlineStr">
        <is>
          <t>Unit</t>
        </is>
      </c>
      <c r="D4" s="6" t="inlineStr">
        <is>
          <t>Conservative</t>
        </is>
      </c>
      <c r="E4" s="6" t="inlineStr">
        <is>
          <t>Base</t>
        </is>
      </c>
      <c r="F4" s="6" t="inlineStr">
        <is>
          <t>Upside</t>
        </is>
      </c>
      <c r="G4" s="6" t="inlineStr">
        <is>
          <t>Source / rationale</t>
        </is>
      </c>
    </row>
    <row r="5"/>
    <row r="6">
      <c r="A6" s="3" t="inlineStr">
        <is>
          <t>Active scenario (select)</t>
        </is>
      </c>
      <c r="B6" s="14" t="inlineStr">
        <is>
          <t>Base</t>
        </is>
      </c>
      <c r="C6" s="4" t="inlineStr">
        <is>
          <t>list</t>
        </is>
      </c>
      <c r="G6" s="17" t="inlineStr">
        <is>
          <t>Choose Conservative / Base / Upside. Every scenario driver below uses CHOOSE on this index.</t>
        </is>
      </c>
    </row>
    <row r="7">
      <c r="A7" s="4" t="inlineStr">
        <is>
          <t>Scenario index (1 = Conservative, 2 = Base, 3 = Upside)</t>
        </is>
      </c>
      <c r="B7" s="18">
        <f>MATCH($B$6,$D$4:$F$4,0)</f>
        <v/>
      </c>
    </row>
    <row r="8"/>
    <row r="9">
      <c r="A9" s="19" t="inlineStr">
        <is>
          <t>General, funding &amp; tax</t>
        </is>
      </c>
      <c r="B9" s="19" t="n"/>
      <c r="C9" s="19" t="n"/>
      <c r="D9" s="19" t="n"/>
      <c r="E9" s="19" t="n"/>
      <c r="F9" s="19" t="n"/>
      <c r="G9" s="19" t="n"/>
    </row>
    <row r="10">
      <c r="A10" s="4" t="inlineStr">
        <is>
          <t>FX rate</t>
        </is>
      </c>
      <c r="B10" s="20" t="n">
        <v>18.5</v>
      </c>
      <c r="C10" s="4" t="inlineStr">
        <is>
          <t>ZAR per US$</t>
        </is>
      </c>
      <c r="G10" s="17" t="inlineStr">
        <is>
          <t>Facts file §2: R18.50 = US$1 (ASSUMPTION)</t>
        </is>
      </c>
    </row>
    <row r="11">
      <c r="A11" s="4" t="inlineStr">
        <is>
          <t>SA corporate income tax rate</t>
        </is>
      </c>
      <c r="B11" s="21" t="n">
        <v>0.27</v>
      </c>
      <c r="C11" s="4" t="inlineStr">
        <is>
          <t>%</t>
        </is>
      </c>
      <c r="G11" s="17" t="inlineStr">
        <is>
          <t>SARS 27%. Applied only once cumulative EBITDA is positive (assessed-loss simplification).</t>
        </is>
      </c>
    </row>
    <row r="12">
      <c r="A12" s="4" t="inlineStr">
        <is>
          <t>Opening cash (1 Oct 2026)</t>
        </is>
      </c>
      <c r="B12" s="22" t="n">
        <v>500000</v>
      </c>
      <c r="C12" s="4" t="inlineStr">
        <is>
          <t>R</t>
        </is>
      </c>
      <c r="G12" s="5" t="inlineStr">
        <is>
          <t>[[CONFIRM]] founder to confirm cash in bank at 1 Oct 2026; default R500k</t>
        </is>
      </c>
    </row>
    <row r="13">
      <c r="A13" s="4" t="inlineStr">
        <is>
          <t>Seed raise</t>
        </is>
      </c>
      <c r="B13" s="22" t="n">
        <v>25000000</v>
      </c>
      <c r="C13" s="4" t="inlineStr">
        <is>
          <t>R</t>
        </is>
      </c>
      <c r="G13" s="17" t="inlineStr">
        <is>
          <t>Facts file §7: Seed R25M (≈US$1.35M). Must reach profitability alone (founder, 2026-09-11)</t>
        </is>
      </c>
    </row>
    <row r="14">
      <c r="A14" s="4" t="inlineStr">
        <is>
          <t>Seed lands in model month #</t>
        </is>
      </c>
      <c r="B14" s="23" t="n">
        <v>5</v>
      </c>
      <c r="C14" s="4" t="inlineStr">
        <is>
          <t>month #</t>
        </is>
      </c>
      <c r="G14" s="17" t="inlineStr">
        <is>
          <t>Month 5 = Feb 2027: pilot ends 30 Nov 2026, results Dec 2026, close Feb 2027</t>
        </is>
      </c>
    </row>
    <row r="15">
      <c r="A15" s="4" t="inlineStr">
        <is>
          <t>Minimum-cash buffer (closing cash must stay above this from the seed month on)</t>
        </is>
      </c>
      <c r="B15" s="22" t="n">
        <v>3000000</v>
      </c>
      <c r="C15" s="4" t="inlineStr">
        <is>
          <t>R</t>
        </is>
      </c>
      <c r="G15" s="17" t="inlineStr">
        <is>
          <t>Founder constraint: never below R3.0M after the seed lands</t>
        </is>
      </c>
    </row>
    <row r="16">
      <c r="A16" s="4" t="inlineStr">
        <is>
          <t>Include Series A? (1 = yes, 0 = no)</t>
        </is>
      </c>
      <c r="B16" s="23" t="n">
        <v>0</v>
      </c>
      <c r="C16" s="4" t="inlineStr">
        <is>
          <t>switch</t>
        </is>
      </c>
      <c r="G16" s="17" t="inlineStr">
        <is>
          <t>OFF in every scenario. Optional acceleration only, not needed for survival</t>
        </is>
      </c>
    </row>
    <row r="17">
      <c r="A17" s="4" t="inlineStr">
        <is>
          <t>Series A amount (optional acceleration, if switched on)</t>
        </is>
      </c>
      <c r="B17" s="22" t="n">
        <v>0</v>
      </c>
      <c r="C17" s="4" t="inlineStr">
        <is>
          <t>R</t>
        </is>
      </c>
      <c r="G17" s="17" t="inlineStr">
        <is>
          <t>Default 0 (founder: no Series A in Base or Conservative)</t>
        </is>
      </c>
    </row>
    <row r="18">
      <c r="A18" s="4" t="inlineStr">
        <is>
          <t>Series A lands in model month #</t>
        </is>
      </c>
      <c r="B18" s="23" t="n">
        <v>30</v>
      </c>
      <c r="C18" s="4" t="inlineStr">
        <is>
          <t>month #</t>
        </is>
      </c>
      <c r="G18" s="17" t="inlineStr">
        <is>
          <t>Month 30 = Mar 2029 (illustrative)</t>
        </is>
      </c>
    </row>
    <row r="19">
      <c r="A19" s="19" t="inlineStr">
        <is>
          <t>Pilot, launch &amp; lean pre-seed mode</t>
        </is>
      </c>
      <c r="B19" s="19" t="n"/>
      <c r="C19" s="19" t="n"/>
      <c r="D19" s="19" t="n"/>
      <c r="E19" s="19" t="n"/>
      <c r="F19" s="19" t="n"/>
      <c r="G19" s="19" t="n"/>
    </row>
    <row r="20">
      <c r="A20" s="4" t="inlineStr">
        <is>
          <t>Pilot brands (Gauteng), free during the pilot</t>
        </is>
      </c>
      <c r="B20" s="23" t="n">
        <v>12</v>
      </c>
      <c r="C20" s="4" t="inlineStr">
        <is>
          <t>brands</t>
        </is>
      </c>
      <c r="G20" s="17" t="inlineStr">
        <is>
          <t>Facts file §6: 12 brands, Sept-30 Nov 2026, not paying</t>
        </is>
      </c>
    </row>
    <row r="21">
      <c r="A21" s="4" t="inlineStr">
        <is>
          <t>Last pilot month #</t>
        </is>
      </c>
      <c r="B21" s="23" t="n">
        <v>2</v>
      </c>
      <c r="C21" s="4" t="inlineStr">
        <is>
          <t>month #</t>
        </is>
      </c>
      <c r="G21" s="17" t="inlineStr">
        <is>
          <t>Month 2 = Nov 2026</t>
        </is>
      </c>
    </row>
    <row r="22">
      <c r="A22" s="4" t="inlineStr">
        <is>
          <t>Pilot brands converting to paid</t>
        </is>
      </c>
      <c r="B22" s="21" t="n">
        <v>0.75</v>
      </c>
      <c r="C22" s="4" t="inlineStr">
        <is>
          <t>%</t>
        </is>
      </c>
      <c r="G22" s="17" t="inlineStr">
        <is>
          <t>ASSUMPTION: 75% -&gt; 9 brands; replace with pilot outcome</t>
        </is>
      </c>
    </row>
    <row r="23">
      <c r="A23" s="4" t="inlineStr">
        <is>
          <t>Pilot conversion month #</t>
        </is>
      </c>
      <c r="B23" s="23" t="n">
        <v>3</v>
      </c>
      <c r="C23" s="4" t="inlineStr">
        <is>
          <t>month #</t>
        </is>
      </c>
      <c r="G23" s="17" t="inlineStr">
        <is>
          <t>Month 3 = Dec 2026 (SA commercial launch 1 Dec 2026)</t>
        </is>
      </c>
    </row>
    <row r="24">
      <c r="A24" s="4" t="inlineStr">
        <is>
          <t>Pilot Founding terms: discount</t>
        </is>
      </c>
      <c r="B24" s="21" t="n">
        <v>0.5</v>
      </c>
      <c r="C24" s="4" t="inlineStr">
        <is>
          <t>% off</t>
        </is>
      </c>
      <c r="G24" s="17" t="inlineStr">
        <is>
          <t>Facts file §2: pilot brands get 50% off</t>
        </is>
      </c>
    </row>
    <row r="25">
      <c r="A25" s="4" t="inlineStr">
        <is>
          <t>Pilot Founding terms: discounted monthly bills</t>
        </is>
      </c>
      <c r="B25" s="23" t="n">
        <v>2</v>
      </c>
      <c r="C25" s="4" t="inlineStr">
        <is>
          <t>bills</t>
        </is>
      </c>
      <c r="G25" s="17" t="inlineStr">
        <is>
          <t>First 2 monthly bills</t>
        </is>
      </c>
    </row>
    <row r="26">
      <c r="A26" s="4" t="inlineStr">
        <is>
          <t>Pilot conversions by segment: Solo</t>
        </is>
      </c>
      <c r="B26" s="21" t="n">
        <v>0.4</v>
      </c>
      <c r="C26" s="4" t="inlineStr">
        <is>
          <t>%</t>
        </is>
      </c>
      <c r="G26" s="17" t="inlineStr">
        <is>
          <t>Solo -&gt; Starter, SME -&gt; Growth, Agency -&gt; Agency tier. Case-study slots span solo/SME/agency</t>
        </is>
      </c>
    </row>
    <row r="27">
      <c r="A27" s="4" t="inlineStr">
        <is>
          <t>Pilot conversions by segment: SMEs</t>
        </is>
      </c>
      <c r="B27" s="21" t="n">
        <v>0.45</v>
      </c>
      <c r="C27" s="4" t="inlineStr">
        <is>
          <t>%</t>
        </is>
      </c>
      <c r="G27" s="17" t="inlineStr"/>
    </row>
    <row r="28">
      <c r="A28" s="4" t="inlineStr">
        <is>
          <t>Pilot conversions by segment: Agencies</t>
        </is>
      </c>
      <c r="B28" s="21" t="n">
        <v>0.15</v>
      </c>
      <c r="C28" s="4" t="inlineStr">
        <is>
          <t>%</t>
        </is>
      </c>
      <c r="G28" s="17" t="inlineStr"/>
    </row>
    <row r="29">
      <c r="A29" s="4" t="inlineStr">
        <is>
          <t>Pilot programme cost while the pilot runs</t>
        </is>
      </c>
      <c r="B29" s="22" t="n">
        <v>15000</v>
      </c>
      <c r="C29" s="4" t="inlineStr">
        <is>
          <t>R / month</t>
        </is>
      </c>
      <c r="G29" s="17" t="inlineStr">
        <is>
          <t>Onboarding visits, content support, WhatsApp/AI usage for free brands (ASSUMPTION)</t>
        </is>
      </c>
    </row>
    <row r="30">
      <c r="A30" s="4" t="inlineStr">
        <is>
          <t>Hosting base before the seed (lean mode)</t>
        </is>
      </c>
      <c r="B30" s="22" t="n">
        <v>15000</v>
      </c>
      <c r="C30" s="4" t="inlineStr">
        <is>
          <t>R / month</t>
        </is>
      </c>
      <c r="G30" s="17" t="inlineStr">
        <is>
          <t>Supabase/Vercel at pilot scale (ASSUMPTION)</t>
        </is>
      </c>
    </row>
    <row r="31">
      <c r="A31" s="4" t="inlineStr">
        <is>
          <t>Overheads before the seed (accounting, banking, Meta/legal minimum)</t>
        </is>
      </c>
      <c r="B31" s="22" t="n">
        <v>15000</v>
      </c>
      <c r="C31" s="4" t="inlineStr">
        <is>
          <t>R / month</t>
        </is>
      </c>
      <c r="G31" s="17" t="inlineStr">
        <is>
          <t>Lean mode replaces fixed G&amp;A and the legal retainer until the seed lands</t>
        </is>
      </c>
    </row>
    <row r="32">
      <c r="A32" s="17" t="inlineStr">
        <is>
          <t>Lean mode (months before the seed): founders only, no paid marketing, no office/travel; hiring, brand, partner and legal budgets start in the seed month.</t>
        </is>
      </c>
    </row>
    <row r="33">
      <c r="A33" s="19" t="inlineStr">
        <is>
          <t>Sensitivity &amp; option levers (leave at defaults for the scenarios)</t>
        </is>
      </c>
      <c r="B33" s="19" t="n"/>
      <c r="C33" s="19" t="n"/>
      <c r="D33" s="19" t="n"/>
      <c r="E33" s="19" t="n"/>
      <c r="F33" s="19" t="n"/>
      <c r="G33" s="19" t="n"/>
    </row>
    <row r="34">
      <c r="A34" s="4" t="inlineStr">
        <is>
          <t>New-customer volume multiplier</t>
        </is>
      </c>
      <c r="B34" s="24" t="n">
        <v>1</v>
      </c>
      <c r="C34" s="4" t="inlineStr">
        <is>
          <t>x</t>
        </is>
      </c>
      <c r="G34" s="17" t="inlineStr">
        <is>
          <t>Scales self-serve trials in every market; Sensitivity sheet</t>
        </is>
      </c>
    </row>
    <row r="35">
      <c r="A35" s="4" t="inlineStr">
        <is>
          <t>Churn sensitivity multiplier</t>
        </is>
      </c>
      <c r="B35" s="24" t="n">
        <v>1</v>
      </c>
      <c r="C35" s="4" t="inlineStr">
        <is>
          <t>x</t>
        </is>
      </c>
      <c r="G35" s="17" t="inlineStr">
        <is>
          <t>Multiplies all churn; Sensitivity sheet</t>
        </is>
      </c>
    </row>
    <row r="36">
      <c r="A36" s="4" t="inlineStr">
        <is>
          <t>Launch discount option (1 = A Launch Sprint, 2 = B Founding Member, 3 = None)</t>
        </is>
      </c>
      <c r="B36" s="23" t="n">
        <v>2</v>
      </c>
      <c r="C36" s="4" t="inlineStr">
        <is>
          <t>option</t>
        </is>
      </c>
      <c r="G36" s="17" t="inlineStr">
        <is>
          <t>Facts file §2: B decided; A and None are sensitivities only</t>
        </is>
      </c>
    </row>
    <row r="37">
      <c r="A37" s="4" t="inlineStr">
        <is>
          <t>Option A (Launch Sprint): discount on the first monthly bill</t>
        </is>
      </c>
      <c r="B37" s="21" t="n">
        <v>0.5</v>
      </c>
      <c r="C37" s="4" t="inlineStr">
        <is>
          <t>% off</t>
        </is>
      </c>
      <c r="G37" s="17" t="inlineStr">
        <is>
          <t>Facts file §2 (record only; sensitivity)</t>
        </is>
      </c>
    </row>
    <row r="38">
      <c r="A38" s="4" t="inlineStr">
        <is>
          <t>Option B (Founding Member): discount on the first 2 monthly bills</t>
        </is>
      </c>
      <c r="B38" s="21" t="n">
        <v>0.3</v>
      </c>
      <c r="C38" s="4" t="inlineStr">
        <is>
          <t>% off</t>
        </is>
      </c>
      <c r="G38" s="17" t="inlineStr">
        <is>
          <t>Facts file §2: R349 / R1,399 / R3,499; not offered on Agency</t>
        </is>
      </c>
    </row>
    <row r="39">
      <c r="A39" s="4" t="inlineStr">
        <is>
          <t>New sign-up uplift inside a launch window</t>
        </is>
      </c>
      <c r="B39" s="21" t="n">
        <v>0.2</v>
      </c>
      <c r="C39" s="4" t="inlineStr">
        <is>
          <t>%</t>
        </is>
      </c>
      <c r="G39" s="17" t="inlineStr">
        <is>
          <t>ASSUMPTION: +20% sign-ups while the offer runs; validate with ZA Dec-Jan data</t>
        </is>
      </c>
    </row>
    <row r="40">
      <c r="A40" s="4" t="inlineStr">
        <is>
          <t>Churn of new sign-ups between discounted bill 1 and 2</t>
        </is>
      </c>
      <c r="B40" s="21" t="n">
        <v>0.08</v>
      </c>
      <c r="C40" s="4" t="inlineStr">
        <is>
          <t>%</t>
        </is>
      </c>
      <c r="G40" s="17" t="inlineStr">
        <is>
          <t>Used only to size the second discounted bill (ASSUMPTION)</t>
        </is>
      </c>
    </row>
    <row r="41">
      <c r="A41" s="4" t="inlineStr">
        <is>
          <t>FX shock: ZAR stronger vs NGN/KES/GHS/USD</t>
        </is>
      </c>
      <c r="B41" s="21" t="n">
        <v>0</v>
      </c>
      <c r="C41" s="4" t="inlineStr">
        <is>
          <t>%</t>
        </is>
      </c>
      <c r="G41" s="17" t="inlineStr">
        <is>
          <t>Sensitivity sets 15%</t>
        </is>
      </c>
    </row>
    <row r="42">
      <c r="A42" s="4" t="inlineStr">
        <is>
          <t>FX shock starts in month #</t>
        </is>
      </c>
      <c r="B42" s="23" t="n">
        <v>25</v>
      </c>
      <c r="C42" s="4" t="inlineStr">
        <is>
          <t>month #</t>
        </is>
      </c>
      <c r="G42" s="17" t="inlineStr">
        <is>
          <t>Month 25 = Oct 2028, once NG/KE/GH are live</t>
        </is>
      </c>
    </row>
    <row r="43">
      <c r="A43" s="19" t="inlineStr">
        <is>
          <t>Scenario drivers (switched by the selector above: CHOOSE on columns D:F)</t>
        </is>
      </c>
      <c r="B43" s="19" t="n"/>
      <c r="C43" s="19" t="n"/>
      <c r="D43" s="19" t="n"/>
      <c r="E43" s="19" t="n"/>
      <c r="F43" s="19" t="n"/>
      <c r="G43" s="19" t="n"/>
    </row>
    <row r="44">
      <c r="A44" s="4" t="inlineStr">
        <is>
          <t>Monthly growth in self-serve trials: FY1</t>
        </is>
      </c>
      <c r="B44" s="9">
        <f>CHOOSE($B$7,D44,E44,F44)</f>
        <v/>
      </c>
      <c r="C44" s="4" t="inlineStr">
        <is>
          <t>% m/m</t>
        </is>
      </c>
      <c r="D44" s="21" t="n">
        <v>0.1</v>
      </c>
      <c r="E44" s="21" t="n">
        <v>0.12</v>
      </c>
      <c r="F44" s="21" t="n">
        <v>0.14</v>
      </c>
      <c r="G44" s="17" t="inlineStr">
        <is>
          <t>Per market from its launch month; decays as channels mature</t>
        </is>
      </c>
    </row>
    <row r="45">
      <c r="A45" s="4" t="inlineStr">
        <is>
          <t>Monthly growth in self-serve trials: FY2</t>
        </is>
      </c>
      <c r="B45" s="9">
        <f>CHOOSE($B$7,D45,E45,F45)</f>
        <v/>
      </c>
      <c r="C45" s="4" t="inlineStr">
        <is>
          <t>% m/m</t>
        </is>
      </c>
      <c r="D45" s="21" t="n">
        <v>0.035</v>
      </c>
      <c r="E45" s="21" t="n">
        <v>0.045</v>
      </c>
      <c r="F45" s="21" t="n">
        <v>0.06</v>
      </c>
      <c r="G45" s="17" t="inlineStr"/>
    </row>
    <row r="46">
      <c r="A46" s="4" t="inlineStr">
        <is>
          <t>Monthly growth in self-serve trials: FY3</t>
        </is>
      </c>
      <c r="B46" s="9">
        <f>CHOOSE($B$7,D46,E46,F46)</f>
        <v/>
      </c>
      <c r="C46" s="4" t="inlineStr">
        <is>
          <t>% m/m</t>
        </is>
      </c>
      <c r="D46" s="21" t="n">
        <v>0.025</v>
      </c>
      <c r="E46" s="21" t="n">
        <v>0.035</v>
      </c>
      <c r="F46" s="21" t="n">
        <v>0.045</v>
      </c>
      <c r="G46" s="17" t="inlineStr"/>
    </row>
    <row r="47">
      <c r="A47" s="4" t="inlineStr">
        <is>
          <t>Monthly growth in self-serve trials: FY4</t>
        </is>
      </c>
      <c r="B47" s="9">
        <f>CHOOSE($B$7,D47,E47,F47)</f>
        <v/>
      </c>
      <c r="C47" s="4" t="inlineStr">
        <is>
          <t>% m/m</t>
        </is>
      </c>
      <c r="D47" s="21" t="n">
        <v>0.015</v>
      </c>
      <c r="E47" s="21" t="n">
        <v>0.028</v>
      </c>
      <c r="F47" s="21" t="n">
        <v>0.032</v>
      </c>
      <c r="G47" s="17" t="inlineStr"/>
    </row>
    <row r="48">
      <c r="A48" s="4" t="inlineStr">
        <is>
          <t>Monthly growth in self-serve trials: FY5</t>
        </is>
      </c>
      <c r="B48" s="9">
        <f>CHOOSE($B$7,D48,E48,F48)</f>
        <v/>
      </c>
      <c r="C48" s="4" t="inlineStr">
        <is>
          <t>% m/m</t>
        </is>
      </c>
      <c r="D48" s="21" t="n">
        <v>0.01</v>
      </c>
      <c r="E48" s="21" t="n">
        <v>0.015</v>
      </c>
      <c r="F48" s="21" t="n">
        <v>0.02</v>
      </c>
      <c r="G48" s="17" t="inlineStr"/>
    </row>
    <row r="49">
      <c r="A49" s="4" t="inlineStr">
        <is>
          <t>Trial-to-paid conversion multiplier (on segment conversion)</t>
        </is>
      </c>
      <c r="B49" s="25">
        <f>CHOOSE($B$7,D49,E49,F49)</f>
        <v/>
      </c>
      <c r="C49" s="4" t="inlineStr">
        <is>
          <t>x</t>
        </is>
      </c>
      <c r="D49" s="24" t="n">
        <v>0.85</v>
      </c>
      <c r="E49" s="24" t="n">
        <v>1</v>
      </c>
      <c r="F49" s="24" t="n">
        <v>1.2</v>
      </c>
      <c r="G49" s="17" t="inlineStr">
        <is>
          <t>Conservative Solo 9.4%; Upside Solo 13.2%</t>
        </is>
      </c>
    </row>
    <row r="50">
      <c r="A50" s="4" t="inlineStr">
        <is>
          <t>Churn multiplier</t>
        </is>
      </c>
      <c r="B50" s="25">
        <f>CHOOSE($B$7,D50,E50,F50)</f>
        <v/>
      </c>
      <c r="C50" s="4" t="inlineStr">
        <is>
          <t>x</t>
        </is>
      </c>
      <c r="D50" s="24" t="n">
        <v>1.2</v>
      </c>
      <c r="E50" s="24" t="n">
        <v>1</v>
      </c>
      <c r="F50" s="24" t="n">
        <v>0.85</v>
      </c>
      <c r="G50" s="17" t="inlineStr"/>
    </row>
    <row r="51">
      <c r="A51" s="4" t="inlineStr">
        <is>
          <t>Paid CAC multiplier</t>
        </is>
      </c>
      <c r="B51" s="25">
        <f>CHOOSE($B$7,D51,E51,F51)</f>
        <v/>
      </c>
      <c r="C51" s="4" t="inlineStr">
        <is>
          <t>x</t>
        </is>
      </c>
      <c r="D51" s="24" t="n">
        <v>1.2</v>
      </c>
      <c r="E51" s="24" t="n">
        <v>1</v>
      </c>
      <c r="F51" s="24" t="n">
        <v>0.85</v>
      </c>
      <c r="G51" s="17" t="inlineStr">
        <is>
          <t>Ad-auction inflation vs creative &amp; referral efficiency</t>
        </is>
      </c>
    </row>
    <row r="52">
      <c r="A52" s="4" t="inlineStr">
        <is>
          <t>Expansion timing shift (months, + = later)</t>
        </is>
      </c>
      <c r="B52" s="18">
        <f>CHOOSE($B$7,D52,E52,F52)</f>
        <v/>
      </c>
      <c r="C52" s="4" t="inlineStr">
        <is>
          <t>months</t>
        </is>
      </c>
      <c r="D52" s="23" t="n">
        <v>3</v>
      </c>
      <c r="E52" s="23" t="n">
        <v>0</v>
      </c>
      <c r="F52" s="23" t="n">
        <v>-2</v>
      </c>
      <c r="G52" s="17" t="inlineStr">
        <is>
          <t>Shifts planned NG/KE/GH/Rest/BW-NA launches (MRR gates still apply)</t>
        </is>
      </c>
    </row>
    <row r="53">
      <c r="A53" s="4" t="inlineStr">
        <is>
          <t>Inbound enterprise deal multiplier</t>
        </is>
      </c>
      <c r="B53" s="25">
        <f>CHOOSE($B$7,D53,E53,F53)</f>
        <v/>
      </c>
      <c r="C53" s="4" t="inlineStr">
        <is>
          <t>x</t>
        </is>
      </c>
      <c r="D53" s="24" t="n">
        <v>0.5</v>
      </c>
      <c r="E53" s="24" t="n">
        <v>1</v>
      </c>
      <c r="F53" s="24" t="n">
        <v>1.5</v>
      </c>
      <c r="G53" s="17" t="inlineStr"/>
    </row>
    <row r="54">
      <c r="A54" s="4" t="inlineStr">
        <is>
          <t>COST DISCIPLINE: paid acquisition cap, % of last month's net MRR</t>
        </is>
      </c>
      <c r="B54" s="9">
        <f>CHOOSE($B$7,D54,E54,F54)</f>
        <v/>
      </c>
      <c r="C54" s="4" t="inlineStr">
        <is>
          <t>% of MRR</t>
        </is>
      </c>
      <c r="D54" s="21" t="n">
        <v>0.3</v>
      </c>
      <c r="E54" s="21" t="n">
        <v>0.35</v>
      </c>
      <c r="F54" s="21" t="n">
        <v>0.5</v>
      </c>
      <c r="G54" s="17" t="inlineStr">
        <is>
          <t>Paid spend = MIN(desired, floor + cap x MRR); unfunded paid sign-ups are not acquired</t>
        </is>
      </c>
    </row>
    <row r="55">
      <c r="A55" s="4" t="inlineStr">
        <is>
          <t>COST DISCIPLINE: hiring &amp; launch MRR-gate multiplier</t>
        </is>
      </c>
      <c r="B55" s="25">
        <f>CHOOSE($B$7,D55,E55,F55)</f>
        <v/>
      </c>
      <c r="C55" s="4" t="inlineStr">
        <is>
          <t>x</t>
        </is>
      </c>
      <c r="D55" s="24" t="n">
        <v>1.4</v>
      </c>
      <c r="E55" s="24" t="n">
        <v>1</v>
      </c>
      <c r="F55" s="24" t="n">
        <v>0.8</v>
      </c>
      <c r="G55" s="17" t="inlineStr">
        <is>
          <t>Each hire/launch waits for its MRR milestone x this. Conservative waits for 40% more MRR (1.35x is the smallest that holds the R3.0M buffer); Upside hires 20% earlier</t>
        </is>
      </c>
    </row>
    <row r="56">
      <c r="A56" s="4" t="inlineStr">
        <is>
          <t>Commerce platform fee on WhatsApp checkout GMV</t>
        </is>
      </c>
      <c r="B56" s="26">
        <f>CHOOSE($B$7,D56,E56,F56)</f>
        <v/>
      </c>
      <c r="C56" s="4" t="inlineStr">
        <is>
          <t>% of GMV</t>
        </is>
      </c>
      <c r="D56" s="27" t="n">
        <v>0</v>
      </c>
      <c r="E56" s="27" t="n">
        <v>0</v>
      </c>
      <c r="F56" s="27" t="n">
        <v>0.0075</v>
      </c>
      <c r="G56" s="5" t="inlineStr">
        <is>
          <t>NOT IN CURRENT PRICING: founder decision. 0% in Base &amp; Conservative; 0.75% Upside only</t>
        </is>
      </c>
    </row>
    <row r="57">
      <c r="A57" s="19" t="inlineStr">
        <is>
          <t>Launch discount option parameters (formulas on the option switch)</t>
        </is>
      </c>
      <c r="B57" s="19" t="n"/>
      <c r="C57" s="19" t="n"/>
      <c r="D57" s="19" t="n"/>
      <c r="E57" s="19" t="n"/>
      <c r="F57" s="19" t="n"/>
      <c r="G57" s="19" t="n"/>
    </row>
    <row r="58">
      <c r="A58" s="4" t="inlineStr">
        <is>
          <t>Monthly plans: discount on launch-window sign-ups</t>
        </is>
      </c>
      <c r="B58" s="9">
        <f>CHOOSE(Assumptions!$B$36,Assumptions!$B$37,Assumptions!$B$38,0)</f>
        <v/>
      </c>
      <c r="C58" s="4" t="inlineStr">
        <is>
          <t>% off</t>
        </is>
      </c>
      <c r="G58" s="17" t="inlineStr">
        <is>
          <t>A: 50% off month 1; B: 30% off months 1-2; None: 0. Never applied to Agency / partner sign-ups</t>
        </is>
      </c>
    </row>
    <row r="59">
      <c r="A59" s="4" t="inlineStr">
        <is>
          <t>Monthly plans: discounted billing months</t>
        </is>
      </c>
      <c r="B59" s="18">
        <f>CHOOSE(Assumptions!$B$36,1,2,0)</f>
        <v/>
      </c>
      <c r="C59" s="4" t="inlineStr">
        <is>
          <t>months</t>
        </is>
      </c>
      <c r="G59" s="17" t="inlineStr"/>
    </row>
    <row r="60">
      <c r="A60" s="4" t="inlineStr">
        <is>
          <t>Annual plans: bonus free months</t>
        </is>
      </c>
      <c r="B60" s="18">
        <f>CHOOSE(Assumptions!$B$36,1,2,0)</f>
        <v/>
      </c>
      <c r="C60" s="4" t="inlineStr">
        <is>
          <t>months</t>
        </is>
      </c>
      <c r="G60" s="17" t="inlineStr">
        <is>
          <t>B: 14 months for the price of 12. Modelled by recognising the annual fee over 12 + bonus months</t>
        </is>
      </c>
    </row>
    <row r="61">
      <c r="A61" s="4" t="inlineStr">
        <is>
          <t>Launch window length</t>
        </is>
      </c>
      <c r="B61" s="18">
        <f>CHOOSE(Assumptions!$B$36,1,2,0)</f>
        <v/>
      </c>
      <c r="C61" s="4" t="inlineStr">
        <is>
          <t>months</t>
        </is>
      </c>
      <c r="G61" s="17" t="inlineStr">
        <is>
          <t>A: 30 days; B: 60 days (ZA: 1 Dec 2026-31 Jan 2027); USD markets: no window</t>
        </is>
      </c>
    </row>
    <row r="62">
      <c r="A62" s="4" t="inlineStr">
        <is>
          <t>Sign-up uplift applied inside windows</t>
        </is>
      </c>
      <c r="B62" s="9">
        <f>IF(Assumptions!$B$36=3,0,Assumptions!$B$39)</f>
        <v/>
      </c>
      <c r="C62" s="4" t="inlineStr">
        <is>
          <t>%</t>
        </is>
      </c>
      <c r="G62" s="17" t="inlineStr"/>
    </row>
    <row r="63">
      <c r="A63" s="19" t="inlineStr">
        <is>
          <t>Markets &amp; sequence (ZA first; NG/KE/GH wave 1; Rest of Africa self-serve; BW/NA coming soon; gated countries = 0)</t>
        </is>
      </c>
      <c r="B63" s="19" t="n"/>
      <c r="C63" s="19" t="n"/>
      <c r="D63" s="19" t="n"/>
      <c r="E63" s="19" t="n"/>
      <c r="F63" s="19" t="n"/>
      <c r="G63" s="19" t="n"/>
    </row>
    <row r="64">
      <c r="A64" s="4" t="inlineStr">
        <is>
          <t>South Africa commercial launch month #</t>
        </is>
      </c>
      <c r="B64" s="23" t="n">
        <v>3</v>
      </c>
      <c r="C64" s="4" t="inlineStr">
        <is>
          <t>month #</t>
        </is>
      </c>
      <c r="G64" s="17" t="inlineStr">
        <is>
          <t>1 Dec 2026 (pilot ends 30 Nov)</t>
        </is>
      </c>
    </row>
    <row r="65">
      <c r="A65" s="4" t="inlineStr">
        <is>
          <t>Self-serve trials in launch month: South Africa</t>
        </is>
      </c>
      <c r="B65" s="23" t="n">
        <v>250</v>
      </c>
      <c r="C65" s="4" t="inlineStr">
        <is>
          <t>trials / month</t>
        </is>
      </c>
      <c r="G65" s="17" t="inlineStr">
        <is>
          <t>2.5-3M SA SMMEs; pilot word of mouth</t>
        </is>
      </c>
    </row>
    <row r="66">
      <c r="A66" s="4" t="inlineStr">
        <is>
          <t>Nigeria: switch (1 = on)</t>
        </is>
      </c>
      <c r="B66" s="23" t="n">
        <v>1</v>
      </c>
      <c r="C66" s="4" t="inlineStr">
        <is>
          <t>switch</t>
        </is>
      </c>
      <c r="G66" s="17" t="inlineStr"/>
    </row>
    <row r="67">
      <c r="A67" s="4" t="inlineStr">
        <is>
          <t>Nigeria: planned launch month # (earliest)</t>
        </is>
      </c>
      <c r="B67" s="23" t="n">
        <v>14</v>
      </c>
      <c r="C67" s="4" t="inlineStr">
        <is>
          <t>month #</t>
        </is>
      </c>
      <c r="G67" s="17" t="inlineStr">
        <is>
          <t>Nov 2027: largest MSME base; Paystack/pawaPay/Fincra</t>
        </is>
      </c>
    </row>
    <row r="68">
      <c r="A68" s="4" t="inlineStr">
        <is>
          <t>Nigeria: MRR gate for the launch decision</t>
        </is>
      </c>
      <c r="B68" s="22" t="n">
        <v>900000</v>
      </c>
      <c r="C68" s="4" t="inlineStr">
        <is>
          <t>R net MRR</t>
        </is>
      </c>
      <c r="G68" s="17" t="inlineStr">
        <is>
          <t>Decision (and country-lead hire) needs last month's net MRR &gt;= gate x gate multiplier; launch follows 2 months later</t>
        </is>
      </c>
    </row>
    <row r="69">
      <c r="A69" s="4" t="inlineStr">
        <is>
          <t>Nigeria: self-serve trials in launch month</t>
        </is>
      </c>
      <c r="B69" s="23" t="n">
        <v>220</v>
      </c>
      <c r="C69" s="4" t="inlineStr">
        <is>
          <t>trials / month</t>
        </is>
      </c>
      <c r="G69" s="17" t="inlineStr"/>
    </row>
    <row r="70">
      <c r="A70" s="4" t="inlineStr">
        <is>
          <t>Nigeria: paid CAC index vs SA</t>
        </is>
      </c>
      <c r="B70" s="24" t="n">
        <v>0.75</v>
      </c>
      <c r="C70" s="4" t="inlineStr">
        <is>
          <t>x</t>
        </is>
      </c>
      <c r="G70" s="17" t="inlineStr">
        <is>
          <t>Cheaper media; lower price point</t>
        </is>
      </c>
    </row>
    <row r="71">
      <c r="A71" s="4" t="inlineStr">
        <is>
          <t>Nigeria: churn index vs SA</t>
        </is>
      </c>
      <c r="B71" s="24" t="n">
        <v>1.15</v>
      </c>
      <c r="C71" s="4" t="inlineStr">
        <is>
          <t>x</t>
        </is>
      </c>
      <c r="G71" s="17" t="inlineStr">
        <is>
          <t>FX affordability pressure (ASSUMPTION)</t>
        </is>
      </c>
    </row>
    <row r="72">
      <c r="A72" s="4" t="inlineStr">
        <is>
          <t>Nigeria: local compliance &amp; registration (one-off at launch)</t>
        </is>
      </c>
      <c r="B72" s="22" t="n">
        <v>300000</v>
      </c>
      <c r="C72" s="4" t="inlineStr">
        <is>
          <t>R</t>
        </is>
      </c>
      <c r="G72" s="17" t="inlineStr">
        <is>
          <t>NDPR registration, entity, local counsel</t>
        </is>
      </c>
    </row>
    <row r="73">
      <c r="A73" s="4" t="inlineStr">
        <is>
          <t>Nigeria: ongoing local compliance</t>
        </is>
      </c>
      <c r="B73" s="22" t="n">
        <v>12000</v>
      </c>
      <c r="C73" s="4" t="inlineStr">
        <is>
          <t>R / month</t>
        </is>
      </c>
      <c r="G73" s="17" t="inlineStr">
        <is>
          <t>Local accounting, DPO filings, VAT returns</t>
        </is>
      </c>
    </row>
    <row r="74">
      <c r="A74" s="4" t="inlineStr">
        <is>
          <t>Nigeria: launch marketing budget (spread over first 3 months)</t>
        </is>
      </c>
      <c r="B74" s="22" t="n">
        <v>350000</v>
      </c>
      <c r="C74" s="4" t="inlineStr">
        <is>
          <t>R</t>
        </is>
      </c>
      <c r="G74" s="17" t="inlineStr">
        <is>
          <t>Launch campaign, local creators, events</t>
        </is>
      </c>
    </row>
    <row r="75">
      <c r="A75" s="4" t="inlineStr">
        <is>
          <t>Nigeria: inbound agency sign-ups after launch</t>
        </is>
      </c>
      <c r="B75" s="20" t="n">
        <v>0.25</v>
      </c>
      <c r="C75" s="4" t="inlineStr">
        <is>
          <t>agencies / month</t>
        </is>
      </c>
      <c r="G75" s="17" t="inlineStr"/>
    </row>
    <row r="76">
      <c r="A76" s="4" t="inlineStr">
        <is>
          <t>Kenya: switch (1 = on)</t>
        </is>
      </c>
      <c r="B76" s="23" t="n">
        <v>1</v>
      </c>
      <c r="C76" s="4" t="inlineStr">
        <is>
          <t>switch</t>
        </is>
      </c>
      <c r="G76" s="17" t="inlineStr"/>
    </row>
    <row r="77">
      <c r="A77" s="4" t="inlineStr">
        <is>
          <t>Kenya: planned launch month # (earliest)</t>
        </is>
      </c>
      <c r="B77" s="23" t="n">
        <v>17</v>
      </c>
      <c r="C77" s="4" t="inlineStr">
        <is>
          <t>month #</t>
        </is>
      </c>
      <c r="G77" s="17" t="inlineStr">
        <is>
          <t>Feb 2028: M-Pesa via pawaPay</t>
        </is>
      </c>
    </row>
    <row r="78">
      <c r="A78" s="4" t="inlineStr">
        <is>
          <t>Kenya: MRR gate for the launch decision</t>
        </is>
      </c>
      <c r="B78" s="22" t="n">
        <v>1200000</v>
      </c>
      <c r="C78" s="4" t="inlineStr">
        <is>
          <t>R net MRR</t>
        </is>
      </c>
      <c r="G78" s="17" t="inlineStr">
        <is>
          <t>Decision (and country-lead hire) needs last month's net MRR &gt;= gate x gate multiplier; launch follows 2 months later</t>
        </is>
      </c>
    </row>
    <row r="79">
      <c r="A79" s="4" t="inlineStr">
        <is>
          <t>Kenya: self-serve trials in launch month</t>
        </is>
      </c>
      <c r="B79" s="23" t="n">
        <v>150</v>
      </c>
      <c r="C79" s="4" t="inlineStr">
        <is>
          <t>trials / month</t>
        </is>
      </c>
      <c r="G79" s="17" t="inlineStr"/>
    </row>
    <row r="80">
      <c r="A80" s="4" t="inlineStr">
        <is>
          <t>Kenya: paid CAC index vs SA</t>
        </is>
      </c>
      <c r="B80" s="24" t="n">
        <v>0.8</v>
      </c>
      <c r="C80" s="4" t="inlineStr">
        <is>
          <t>x</t>
        </is>
      </c>
      <c r="G80" s="17" t="inlineStr">
        <is>
          <t>Cheaper media; lower price point</t>
        </is>
      </c>
    </row>
    <row r="81">
      <c r="A81" s="4" t="inlineStr">
        <is>
          <t>Kenya: churn index vs SA</t>
        </is>
      </c>
      <c r="B81" s="24" t="n">
        <v>1.05</v>
      </c>
      <c r="C81" s="4" t="inlineStr">
        <is>
          <t>x</t>
        </is>
      </c>
      <c r="G81" s="17" t="inlineStr">
        <is>
          <t>FX affordability pressure (ASSUMPTION)</t>
        </is>
      </c>
    </row>
    <row r="82">
      <c r="A82" s="4" t="inlineStr">
        <is>
          <t>Kenya: local compliance &amp; registration (one-off at launch)</t>
        </is>
      </c>
      <c r="B82" s="22" t="n">
        <v>250000</v>
      </c>
      <c r="C82" s="4" t="inlineStr">
        <is>
          <t>R</t>
        </is>
      </c>
      <c r="G82" s="17" t="inlineStr">
        <is>
          <t>KDPA (ODPC) registration, local counsel</t>
        </is>
      </c>
    </row>
    <row r="83">
      <c r="A83" s="4" t="inlineStr">
        <is>
          <t>Kenya: ongoing local compliance</t>
        </is>
      </c>
      <c r="B83" s="22" t="n">
        <v>12000</v>
      </c>
      <c r="C83" s="4" t="inlineStr">
        <is>
          <t>R / month</t>
        </is>
      </c>
      <c r="G83" s="17" t="inlineStr">
        <is>
          <t>Local accounting, DPO filings, VAT returns</t>
        </is>
      </c>
    </row>
    <row r="84">
      <c r="A84" s="4" t="inlineStr">
        <is>
          <t>Kenya: launch marketing budget (spread over first 3 months)</t>
        </is>
      </c>
      <c r="B84" s="22" t="n">
        <v>300000</v>
      </c>
      <c r="C84" s="4" t="inlineStr">
        <is>
          <t>R</t>
        </is>
      </c>
      <c r="G84" s="17" t="inlineStr">
        <is>
          <t>Launch campaign, local creators, events</t>
        </is>
      </c>
    </row>
    <row r="85">
      <c r="A85" s="4" t="inlineStr">
        <is>
          <t>Kenya: inbound agency sign-ups after launch</t>
        </is>
      </c>
      <c r="B85" s="20" t="n">
        <v>0.2</v>
      </c>
      <c r="C85" s="4" t="inlineStr">
        <is>
          <t>agencies / month</t>
        </is>
      </c>
      <c r="G85" s="17" t="inlineStr"/>
    </row>
    <row r="86">
      <c r="A86" s="4" t="inlineStr">
        <is>
          <t>Ghana: switch (1 = on)</t>
        </is>
      </c>
      <c r="B86" s="23" t="n">
        <v>1</v>
      </c>
      <c r="C86" s="4" t="inlineStr">
        <is>
          <t>switch</t>
        </is>
      </c>
      <c r="G86" s="17" t="inlineStr"/>
    </row>
    <row r="87">
      <c r="A87" s="4" t="inlineStr">
        <is>
          <t>Ghana: planned launch month # (earliest)</t>
        </is>
      </c>
      <c r="B87" s="23" t="n">
        <v>20</v>
      </c>
      <c r="C87" s="4" t="inlineStr">
        <is>
          <t>month #</t>
        </is>
      </c>
      <c r="G87" s="17" t="inlineStr">
        <is>
          <t>May 2028: MoMo via pawaPay</t>
        </is>
      </c>
    </row>
    <row r="88">
      <c r="A88" s="4" t="inlineStr">
        <is>
          <t>Ghana: MRR gate for the launch decision</t>
        </is>
      </c>
      <c r="B88" s="22" t="n">
        <v>1500000</v>
      </c>
      <c r="C88" s="4" t="inlineStr">
        <is>
          <t>R net MRR</t>
        </is>
      </c>
      <c r="G88" s="17" t="inlineStr">
        <is>
          <t>Decision (and country-lead hire) needs last month's net MRR &gt;= gate x gate multiplier; launch follows 2 months later</t>
        </is>
      </c>
    </row>
    <row r="89">
      <c r="A89" s="4" t="inlineStr">
        <is>
          <t>Ghana: self-serve trials in launch month</t>
        </is>
      </c>
      <c r="B89" s="23" t="n">
        <v>110</v>
      </c>
      <c r="C89" s="4" t="inlineStr">
        <is>
          <t>trials / month</t>
        </is>
      </c>
      <c r="G89" s="17" t="inlineStr"/>
    </row>
    <row r="90">
      <c r="A90" s="4" t="inlineStr">
        <is>
          <t>Ghana: paid CAC index vs SA</t>
        </is>
      </c>
      <c r="B90" s="24" t="n">
        <v>0.8</v>
      </c>
      <c r="C90" s="4" t="inlineStr">
        <is>
          <t>x</t>
        </is>
      </c>
      <c r="G90" s="17" t="inlineStr">
        <is>
          <t>Cheaper media; lower price point</t>
        </is>
      </c>
    </row>
    <row r="91">
      <c r="A91" s="4" t="inlineStr">
        <is>
          <t>Ghana: churn index vs SA</t>
        </is>
      </c>
      <c r="B91" s="24" t="n">
        <v>1.1</v>
      </c>
      <c r="C91" s="4" t="inlineStr">
        <is>
          <t>x</t>
        </is>
      </c>
      <c r="G91" s="17" t="inlineStr">
        <is>
          <t>FX affordability pressure (ASSUMPTION)</t>
        </is>
      </c>
    </row>
    <row r="92">
      <c r="A92" s="4" t="inlineStr">
        <is>
          <t>Ghana: local compliance &amp; registration (one-off at launch)</t>
        </is>
      </c>
      <c r="B92" s="22" t="n">
        <v>200000</v>
      </c>
      <c r="C92" s="4" t="inlineStr">
        <is>
          <t>R</t>
        </is>
      </c>
      <c r="G92" s="17" t="inlineStr">
        <is>
          <t>Ghana DPC registration, local counsel</t>
        </is>
      </c>
    </row>
    <row r="93">
      <c r="A93" s="4" t="inlineStr">
        <is>
          <t>Ghana: ongoing local compliance</t>
        </is>
      </c>
      <c r="B93" s="22" t="n">
        <v>10000</v>
      </c>
      <c r="C93" s="4" t="inlineStr">
        <is>
          <t>R / month</t>
        </is>
      </c>
      <c r="G93" s="17" t="inlineStr">
        <is>
          <t>Local accounting, DPO filings, VAT returns</t>
        </is>
      </c>
    </row>
    <row r="94">
      <c r="A94" s="4" t="inlineStr">
        <is>
          <t>Ghana: launch marketing budget (spread over first 3 months)</t>
        </is>
      </c>
      <c r="B94" s="22" t="n">
        <v>250000</v>
      </c>
      <c r="C94" s="4" t="inlineStr">
        <is>
          <t>R</t>
        </is>
      </c>
      <c r="G94" s="17" t="inlineStr">
        <is>
          <t>Launch campaign, local creators, events</t>
        </is>
      </c>
    </row>
    <row r="95">
      <c r="A95" s="4" t="inlineStr">
        <is>
          <t>Ghana: inbound agency sign-ups after launch</t>
        </is>
      </c>
      <c r="B95" s="20" t="n">
        <v>0.15</v>
      </c>
      <c r="C95" s="4" t="inlineStr">
        <is>
          <t>agencies / month</t>
        </is>
      </c>
      <c r="G95" s="17" t="inlineStr"/>
    </row>
    <row r="96">
      <c r="A96" s="4" t="inlineStr">
        <is>
          <t>Rest of Africa (USD): switch (1 = on)</t>
        </is>
      </c>
      <c r="B96" s="23" t="n">
        <v>1</v>
      </c>
      <c r="C96" s="4" t="inlineStr">
        <is>
          <t>switch</t>
        </is>
      </c>
      <c r="G96" s="17" t="inlineStr"/>
    </row>
    <row r="97">
      <c r="A97" s="4" t="inlineStr">
        <is>
          <t>Rest of Africa (USD): planned launch month # (earliest)</t>
        </is>
      </c>
      <c r="B97" s="23" t="n">
        <v>26</v>
      </c>
      <c r="C97" s="4" t="inlineStr">
        <is>
          <t>month #</t>
        </is>
      </c>
      <c r="G97" s="17" t="inlineStr">
        <is>
          <t>Nov 2028: 19 countries, USD, self-serve only, no local team</t>
        </is>
      </c>
    </row>
    <row r="98">
      <c r="A98" s="4" t="inlineStr">
        <is>
          <t>Rest of Africa (USD): MRR gate for the launch decision</t>
        </is>
      </c>
      <c r="B98" s="22" t="n">
        <v>2500000</v>
      </c>
      <c r="C98" s="4" t="inlineStr">
        <is>
          <t>R net MRR</t>
        </is>
      </c>
      <c r="G98" s="17" t="inlineStr">
        <is>
          <t>Decision (and country-lead hire) needs last month's net MRR &gt;= gate x gate multiplier; launch follows 2 months later</t>
        </is>
      </c>
    </row>
    <row r="99">
      <c r="A99" s="4" t="inlineStr">
        <is>
          <t>Rest of Africa (USD): self-serve trials in launch month</t>
        </is>
      </c>
      <c r="B99" s="23" t="n">
        <v>120</v>
      </c>
      <c r="C99" s="4" t="inlineStr">
        <is>
          <t>trials / month</t>
        </is>
      </c>
      <c r="G99" s="17" t="inlineStr"/>
    </row>
    <row r="100">
      <c r="A100" s="4" t="inlineStr">
        <is>
          <t>Rest of Africa (USD): paid CAC index vs SA</t>
        </is>
      </c>
      <c r="B100" s="24" t="n">
        <v>0.6</v>
      </c>
      <c r="C100" s="4" t="inlineStr">
        <is>
          <t>x</t>
        </is>
      </c>
      <c r="G100" s="17" t="inlineStr">
        <is>
          <t>Cheaper media; lower price point</t>
        </is>
      </c>
    </row>
    <row r="101">
      <c r="A101" s="4" t="inlineStr">
        <is>
          <t>Rest of Africa (USD): churn index vs SA</t>
        </is>
      </c>
      <c r="B101" s="24" t="n">
        <v>1.25</v>
      </c>
      <c r="C101" s="4" t="inlineStr">
        <is>
          <t>x</t>
        </is>
      </c>
      <c r="G101" s="17" t="inlineStr">
        <is>
          <t>FX affordability pressure (ASSUMPTION)</t>
        </is>
      </c>
    </row>
    <row r="102">
      <c r="A102" s="4" t="inlineStr">
        <is>
          <t>Rest of Africa (USD): local compliance &amp; registration (one-off at launch)</t>
        </is>
      </c>
      <c r="B102" s="22" t="n">
        <v>150000</v>
      </c>
      <c r="C102" s="4" t="inlineStr">
        <is>
          <t>R</t>
        </is>
      </c>
      <c r="G102" s="17" t="inlineStr">
        <is>
          <t>Digital-services VAT registrations (hub approach)</t>
        </is>
      </c>
    </row>
    <row r="103">
      <c r="A103" s="4" t="inlineStr">
        <is>
          <t>Rest of Africa (USD): ongoing local compliance</t>
        </is>
      </c>
      <c r="B103" s="22" t="n">
        <v>20000</v>
      </c>
      <c r="C103" s="4" t="inlineStr">
        <is>
          <t>R / month</t>
        </is>
      </c>
      <c r="G103" s="17" t="inlineStr">
        <is>
          <t>Local accounting, DPO filings, VAT returns</t>
        </is>
      </c>
    </row>
    <row r="104">
      <c r="A104" s="4" t="inlineStr">
        <is>
          <t>Botswana &amp; Namibia: switch (1 = on)</t>
        </is>
      </c>
      <c r="B104" s="23" t="n">
        <v>0</v>
      </c>
      <c r="C104" s="4" t="inlineStr">
        <is>
          <t>switch</t>
        </is>
      </c>
      <c r="G104" s="17" t="inlineStr">
        <is>
          <t>Default OFF: no secured rail yet</t>
        </is>
      </c>
    </row>
    <row r="105">
      <c r="A105" s="4" t="inlineStr">
        <is>
          <t>Botswana &amp; Namibia: planned launch month # (earliest)</t>
        </is>
      </c>
      <c r="B105" s="23" t="n">
        <v>30</v>
      </c>
      <c r="C105" s="4" t="inlineStr">
        <is>
          <t>month #</t>
        </is>
      </c>
      <c r="G105" s="17" t="inlineStr">
        <is>
          <t>Coming soon: switch on once a rail covers BW/NA</t>
        </is>
      </c>
    </row>
    <row r="106">
      <c r="A106" s="4" t="inlineStr">
        <is>
          <t>Botswana &amp; Namibia: MRR gate for the launch decision</t>
        </is>
      </c>
      <c r="B106" s="22" t="n">
        <v>3000000</v>
      </c>
      <c r="C106" s="4" t="inlineStr">
        <is>
          <t>R net MRR</t>
        </is>
      </c>
      <c r="G106" s="17" t="inlineStr">
        <is>
          <t>Decision (and country-lead hire) needs last month's net MRR &gt;= gate x gate multiplier; launch follows 2 months later</t>
        </is>
      </c>
    </row>
    <row r="107">
      <c r="A107" s="4" t="inlineStr">
        <is>
          <t>Botswana &amp; Namibia: self-serve trials in launch month</t>
        </is>
      </c>
      <c r="B107" s="23" t="n">
        <v>40</v>
      </c>
      <c r="C107" s="4" t="inlineStr">
        <is>
          <t>trials / month</t>
        </is>
      </c>
      <c r="G107" s="17" t="inlineStr"/>
    </row>
    <row r="108">
      <c r="A108" s="4" t="inlineStr">
        <is>
          <t>Botswana &amp; Namibia: paid CAC index vs SA</t>
        </is>
      </c>
      <c r="B108" s="24" t="n">
        <v>0.9</v>
      </c>
      <c r="C108" s="4" t="inlineStr">
        <is>
          <t>x</t>
        </is>
      </c>
      <c r="G108" s="17" t="inlineStr">
        <is>
          <t>Cheaper media; lower price point</t>
        </is>
      </c>
    </row>
    <row r="109">
      <c r="A109" s="4" t="inlineStr">
        <is>
          <t>Botswana &amp; Namibia: churn index vs SA</t>
        </is>
      </c>
      <c r="B109" s="24" t="n">
        <v>1</v>
      </c>
      <c r="C109" s="4" t="inlineStr">
        <is>
          <t>x</t>
        </is>
      </c>
      <c r="G109" s="17" t="inlineStr">
        <is>
          <t>FX affordability pressure (ASSUMPTION)</t>
        </is>
      </c>
    </row>
    <row r="110">
      <c r="A110" s="4" t="inlineStr">
        <is>
          <t>Botswana &amp; Namibia: local compliance &amp; registration (one-off at launch)</t>
        </is>
      </c>
      <c r="B110" s="22" t="n">
        <v>100000</v>
      </c>
      <c r="C110" s="4" t="inlineStr">
        <is>
          <t>R</t>
        </is>
      </c>
      <c r="G110" s="17" t="inlineStr">
        <is>
          <t>BW/NA data-protection &amp; tax registration</t>
        </is>
      </c>
    </row>
    <row r="111">
      <c r="A111" s="4" t="inlineStr">
        <is>
          <t>Botswana &amp; Namibia: ongoing local compliance</t>
        </is>
      </c>
      <c r="B111" s="22" t="n">
        <v>6000</v>
      </c>
      <c r="C111" s="4" t="inlineStr">
        <is>
          <t>R / month</t>
        </is>
      </c>
      <c r="G111" s="17" t="inlineStr">
        <is>
          <t>Local accounting, DPO filings, VAT returns</t>
        </is>
      </c>
    </row>
    <row r="112">
      <c r="A112" s="4" t="inlineStr">
        <is>
          <t>Rest of Africa: always-on self-serve marketing budget</t>
        </is>
      </c>
      <c r="B112" s="22" t="n">
        <v>20000</v>
      </c>
      <c r="C112" s="4" t="inlineStr">
        <is>
          <t>R / month</t>
        </is>
      </c>
      <c r="G112" s="17" t="inlineStr">
        <is>
          <t>Low spend: SEO, WhatsApp short links, French/Portuguese content</t>
        </is>
      </c>
    </row>
    <row r="113">
      <c r="A113" s="4" t="inlineStr">
        <is>
          <t>Botswana &amp; Namibia: marketing budget (if on)</t>
        </is>
      </c>
      <c r="B113" s="22" t="n">
        <v>10000</v>
      </c>
      <c r="C113" s="4" t="inlineStr">
        <is>
          <t>R / month</t>
        </is>
      </c>
      <c r="G113" s="17" t="inlineStr"/>
    </row>
    <row r="114">
      <c r="A114" s="4" t="inlineStr">
        <is>
          <t>Agencies signed per country lead (NG/KE/GH)</t>
        </is>
      </c>
      <c r="B114" s="20" t="n">
        <v>0.4</v>
      </c>
      <c r="C114" s="4" t="inlineStr">
        <is>
          <t>agencies / month</t>
        </is>
      </c>
      <c r="G114" s="17" t="inlineStr">
        <is>
          <t>Country lead runs the local partner programme</t>
        </is>
      </c>
    </row>
    <row r="115">
      <c r="A115" s="4" t="inlineStr">
        <is>
          <t>Travel per live wave-1 country</t>
        </is>
      </c>
      <c r="B115" s="22" t="n">
        <v>10000</v>
      </c>
      <c r="C115" s="4" t="inlineStr">
        <is>
          <t>R / month</t>
        </is>
      </c>
      <c r="G115" s="17" t="inlineStr">
        <is>
          <t>Lagos/Nairobi/Accra</t>
        </is>
      </c>
    </row>
    <row r="116">
      <c r="A116" s="19" t="inlineStr">
        <is>
          <t>Self-serve funnel by segment (Solo &amp; SME share each market's trials)</t>
        </is>
      </c>
      <c r="B116" s="19" t="n"/>
      <c r="C116" s="19" t="n"/>
      <c r="D116" s="19" t="n"/>
      <c r="E116" s="19" t="n"/>
      <c r="F116" s="19" t="n"/>
      <c r="G116" s="19" t="n"/>
    </row>
    <row r="117">
      <c r="A117" s="4" t="inlineStr">
        <is>
          <t>Share of sign-ups needing paid acquisition: FY1</t>
        </is>
      </c>
      <c r="B117" s="21" t="n">
        <v>0.65</v>
      </c>
      <c r="C117" s="4" t="inlineStr">
        <is>
          <t>%</t>
        </is>
      </c>
      <c r="G117" s="17" t="inlineStr">
        <is>
          <t>Organic/referral grows over time</t>
        </is>
      </c>
    </row>
    <row r="118">
      <c r="A118" s="4" t="inlineStr">
        <is>
          <t>Share of sign-ups needing paid acquisition: FY2</t>
        </is>
      </c>
      <c r="B118" s="21" t="n">
        <v>0.6</v>
      </c>
      <c r="C118" s="4" t="inlineStr">
        <is>
          <t>%</t>
        </is>
      </c>
      <c r="G118" s="17" t="inlineStr"/>
    </row>
    <row r="119">
      <c r="A119" s="4" t="inlineStr">
        <is>
          <t>Share of sign-ups needing paid acquisition: FY3</t>
        </is>
      </c>
      <c r="B119" s="21" t="n">
        <v>0.55</v>
      </c>
      <c r="C119" s="4" t="inlineStr">
        <is>
          <t>%</t>
        </is>
      </c>
      <c r="G119" s="17" t="inlineStr"/>
    </row>
    <row r="120">
      <c r="A120" s="4" t="inlineStr">
        <is>
          <t>Share of sign-ups needing paid acquisition: FY4</t>
        </is>
      </c>
      <c r="B120" s="21" t="n">
        <v>0.5</v>
      </c>
      <c r="C120" s="4" t="inlineStr">
        <is>
          <t>%</t>
        </is>
      </c>
      <c r="G120" s="17" t="inlineStr"/>
    </row>
    <row r="121">
      <c r="A121" s="4" t="inlineStr">
        <is>
          <t>Share of sign-ups needing paid acquisition: FY5</t>
        </is>
      </c>
      <c r="B121" s="21" t="n">
        <v>0.45</v>
      </c>
      <c r="C121" s="4" t="inlineStr">
        <is>
          <t>%</t>
        </is>
      </c>
      <c r="G121" s="17" t="inlineStr"/>
    </row>
    <row r="122">
      <c r="A122" s="4" t="inlineStr">
        <is>
          <t>Solo entrepreneurs' share of self-serve trials</t>
        </is>
      </c>
      <c r="B122" s="21" t="n">
        <v>0.65</v>
      </c>
      <c r="C122" s="4" t="inlineStr">
        <is>
          <t>%</t>
        </is>
      </c>
      <c r="G122" s="17" t="inlineStr">
        <is>
          <t>Facts file §4b: solo = Meta/TikTok/WhatsApp self-serve; SMEs = content, networks, referrals</t>
        </is>
      </c>
    </row>
    <row r="123">
      <c r="A123" s="4" t="inlineStr">
        <is>
          <t>Trial-to-paid conversion: Solo</t>
        </is>
      </c>
      <c r="B123" s="21" t="n">
        <v>0.11</v>
      </c>
      <c r="C123" s="4" t="inlineStr">
        <is>
          <t>%</t>
        </is>
      </c>
      <c r="G123" s="17" t="inlineStr">
        <is>
          <t>No-card trials convert 8-15%; validate with pilot</t>
        </is>
      </c>
    </row>
    <row r="124">
      <c r="A124" s="4" t="inlineStr">
        <is>
          <t>Trial-to-paid conversion: SME</t>
        </is>
      </c>
      <c r="B124" s="21" t="n">
        <v>0.14</v>
      </c>
      <c r="C124" s="4" t="inlineStr">
        <is>
          <t>%</t>
        </is>
      </c>
      <c r="G124" s="17" t="inlineStr">
        <is>
          <t>Guided onboarding call lifts conversion</t>
        </is>
      </c>
    </row>
    <row r="125">
      <c r="A125" s="4" t="inlineStr">
        <is>
          <t>Solo new customers starting on Growth</t>
        </is>
      </c>
      <c r="B125" s="21" t="n">
        <v>0.1</v>
      </c>
      <c r="C125" s="4" t="inlineStr">
        <is>
          <t>%</t>
        </is>
      </c>
      <c r="G125" s="17" t="inlineStr">
        <is>
          <t>Mainly Starter</t>
        </is>
      </c>
    </row>
    <row r="126">
      <c r="A126" s="4" t="inlineStr">
        <is>
          <t>SME new customers starting on Scale</t>
        </is>
      </c>
      <c r="B126" s="21" t="n">
        <v>0.15</v>
      </c>
      <c r="C126" s="4" t="inlineStr">
        <is>
          <t>%</t>
        </is>
      </c>
      <c r="G126" s="17" t="inlineStr">
        <is>
          <t>Mainly Growth</t>
        </is>
      </c>
    </row>
    <row r="127">
      <c r="A127" s="4" t="inlineStr">
        <is>
          <t>Monthly upgrade rate: Solo Starter -&gt; Growth</t>
        </is>
      </c>
      <c r="B127" s="21" t="n">
        <v>0.01</v>
      </c>
      <c r="C127" s="4" t="inlineStr">
        <is>
          <t>% / month</t>
        </is>
      </c>
      <c r="G127" s="17" t="inlineStr">
        <is>
          <t>ASSUMPTION</t>
        </is>
      </c>
    </row>
    <row r="128">
      <c r="A128" s="4" t="inlineStr">
        <is>
          <t>Monthly upgrade rate: SME Growth -&gt; Scale</t>
        </is>
      </c>
      <c r="B128" s="21" t="n">
        <v>0.008</v>
      </c>
      <c r="C128" s="4" t="inlineStr">
        <is>
          <t>% / month</t>
        </is>
      </c>
      <c r="G128" s="17" t="inlineStr">
        <is>
          <t>ASSUMPTION</t>
        </is>
      </c>
    </row>
    <row r="129">
      <c r="A129" s="4" t="inlineStr">
        <is>
          <t>COST DISCIPLINE: maximum CAC payback for paid acquisition</t>
        </is>
      </c>
      <c r="B129" s="23" t="n">
        <v>12</v>
      </c>
      <c r="C129" s="4" t="inlineStr">
        <is>
          <t>months</t>
        </is>
      </c>
      <c r="G129" s="5" t="inlineStr">
        <is>
          <t>Paid acquisition in a segment &amp; market is switched off if CAC / (ARPA x GM) exceeds this [[CONFIRM]]</t>
        </is>
      </c>
    </row>
    <row r="130">
      <c r="A130" s="4" t="inlineStr">
        <is>
          <t>Gross margin assumed in the payback test</t>
        </is>
      </c>
      <c r="B130" s="21" t="n">
        <v>0.7</v>
      </c>
      <c r="C130" s="4" t="inlineStr">
        <is>
          <t>%</t>
        </is>
      </c>
      <c r="G130" s="17" t="inlineStr">
        <is>
          <t>Conservative vs modelled software GM</t>
        </is>
      </c>
    </row>
    <row r="131">
      <c r="A131" s="19" t="inlineStr">
        <is>
          <t>Monthly logo churn by segment &amp; tier (before scenario, market and sensitivity multipliers)</t>
        </is>
      </c>
      <c r="B131" s="19" t="n"/>
      <c r="C131" s="19" t="n"/>
      <c r="D131" s="19" t="n"/>
      <c r="E131" s="19" t="n"/>
      <c r="F131" s="19" t="n"/>
      <c r="G131" s="19" t="n"/>
    </row>
    <row r="132">
      <c r="A132" s="4" t="inlineStr">
        <is>
          <t>Monthly churn: Solo: Starter</t>
        </is>
      </c>
      <c r="B132" s="21" t="n">
        <v>0.065</v>
      </c>
      <c r="C132" s="4" t="inlineStr">
        <is>
          <t>% / month</t>
        </is>
      </c>
      <c r="G132" s="17" t="inlineStr">
        <is>
          <t>Brief: SMB Starter 5-7%</t>
        </is>
      </c>
    </row>
    <row r="133">
      <c r="A133" s="4" t="inlineStr">
        <is>
          <t>Monthly churn: Solo: Growth (upgraded or direct)</t>
        </is>
      </c>
      <c r="B133" s="21" t="n">
        <v>0.04</v>
      </c>
      <c r="C133" s="4" t="inlineStr">
        <is>
          <t>% / month</t>
        </is>
      </c>
      <c r="G133" s="17" t="inlineStr"/>
    </row>
    <row r="134">
      <c r="A134" s="4" t="inlineStr">
        <is>
          <t>Monthly churn: SME: Growth</t>
        </is>
      </c>
      <c r="B134" s="21" t="n">
        <v>0.03</v>
      </c>
      <c r="C134" s="4" t="inlineStr">
        <is>
          <t>% / month</t>
        </is>
      </c>
      <c r="G134" s="17" t="inlineStr">
        <is>
          <t>SME Growth 3-4%</t>
        </is>
      </c>
    </row>
    <row r="135">
      <c r="A135" s="4" t="inlineStr">
        <is>
          <t>Monthly churn: SME: Scale (upgraded or direct)</t>
        </is>
      </c>
      <c r="B135" s="21" t="n">
        <v>0.022</v>
      </c>
      <c r="C135" s="4" t="inlineStr">
        <is>
          <t>% / month</t>
        </is>
      </c>
      <c r="G135" s="17" t="inlineStr">
        <is>
          <t>Scale 2-3%</t>
        </is>
      </c>
    </row>
    <row r="136">
      <c r="A136" s="4" t="inlineStr">
        <is>
          <t>Monthly churn: Agency / partner: Agency tier</t>
        </is>
      </c>
      <c r="B136" s="21" t="n">
        <v>0.02</v>
      </c>
      <c r="C136" s="4" t="inlineStr">
        <is>
          <t>% / month</t>
        </is>
      </c>
      <c r="G136" s="17" t="inlineStr">
        <is>
          <t>Agency 2%</t>
        </is>
      </c>
    </row>
    <row r="137">
      <c r="A137" s="4" t="inlineStr">
        <is>
          <t>Monthly churn: Enterprise (inbound)</t>
        </is>
      </c>
      <c r="B137" s="21" t="n">
        <v>0.01</v>
      </c>
      <c r="C137" s="4" t="inlineStr">
        <is>
          <t>% / month</t>
        </is>
      </c>
      <c r="G137" s="17" t="inlineStr">
        <is>
          <t>Enterprise 1%</t>
        </is>
      </c>
    </row>
    <row r="138">
      <c r="A138" s="19" t="inlineStr">
        <is>
          <t>Agency channel &amp; inbound enterprise</t>
        </is>
      </c>
      <c r="B138" s="19" t="n"/>
      <c r="C138" s="19" t="n"/>
      <c r="D138" s="19" t="n"/>
      <c r="E138" s="19" t="n"/>
      <c r="F138" s="19" t="n"/>
      <c r="G138" s="19" t="n"/>
    </row>
    <row r="139">
      <c r="A139" s="4" t="inlineStr">
        <is>
          <t>South Africa: inbound agency sign-ups</t>
        </is>
      </c>
      <c r="B139" s="20" t="n">
        <v>0.5</v>
      </c>
      <c r="C139" s="4" t="inlineStr">
        <is>
          <t>agencies / month</t>
        </is>
      </c>
      <c r="G139" s="17" t="inlineStr">
        <is>
          <t>/for-agencies page, from SA launch</t>
        </is>
      </c>
    </row>
    <row r="140">
      <c r="A140" s="4" t="inlineStr">
        <is>
          <t>Agencies signed per partnerships manager (SA)</t>
        </is>
      </c>
      <c r="B140" s="20" t="n">
        <v>1.5</v>
      </c>
      <c r="C140" s="4" t="inlineStr">
        <is>
          <t>agencies / month</t>
        </is>
      </c>
      <c r="G140" s="17" t="inlineStr">
        <is>
          <t>Flux_Partner programme</t>
        </is>
      </c>
    </row>
    <row r="141">
      <c r="A141" s="17" t="inlineStr">
        <is>
          <t>Partner wholesale price (Agency tier -30%) and the share of agency customers on it live on the Pricing sheet. Partner referral commission: undecided, NOT modelled.</t>
        </is>
      </c>
    </row>
    <row r="142">
      <c r="A142" s="4" t="inlineStr">
        <is>
          <t>Inbound enterprise deals (SA): FY1</t>
        </is>
      </c>
      <c r="B142" s="28" t="n">
        <v>1</v>
      </c>
      <c r="C142" s="4" t="inlineStr">
        <is>
          <t>deals / year</t>
        </is>
      </c>
      <c r="G142" s="17" t="inlineStr">
        <is>
          <t>Facts file §4b: inbound only, no enterprise sales motion; near-zero in FY1</t>
        </is>
      </c>
    </row>
    <row r="143">
      <c r="A143" s="4" t="inlineStr">
        <is>
          <t>Inbound enterprise deals (SA): FY2</t>
        </is>
      </c>
      <c r="B143" s="28" t="n">
        <v>2</v>
      </c>
      <c r="C143" s="4" t="inlineStr">
        <is>
          <t>deals / year</t>
        </is>
      </c>
      <c r="G143" s="17" t="inlineStr"/>
    </row>
    <row r="144">
      <c r="A144" s="4" t="inlineStr">
        <is>
          <t>Inbound enterprise deals (SA): FY3</t>
        </is>
      </c>
      <c r="B144" s="28" t="n">
        <v>4</v>
      </c>
      <c r="C144" s="4" t="inlineStr">
        <is>
          <t>deals / year</t>
        </is>
      </c>
      <c r="G144" s="17" t="inlineStr"/>
    </row>
    <row r="145">
      <c r="A145" s="4" t="inlineStr">
        <is>
          <t>Inbound enterprise deals (SA): FY4</t>
        </is>
      </c>
      <c r="B145" s="28" t="n">
        <v>6</v>
      </c>
      <c r="C145" s="4" t="inlineStr">
        <is>
          <t>deals / year</t>
        </is>
      </c>
      <c r="G145" s="17" t="inlineStr"/>
    </row>
    <row r="146">
      <c r="A146" s="4" t="inlineStr">
        <is>
          <t>Inbound enterprise deals (SA): FY5</t>
        </is>
      </c>
      <c r="B146" s="28" t="n">
        <v>8</v>
      </c>
      <c r="C146" s="4" t="inlineStr">
        <is>
          <t>deals / year</t>
        </is>
      </c>
      <c r="G146" s="17" t="inlineStr"/>
    </row>
    <row r="147">
      <c r="A147" s="19" t="inlineStr">
        <is>
          <t>Other revenue streams</t>
        </is>
      </c>
      <c r="B147" s="19" t="n"/>
      <c r="C147" s="19" t="n"/>
      <c r="D147" s="19" t="n"/>
      <c r="E147" s="19" t="n"/>
      <c r="F147" s="19" t="n"/>
      <c r="G147" s="19" t="n"/>
    </row>
    <row r="148">
      <c r="A148" s="4" t="inlineStr">
        <is>
          <t>AI-credit top-up attach rate</t>
        </is>
      </c>
      <c r="B148" s="21" t="n">
        <v>0.1</v>
      </c>
      <c r="C148" s="4" t="inlineStr">
        <is>
          <t>% of workspaces / month</t>
        </is>
      </c>
      <c r="G148" s="17" t="inlineStr">
        <is>
          <t>ASSUMPTION</t>
        </is>
      </c>
    </row>
    <row r="149">
      <c r="A149" s="4" t="inlineStr">
        <is>
          <t>Average top-up pack value (FY1 price)</t>
        </is>
      </c>
      <c r="B149" s="22" t="n">
        <v>350</v>
      </c>
      <c r="C149" s="4" t="inlineStr">
        <is>
          <t>R</t>
        </is>
      </c>
      <c r="G149" s="17" t="inlineStr">
        <is>
          <t>Escalates with price escalator</t>
        </is>
      </c>
    </row>
    <row r="150">
      <c r="A150" s="4" t="inlineStr">
        <is>
          <t>AI credits per average top-up pack</t>
        </is>
      </c>
      <c r="B150" s="23" t="n">
        <v>14000</v>
      </c>
      <c r="C150" s="4" t="inlineStr">
        <is>
          <t>credits</t>
        </is>
      </c>
      <c r="G150" s="17" t="inlineStr"/>
    </row>
    <row r="151">
      <c r="A151" s="4" t="inlineStr">
        <is>
          <t>Billable WhatsApp template messages per workspace: Starter</t>
        </is>
      </c>
      <c r="B151" s="23" t="n">
        <v>0</v>
      </c>
      <c r="C151" s="4" t="inlineStr">
        <is>
          <t>messages / month</t>
        </is>
      </c>
      <c r="G151" s="17" t="inlineStr">
        <is>
          <t>Meta per-message pricing</t>
        </is>
      </c>
    </row>
    <row r="152">
      <c r="A152" s="4" t="inlineStr">
        <is>
          <t>Billable WhatsApp template messages per workspace: Growth</t>
        </is>
      </c>
      <c r="B152" s="23" t="n">
        <v>250</v>
      </c>
      <c r="C152" s="4" t="inlineStr">
        <is>
          <t>messages / month</t>
        </is>
      </c>
      <c r="G152" s="17" t="inlineStr"/>
    </row>
    <row r="153">
      <c r="A153" s="4" t="inlineStr">
        <is>
          <t>Billable WhatsApp template messages per workspace: Scale</t>
        </is>
      </c>
      <c r="B153" s="23" t="n">
        <v>800</v>
      </c>
      <c r="C153" s="4" t="inlineStr">
        <is>
          <t>messages / month</t>
        </is>
      </c>
      <c r="G153" s="17" t="inlineStr"/>
    </row>
    <row r="154">
      <c r="A154" s="4" t="inlineStr">
        <is>
          <t>Billable WhatsApp template messages per workspace: Agency</t>
        </is>
      </c>
      <c r="B154" s="23" t="n">
        <v>1500</v>
      </c>
      <c r="C154" s="4" t="inlineStr">
        <is>
          <t>messages / month</t>
        </is>
      </c>
      <c r="G154" s="17" t="inlineStr"/>
    </row>
    <row r="155">
      <c r="A155" s="4" t="inlineStr">
        <is>
          <t>Billable WhatsApp template messages per workspace: Enterprise</t>
        </is>
      </c>
      <c r="B155" s="23" t="n">
        <v>5000</v>
      </c>
      <c r="C155" s="4" t="inlineStr">
        <is>
          <t>messages / month</t>
        </is>
      </c>
      <c r="G155" s="17" t="inlineStr"/>
    </row>
    <row r="156">
      <c r="A156" s="4" t="inlineStr">
        <is>
          <t>Average Meta fee per billable message</t>
        </is>
      </c>
      <c r="B156" s="20" t="n">
        <v>0.6</v>
      </c>
      <c r="C156" s="4" t="inlineStr">
        <is>
          <t>R</t>
        </is>
      </c>
      <c r="G156" s="17" t="inlineStr">
        <is>
          <t>Blend of marketing and utility template rates (ASSUMPTION)</t>
        </is>
      </c>
    </row>
    <row r="157">
      <c r="A157" s="4" t="inlineStr">
        <is>
          <t>Markup on Meta messaging fees (pass-through resale)</t>
        </is>
      </c>
      <c r="B157" s="21" t="n">
        <v>0.25</v>
      </c>
      <c r="C157" s="4" t="inlineStr">
        <is>
          <t>%</t>
        </is>
      </c>
      <c r="G157" s="17" t="inlineStr">
        <is>
          <t>Revenue shown gross</t>
        </is>
      </c>
    </row>
    <row r="158">
      <c r="A158" s="4" t="inlineStr">
        <is>
          <t>Share of Growth/Scale/Enterprise workspaces with live WhatsApp checkout</t>
        </is>
      </c>
      <c r="B158" s="21" t="n">
        <v>0.3</v>
      </c>
      <c r="C158" s="4" t="inlineStr">
        <is>
          <t>%</t>
        </is>
      </c>
      <c r="G158" s="17" t="inlineStr"/>
    </row>
    <row r="159">
      <c r="A159" s="4" t="inlineStr">
        <is>
          <t>WhatsApp checkout GMV per active store (FY1)</t>
        </is>
      </c>
      <c r="B159" s="22" t="n">
        <v>20000</v>
      </c>
      <c r="C159" s="4" t="inlineStr">
        <is>
          <t>R / month</t>
        </is>
      </c>
      <c r="G159" s="17" t="inlineStr">
        <is>
          <t>Validate with pilot orders/GMV</t>
        </is>
      </c>
    </row>
    <row r="160">
      <c r="A160" s="4" t="inlineStr">
        <is>
          <t>Annual growth in GMV per active store</t>
        </is>
      </c>
      <c r="B160" s="21" t="n">
        <v>0.15</v>
      </c>
      <c r="C160" s="4" t="inlineStr">
        <is>
          <t>% / year</t>
        </is>
      </c>
      <c r="G160" s="17" t="inlineStr"/>
    </row>
    <row r="161">
      <c r="A161" s="4" t="inlineStr">
        <is>
          <t>Enterprise onboarding / setup fee</t>
        </is>
      </c>
      <c r="B161" s="22" t="n">
        <v>25000</v>
      </c>
      <c r="C161" s="4" t="inlineStr">
        <is>
          <t>R per deal</t>
        </is>
      </c>
      <c r="G161" s="17" t="inlineStr"/>
    </row>
    <row r="162">
      <c r="A162" s="4" t="inlineStr">
        <is>
          <t>Agency white-label setup fee</t>
        </is>
      </c>
      <c r="B162" s="22" t="n">
        <v>4999</v>
      </c>
      <c r="C162" s="4" t="inlineStr">
        <is>
          <t>R per new agency</t>
        </is>
      </c>
      <c r="G162" s="17" t="inlineStr"/>
    </row>
    <row r="163">
      <c r="A163" s="17" t="inlineStr">
        <is>
          <t>Campaign Financing (credit facilities / instalment plans) is an UPSIDE NOT included in any scenario.</t>
        </is>
      </c>
    </row>
    <row r="164">
      <c r="A164" s="19" t="inlineStr">
        <is>
          <t>Cost of revenue (COGS)</t>
        </is>
      </c>
      <c r="B164" s="19" t="n"/>
      <c r="C164" s="19" t="n"/>
      <c r="D164" s="19" t="n"/>
      <c r="E164" s="19" t="n"/>
      <c r="F164" s="19" t="n"/>
      <c r="G164" s="19" t="n"/>
    </row>
    <row r="165">
      <c r="A165" s="4" t="inlineStr">
        <is>
          <t>Utilisation of included AI credits</t>
        </is>
      </c>
      <c r="B165" s="21" t="n">
        <v>0.4</v>
      </c>
      <c r="C165" s="4" t="inlineStr">
        <is>
          <t>%</t>
        </is>
      </c>
      <c r="G165" s="17" t="inlineStr"/>
    </row>
    <row r="166">
      <c r="A166" s="4" t="inlineStr">
        <is>
          <t>AI inference cost per 1,000 credits (FY1)</t>
        </is>
      </c>
      <c r="B166" s="20" t="n">
        <v>12</v>
      </c>
      <c r="C166" s="4" t="inlineStr">
        <is>
          <t>R</t>
        </is>
      </c>
      <c r="G166" s="17" t="inlineStr">
        <is>
          <t>ASSUMPTION</t>
        </is>
      </c>
    </row>
    <row r="167">
      <c r="A167" s="4" t="inlineStr">
        <is>
          <t>Annual decline in inference cost per credit</t>
        </is>
      </c>
      <c r="B167" s="21" t="n">
        <v>0.1</v>
      </c>
      <c r="C167" s="4" t="inlineStr">
        <is>
          <t>% / year</t>
        </is>
      </c>
      <c r="G167" s="17" t="inlineStr"/>
    </row>
    <row r="168">
      <c r="A168" s="4" t="inlineStr">
        <is>
          <t>Hosting base from the seed month</t>
        </is>
      </c>
      <c r="B168" s="22" t="n">
        <v>30000</v>
      </c>
      <c r="C168" s="4" t="inlineStr">
        <is>
          <t>R / month</t>
        </is>
      </c>
      <c r="G168" s="17" t="inlineStr">
        <is>
          <t>Supabase + Edge Functions on Vercel</t>
        </is>
      </c>
    </row>
    <row r="169">
      <c r="A169" s="4" t="inlineStr">
        <is>
          <t>Hosting cost per paying workspace</t>
        </is>
      </c>
      <c r="B169" s="22" t="n">
        <v>35</v>
      </c>
      <c r="C169" s="4" t="inlineStr">
        <is>
          <t>R / month</t>
        </is>
      </c>
      <c r="G169" s="17" t="inlineStr"/>
    </row>
    <row r="170">
      <c r="A170" s="4" t="inlineStr">
        <is>
          <t>Blended payment processing fee</t>
        </is>
      </c>
      <c r="B170" s="21" t="n">
        <v>0.029</v>
      </c>
      <c r="C170" s="4" t="inlineStr">
        <is>
          <t>% of billed revenue</t>
        </is>
      </c>
      <c r="G170" s="17" t="inlineStr">
        <is>
          <t>Yoco/Ozow/Paystack</t>
        </is>
      </c>
    </row>
    <row r="171">
      <c r="A171" s="4" t="inlineStr">
        <is>
          <t>Extra mobile-money / FX fee on non-SA revenue</t>
        </is>
      </c>
      <c r="B171" s="21" t="n">
        <v>0.015</v>
      </c>
      <c r="C171" s="4" t="inlineStr">
        <is>
          <t>% of non-SA revenue</t>
        </is>
      </c>
      <c r="G171" s="17" t="inlineStr">
        <is>
          <t>pawaPay/Fincra collections + FX spread</t>
        </is>
      </c>
    </row>
    <row r="172">
      <c r="A172" s="4" t="inlineStr">
        <is>
          <t>Variable support cost per workspace</t>
        </is>
      </c>
      <c r="B172" s="22" t="n">
        <v>50</v>
      </c>
      <c r="C172" s="4" t="inlineStr">
        <is>
          <t>R / month</t>
        </is>
      </c>
      <c r="G172" s="17" t="inlineStr"/>
    </row>
    <row r="173">
      <c r="A173" s="19" t="inlineStr">
        <is>
          <t>Operating expenses (budgets scale with MRR: cost discipline)</t>
        </is>
      </c>
      <c r="B173" s="19" t="n"/>
      <c r="C173" s="19" t="n"/>
      <c r="D173" s="19" t="n"/>
      <c r="E173" s="19" t="n"/>
      <c r="F173" s="19" t="n"/>
      <c r="G173" s="19" t="n"/>
    </row>
    <row r="174">
      <c r="A174" s="4" t="inlineStr">
        <is>
          <t>Annual salary escalation</t>
        </is>
      </c>
      <c r="B174" s="21" t="n">
        <v>0.06</v>
      </c>
      <c r="C174" s="4" t="inlineStr">
        <is>
          <t>% / year</t>
        </is>
      </c>
      <c r="G174" s="17" t="inlineStr"/>
    </row>
    <row r="175">
      <c r="A175" s="4" t="inlineStr">
        <is>
          <t>Employment on-costs</t>
        </is>
      </c>
      <c r="B175" s="21" t="n">
        <v>0.1</v>
      </c>
      <c r="C175" s="4" t="inlineStr">
        <is>
          <t>% of salary</t>
        </is>
      </c>
      <c r="G175" s="17" t="inlineStr">
        <is>
          <t>UIF, SDL, benefits</t>
        </is>
      </c>
    </row>
    <row r="176">
      <c r="A176" s="4" t="inlineStr">
        <is>
          <t>Paid CAC per paid-acquired customer: Solo</t>
        </is>
      </c>
      <c r="B176" s="22" t="n">
        <v>2200</v>
      </c>
      <c r="C176" s="4" t="inlineStr">
        <is>
          <t>R</t>
        </is>
      </c>
      <c r="G176" s="17" t="inlineStr">
        <is>
          <t>Meta/TikTok performance (ASSUMPTION)</t>
        </is>
      </c>
    </row>
    <row r="177">
      <c r="A177" s="4" t="inlineStr">
        <is>
          <t>Paid CAC per paid-acquired customer: SME</t>
        </is>
      </c>
      <c r="B177" s="22" t="n">
        <v>6500</v>
      </c>
      <c r="C177" s="4" t="inlineStr">
        <is>
          <t>R</t>
        </is>
      </c>
      <c r="G177" s="17" t="inlineStr">
        <is>
          <t>Content, webinars, networks, paid search (ASSUMPTION)</t>
        </is>
      </c>
    </row>
    <row r="178">
      <c r="A178" s="4" t="inlineStr">
        <is>
          <t>Annual CAC inflation</t>
        </is>
      </c>
      <c r="B178" s="21" t="n">
        <v>0.05</v>
      </c>
      <c r="C178" s="4" t="inlineStr">
        <is>
          <t>% / year</t>
        </is>
      </c>
      <c r="G178" s="17" t="inlineStr"/>
    </row>
    <row r="179">
      <c r="A179" s="4" t="inlineStr">
        <is>
          <t>Paid acquisition floor budget from the seed month</t>
        </is>
      </c>
      <c r="B179" s="22" t="n">
        <v>40000</v>
      </c>
      <c r="C179" s="4" t="inlineStr">
        <is>
          <t>R / month</t>
        </is>
      </c>
      <c r="G179" s="17" t="inlineStr">
        <is>
          <t>Lets paid acquisition start before MRR is large</t>
        </is>
      </c>
    </row>
    <row r="180">
      <c r="A180" s="4" t="inlineStr">
        <is>
          <t>Brand, content &amp; community: ceiling FY1</t>
        </is>
      </c>
      <c r="B180" s="22" t="n">
        <v>50000</v>
      </c>
      <c r="C180" s="4" t="inlineStr">
        <is>
          <t>R / month</t>
        </is>
      </c>
      <c r="G180" s="17" t="inlineStr">
        <is>
          <t>Budget = MIN(ceiling, floor + % of MRR)</t>
        </is>
      </c>
    </row>
    <row r="181">
      <c r="A181" s="4" t="inlineStr">
        <is>
          <t>Brand, content &amp; community: ceiling FY2</t>
        </is>
      </c>
      <c r="B181" s="22" t="n">
        <v>120000</v>
      </c>
      <c r="C181" s="4" t="inlineStr">
        <is>
          <t>R / month</t>
        </is>
      </c>
      <c r="G181" s="17" t="inlineStr"/>
    </row>
    <row r="182">
      <c r="A182" s="4" t="inlineStr">
        <is>
          <t>Brand, content &amp; community: ceiling FY3</t>
        </is>
      </c>
      <c r="B182" s="22" t="n">
        <v>220000</v>
      </c>
      <c r="C182" s="4" t="inlineStr">
        <is>
          <t>R / month</t>
        </is>
      </c>
      <c r="G182" s="17" t="inlineStr"/>
    </row>
    <row r="183">
      <c r="A183" s="4" t="inlineStr">
        <is>
          <t>Brand, content &amp; community: ceiling FY4</t>
        </is>
      </c>
      <c r="B183" s="22" t="n">
        <v>320000</v>
      </c>
      <c r="C183" s="4" t="inlineStr">
        <is>
          <t>R / month</t>
        </is>
      </c>
      <c r="G183" s="17" t="inlineStr"/>
    </row>
    <row r="184">
      <c r="A184" s="4" t="inlineStr">
        <is>
          <t>Brand, content &amp; community: ceiling FY5</t>
        </is>
      </c>
      <c r="B184" s="22" t="n">
        <v>420000</v>
      </c>
      <c r="C184" s="4" t="inlineStr">
        <is>
          <t>R / month</t>
        </is>
      </c>
      <c r="G184" s="17" t="inlineStr"/>
    </row>
    <row r="185">
      <c r="A185" s="4" t="inlineStr">
        <is>
          <t>Brand budget floor from the seed month</t>
        </is>
      </c>
      <c r="B185" s="22" t="n">
        <v>25000</v>
      </c>
      <c r="C185" s="4" t="inlineStr">
        <is>
          <t>R / month</t>
        </is>
      </c>
      <c r="G185" s="17" t="inlineStr"/>
    </row>
    <row r="186">
      <c r="A186" s="4" t="inlineStr">
        <is>
          <t>Brand budget as % of last month's net MRR</t>
        </is>
      </c>
      <c r="B186" s="21" t="n">
        <v>0.04</v>
      </c>
      <c r="C186" s="4" t="inlineStr">
        <is>
          <t>% of MRR</t>
        </is>
      </c>
      <c r="G186" s="17" t="inlineStr"/>
    </row>
    <row r="187">
      <c r="A187" s="4" t="inlineStr">
        <is>
          <t>Partner programme cost per new agency</t>
        </is>
      </c>
      <c r="B187" s="22" t="n">
        <v>6000</v>
      </c>
      <c r="C187" s="4" t="inlineStr">
        <is>
          <t>R</t>
        </is>
      </c>
      <c r="G187" s="17" t="inlineStr"/>
    </row>
    <row r="188">
      <c r="A188" s="4" t="inlineStr">
        <is>
          <t>Partner programme events &amp; directory</t>
        </is>
      </c>
      <c r="B188" s="22" t="n">
        <v>15000</v>
      </c>
      <c r="C188" s="4" t="inlineStr">
        <is>
          <t>R / month</t>
        </is>
      </c>
      <c r="G188" s="17" t="inlineStr"/>
    </row>
    <row r="189">
      <c r="A189" s="4" t="inlineStr">
        <is>
          <t>Partner programme events start month #</t>
        </is>
      </c>
      <c r="B189" s="23" t="n">
        <v>8</v>
      </c>
      <c r="C189" s="4" t="inlineStr">
        <is>
          <t>month #</t>
        </is>
      </c>
      <c r="G189" s="17" t="inlineStr">
        <is>
          <t>May 2027</t>
        </is>
      </c>
    </row>
    <row r="190">
      <c r="A190" s="4" t="inlineStr">
        <is>
          <t>Inbound enterprise handling cost per deal</t>
        </is>
      </c>
      <c r="B190" s="22" t="n">
        <v>25000</v>
      </c>
      <c r="C190" s="4" t="inlineStr">
        <is>
          <t>R</t>
        </is>
      </c>
      <c r="G190" s="17" t="inlineStr">
        <is>
          <t>Solutioning, security reviews, travel</t>
        </is>
      </c>
    </row>
    <row r="191">
      <c r="A191" s="4" t="inlineStr">
        <is>
          <t>Office / co-working per FTE (from seed)</t>
        </is>
      </c>
      <c r="B191" s="22" t="n">
        <v>4000</v>
      </c>
      <c r="C191" s="4" t="inlineStr">
        <is>
          <t>R / month</t>
        </is>
      </c>
      <c r="G191" s="17" t="inlineStr"/>
    </row>
    <row r="192">
      <c r="A192" s="4" t="inlineStr">
        <is>
          <t>Fixed G&amp;A (accounting, audit, insurance, banking): FY1</t>
        </is>
      </c>
      <c r="B192" s="22" t="n">
        <v>30000</v>
      </c>
      <c r="C192" s="4" t="inlineStr">
        <is>
          <t>R / month</t>
        </is>
      </c>
      <c r="G192" s="17" t="inlineStr"/>
    </row>
    <row r="193">
      <c r="A193" s="4" t="inlineStr">
        <is>
          <t>Fixed G&amp;A (accounting, audit, insurance, banking): FY2</t>
        </is>
      </c>
      <c r="B193" s="22" t="n">
        <v>55000</v>
      </c>
      <c r="C193" s="4" t="inlineStr">
        <is>
          <t>R / month</t>
        </is>
      </c>
      <c r="G193" s="17" t="inlineStr"/>
    </row>
    <row r="194">
      <c r="A194" s="4" t="inlineStr">
        <is>
          <t>Fixed G&amp;A (accounting, audit, insurance, banking): FY3</t>
        </is>
      </c>
      <c r="B194" s="22" t="n">
        <v>80000</v>
      </c>
      <c r="C194" s="4" t="inlineStr">
        <is>
          <t>R / month</t>
        </is>
      </c>
      <c r="G194" s="17" t="inlineStr"/>
    </row>
    <row r="195">
      <c r="A195" s="4" t="inlineStr">
        <is>
          <t>Fixed G&amp;A (accounting, audit, insurance, banking): FY4</t>
        </is>
      </c>
      <c r="B195" s="22" t="n">
        <v>105000</v>
      </c>
      <c r="C195" s="4" t="inlineStr">
        <is>
          <t>R / month</t>
        </is>
      </c>
      <c r="G195" s="17" t="inlineStr"/>
    </row>
    <row r="196">
      <c r="A196" s="4" t="inlineStr">
        <is>
          <t>Fixed G&amp;A (accounting, audit, insurance, banking): FY5</t>
        </is>
      </c>
      <c r="B196" s="22" t="n">
        <v>130000</v>
      </c>
      <c r="C196" s="4" t="inlineStr">
        <is>
          <t>R / month</t>
        </is>
      </c>
      <c r="G196" s="17" t="inlineStr"/>
    </row>
    <row r="197">
      <c r="A197" s="4" t="inlineStr">
        <is>
          <t>Equipment per new hire (expensed)</t>
        </is>
      </c>
      <c r="B197" s="22" t="n">
        <v>20000</v>
      </c>
      <c r="C197" s="4" t="inlineStr">
        <is>
          <t>R</t>
        </is>
      </c>
      <c r="G197" s="17" t="inlineStr"/>
    </row>
    <row r="198">
      <c r="A198" s="4" t="inlineStr">
        <is>
          <t>Meta, legal &amp; compliance base (from seed)</t>
        </is>
      </c>
      <c r="B198" s="22" t="n">
        <v>20000</v>
      </c>
      <c r="C198" s="4" t="inlineStr">
        <is>
          <t>R / month</t>
        </is>
      </c>
      <c r="G198" s="17" t="inlineStr">
        <is>
          <t>POPIA Information Officer, Meta Tech Provider, contracts</t>
        </is>
      </c>
    </row>
    <row r="199">
      <c r="A199" s="4" t="inlineStr">
        <is>
          <t>Software &amp; tools per FTE</t>
        </is>
      </c>
      <c r="B199" s="22" t="n">
        <v>3000</v>
      </c>
      <c r="C199" s="4" t="inlineStr">
        <is>
          <t>R / month</t>
        </is>
      </c>
      <c r="G199" s="17" t="inlineStr"/>
    </row>
    <row r="200">
      <c r="A200" s="4" t="inlineStr">
        <is>
          <t>Travel per FTE (from seed)</t>
        </is>
      </c>
      <c r="B200" s="22" t="n">
        <v>2000</v>
      </c>
      <c r="C200" s="4" t="inlineStr">
        <is>
          <t>R / month</t>
        </is>
      </c>
      <c r="G200" s="17" t="inlineStr"/>
    </row>
    <row r="201">
      <c r="A201" s="19" t="inlineStr">
        <is>
          <t>Working capital (simplified)</t>
        </is>
      </c>
      <c r="B201" s="19" t="n"/>
      <c r="C201" s="19" t="n"/>
      <c r="D201" s="19" t="n"/>
      <c r="E201" s="19" t="n"/>
      <c r="F201" s="19" t="n"/>
      <c r="G201" s="19" t="n"/>
    </row>
    <row r="202">
      <c r="A202" s="4" t="inlineStr">
        <is>
          <t>Deferred revenue held on annual self-serve plans</t>
        </is>
      </c>
      <c r="B202" s="28" t="n">
        <v>5.5</v>
      </c>
      <c r="C202" s="4" t="inlineStr">
        <is>
          <t>months of annual-plan revenue</t>
        </is>
      </c>
      <c r="G202" s="17" t="inlineStr"/>
    </row>
    <row r="203">
      <c r="A203" s="4" t="inlineStr">
        <is>
          <t>Receivables on agency &amp; enterprise invoices</t>
        </is>
      </c>
      <c r="B203" s="28" t="n">
        <v>1</v>
      </c>
      <c r="C203" s="4" t="inlineStr">
        <is>
          <t>months of revenue</t>
        </is>
      </c>
      <c r="G203" s="17" t="inlineStr"/>
    </row>
    <row r="204">
      <c r="A204" s="19" t="inlineStr">
        <is>
          <t>Headcount plan: monthly cost-to-company in 2026 rand (escalated). COST DISCIPLINE: a role is hired only once month # &gt;= earliest hire, the seed has landed, and last month's net MRR &gt;= MRR gate x scenario gate multiplier</t>
        </is>
      </c>
      <c r="B204" s="19" t="n"/>
      <c r="C204" s="19" t="n"/>
      <c r="D204" s="19" t="n"/>
      <c r="E204" s="19" t="n"/>
      <c r="F204" s="19" t="n"/>
      <c r="G204" s="19" t="n"/>
    </row>
    <row r="205">
      <c r="A205" s="6" t="inlineStr">
        <is>
          <t>Role</t>
        </is>
      </c>
      <c r="B205" s="6" t="inlineStr">
        <is>
          <t>Monthly CTC (R)</t>
        </is>
      </c>
      <c r="C205" s="6" t="inlineStr">
        <is>
          <t>Department</t>
        </is>
      </c>
      <c r="D205" s="6" t="inlineStr">
        <is>
          <t>FTE count</t>
        </is>
      </c>
      <c r="E205" s="6" t="inlineStr">
        <is>
          <t>Earliest hire month #</t>
        </is>
      </c>
      <c r="F205" s="6" t="inlineStr">
        <is>
          <t>MRR gate (R net MRR)</t>
        </is>
      </c>
      <c r="G205" s="6" t="inlineStr">
        <is>
          <t>Note</t>
        </is>
      </c>
    </row>
    <row r="206">
      <c r="A206" s="4" t="inlineStr">
        <is>
          <t>Founder &amp; CEO (reduced salary)</t>
        </is>
      </c>
      <c r="B206" s="22" t="n">
        <v>45000</v>
      </c>
      <c r="C206" s="4" t="inlineStr">
        <is>
          <t>Leadership</t>
        </is>
      </c>
      <c r="D206" s="23" t="n">
        <v>1</v>
      </c>
      <c r="E206" s="23" t="n">
        <v>1</v>
      </c>
      <c r="F206" s="22" t="n">
        <v>0</v>
      </c>
      <c r="G206" s="17" t="inlineStr">
        <is>
          <t>Founder: from month 1 (lean pre-seed mode)</t>
        </is>
      </c>
    </row>
    <row r="207">
      <c r="A207" s="4" t="inlineStr">
        <is>
          <t>CTO / founding engineer (reduced salary)</t>
        </is>
      </c>
      <c r="B207" s="22" t="n">
        <v>55000</v>
      </c>
      <c r="C207" s="4" t="inlineStr">
        <is>
          <t>Leadership</t>
        </is>
      </c>
      <c r="D207" s="23" t="n">
        <v>1</v>
      </c>
      <c r="E207" s="23" t="n">
        <v>1</v>
      </c>
      <c r="F207" s="22" t="n">
        <v>0</v>
      </c>
      <c r="G207" s="17" t="inlineStr">
        <is>
          <t>Founder: from month 1 (lean pre-seed mode)</t>
        </is>
      </c>
    </row>
    <row r="208">
      <c r="A208" s="4" t="inlineStr">
        <is>
          <t>Senior full-stack engineers</t>
        </is>
      </c>
      <c r="B208" s="22" t="n">
        <v>70000</v>
      </c>
      <c r="C208" s="4" t="inlineStr">
        <is>
          <t>Engineering &amp; product</t>
        </is>
      </c>
      <c r="D208" s="23" t="n">
        <v>2</v>
      </c>
      <c r="E208" s="23" t="n">
        <v>5</v>
      </c>
      <c r="F208" s="22" t="n">
        <v>0</v>
      </c>
      <c r="G208" s="17" t="inlineStr">
        <is>
          <t>Earliest Feb 2027</t>
        </is>
      </c>
    </row>
    <row r="209">
      <c r="A209" s="4" t="inlineStr">
        <is>
          <t>AI / ML engineer</t>
        </is>
      </c>
      <c r="B209" s="22" t="n">
        <v>80000</v>
      </c>
      <c r="C209" s="4" t="inlineStr">
        <is>
          <t>Engineering &amp; product</t>
        </is>
      </c>
      <c r="D209" s="23" t="n">
        <v>1</v>
      </c>
      <c r="E209" s="23" t="n">
        <v>6</v>
      </c>
      <c r="F209" s="22" t="n">
        <v>0</v>
      </c>
      <c r="G209" s="17" t="inlineStr">
        <is>
          <t>Earliest Mar 2027</t>
        </is>
      </c>
    </row>
    <row r="210">
      <c r="A210" s="4" t="inlineStr">
        <is>
          <t>Product designer (UX)</t>
        </is>
      </c>
      <c r="B210" s="22" t="n">
        <v>50000</v>
      </c>
      <c r="C210" s="4" t="inlineStr">
        <is>
          <t>Engineering &amp; product</t>
        </is>
      </c>
      <c r="D210" s="23" t="n">
        <v>1</v>
      </c>
      <c r="E210" s="23" t="n">
        <v>8</v>
      </c>
      <c r="F210" s="22" t="n">
        <v>150000</v>
      </c>
      <c r="G210" s="17" t="inlineStr">
        <is>
          <t>Earliest May 2027</t>
        </is>
      </c>
    </row>
    <row r="211">
      <c r="A211" s="4" t="inlineStr">
        <is>
          <t>Full-stack engineers</t>
        </is>
      </c>
      <c r="B211" s="22" t="n">
        <v>55000</v>
      </c>
      <c r="C211" s="4" t="inlineStr">
        <is>
          <t>Engineering &amp; product</t>
        </is>
      </c>
      <c r="D211" s="23" t="n">
        <v>2</v>
      </c>
      <c r="E211" s="23" t="n">
        <v>12</v>
      </c>
      <c r="F211" s="22" t="n">
        <v>400000</v>
      </c>
      <c r="G211" s="17" t="inlineStr">
        <is>
          <t>Earliest Sep 2027</t>
        </is>
      </c>
    </row>
    <row r="212">
      <c r="A212" s="4" t="inlineStr">
        <is>
          <t>DevOps / QA engineer</t>
        </is>
      </c>
      <c r="B212" s="22" t="n">
        <v>60000</v>
      </c>
      <c r="C212" s="4" t="inlineStr">
        <is>
          <t>Engineering &amp; product</t>
        </is>
      </c>
      <c r="D212" s="23" t="n">
        <v>1</v>
      </c>
      <c r="E212" s="23" t="n">
        <v>15</v>
      </c>
      <c r="F212" s="22" t="n">
        <v>800000</v>
      </c>
      <c r="G212" s="17" t="inlineStr">
        <is>
          <t>Earliest Dec 2027</t>
        </is>
      </c>
    </row>
    <row r="213">
      <c r="A213" s="4" t="inlineStr">
        <is>
          <t>Integrations engineers (social adapters, commerce, CRM)</t>
        </is>
      </c>
      <c r="B213" s="22" t="n">
        <v>60000</v>
      </c>
      <c r="C213" s="4" t="inlineStr">
        <is>
          <t>Engineering &amp; product</t>
        </is>
      </c>
      <c r="D213" s="23" t="n">
        <v>2</v>
      </c>
      <c r="E213" s="23" t="n">
        <v>16</v>
      </c>
      <c r="F213" s="22" t="n">
        <v>1000000</v>
      </c>
      <c r="G213" s="17" t="inlineStr">
        <is>
          <t>Earliest Jan 2028</t>
        </is>
      </c>
    </row>
    <row r="214">
      <c r="A214" s="4" t="inlineStr">
        <is>
          <t>Product manager</t>
        </is>
      </c>
      <c r="B214" s="22" t="n">
        <v>70000</v>
      </c>
      <c r="C214" s="4" t="inlineStr">
        <is>
          <t>Engineering &amp; product</t>
        </is>
      </c>
      <c r="D214" s="23" t="n">
        <v>1</v>
      </c>
      <c r="E214" s="23" t="n">
        <v>20</v>
      </c>
      <c r="F214" s="22" t="n">
        <v>1500000</v>
      </c>
      <c r="G214" s="17" t="inlineStr">
        <is>
          <t>Earliest May 2028</t>
        </is>
      </c>
    </row>
    <row r="215">
      <c r="A215" s="4" t="inlineStr">
        <is>
          <t>Security &amp; compliance engineer</t>
        </is>
      </c>
      <c r="B215" s="22" t="n">
        <v>80000</v>
      </c>
      <c r="C215" s="4" t="inlineStr">
        <is>
          <t>Engineering &amp; product</t>
        </is>
      </c>
      <c r="D215" s="23" t="n">
        <v>1</v>
      </c>
      <c r="E215" s="23" t="n">
        <v>24</v>
      </c>
      <c r="F215" s="22" t="n">
        <v>2500000</v>
      </c>
      <c r="G215" s="17" t="inlineStr">
        <is>
          <t>Earliest Sep 2028</t>
        </is>
      </c>
    </row>
    <row r="216">
      <c r="A216" s="4" t="inlineStr">
        <is>
          <t>Payments &amp; data engineers</t>
        </is>
      </c>
      <c r="B216" s="22" t="n">
        <v>65000</v>
      </c>
      <c r="C216" s="4" t="inlineStr">
        <is>
          <t>Engineering &amp; product</t>
        </is>
      </c>
      <c r="D216" s="23" t="n">
        <v>2</v>
      </c>
      <c r="E216" s="23" t="n">
        <v>28</v>
      </c>
      <c r="F216" s="22" t="n">
        <v>3500000</v>
      </c>
      <c r="G216" s="17" t="inlineStr">
        <is>
          <t>Earliest Jan 2029</t>
        </is>
      </c>
    </row>
    <row r="217">
      <c r="A217" s="4" t="inlineStr">
        <is>
          <t>Engineers (scale-up I)</t>
        </is>
      </c>
      <c r="B217" s="22" t="n">
        <v>65000</v>
      </c>
      <c r="C217" s="4" t="inlineStr">
        <is>
          <t>Engineering &amp; product</t>
        </is>
      </c>
      <c r="D217" s="23" t="n">
        <v>3</v>
      </c>
      <c r="E217" s="23" t="n">
        <v>30</v>
      </c>
      <c r="F217" s="22" t="n">
        <v>5000000</v>
      </c>
      <c r="G217" s="17" t="inlineStr">
        <is>
          <t>Earliest Mar 2029</t>
        </is>
      </c>
    </row>
    <row r="218">
      <c r="A218" s="4" t="inlineStr">
        <is>
          <t>VP Engineering</t>
        </is>
      </c>
      <c r="B218" s="22" t="n">
        <v>110000</v>
      </c>
      <c r="C218" s="4" t="inlineStr">
        <is>
          <t>Engineering &amp; product</t>
        </is>
      </c>
      <c r="D218" s="23" t="n">
        <v>1</v>
      </c>
      <c r="E218" s="23" t="n">
        <v>36</v>
      </c>
      <c r="F218" s="22" t="n">
        <v>7000000</v>
      </c>
      <c r="G218" s="17" t="inlineStr">
        <is>
          <t>Earliest Sep 2029</t>
        </is>
      </c>
    </row>
    <row r="219">
      <c r="A219" s="4" t="inlineStr">
        <is>
          <t>Product manager #2</t>
        </is>
      </c>
      <c r="B219" s="22" t="n">
        <v>75000</v>
      </c>
      <c r="C219" s="4" t="inlineStr">
        <is>
          <t>Engineering &amp; product</t>
        </is>
      </c>
      <c r="D219" s="23" t="n">
        <v>1</v>
      </c>
      <c r="E219" s="23" t="n">
        <v>36</v>
      </c>
      <c r="F219" s="22" t="n">
        <v>8000000</v>
      </c>
      <c r="G219" s="17" t="inlineStr">
        <is>
          <t>Earliest Sep 2029</t>
        </is>
      </c>
    </row>
    <row r="220">
      <c r="A220" s="4" t="inlineStr">
        <is>
          <t>Engineers (scale-up II)</t>
        </is>
      </c>
      <c r="B220" s="22" t="n">
        <v>70000</v>
      </c>
      <c r="C220" s="4" t="inlineStr">
        <is>
          <t>Engineering &amp; product</t>
        </is>
      </c>
      <c r="D220" s="23" t="n">
        <v>4</v>
      </c>
      <c r="E220" s="23" t="n">
        <v>40</v>
      </c>
      <c r="F220" s="22" t="n">
        <v>10000000</v>
      </c>
      <c r="G220" s="17" t="inlineStr">
        <is>
          <t>Earliest Jan 2030</t>
        </is>
      </c>
    </row>
    <row r="221">
      <c r="A221" s="4" t="inlineStr">
        <is>
          <t>Data / AI engineers</t>
        </is>
      </c>
      <c r="B221" s="22" t="n">
        <v>85000</v>
      </c>
      <c r="C221" s="4" t="inlineStr">
        <is>
          <t>Engineering &amp; product</t>
        </is>
      </c>
      <c r="D221" s="23" t="n">
        <v>2</v>
      </c>
      <c r="E221" s="23" t="n">
        <v>44</v>
      </c>
      <c r="F221" s="22" t="n">
        <v>13000000</v>
      </c>
      <c r="G221" s="17" t="inlineStr">
        <is>
          <t>Earliest May 2030</t>
        </is>
      </c>
    </row>
    <row r="222">
      <c r="A222" s="4" t="inlineStr">
        <is>
          <t>Engineers (scale-up III)</t>
        </is>
      </c>
      <c r="B222" s="22" t="n">
        <v>75000</v>
      </c>
      <c r="C222" s="4" t="inlineStr">
        <is>
          <t>Engineering &amp; product</t>
        </is>
      </c>
      <c r="D222" s="23" t="n">
        <v>4</v>
      </c>
      <c r="E222" s="23" t="n">
        <v>50</v>
      </c>
      <c r="F222" s="22" t="n">
        <v>17000000</v>
      </c>
      <c r="G222" s="17" t="inlineStr">
        <is>
          <t>Earliest Nov 2030</t>
        </is>
      </c>
    </row>
    <row r="223">
      <c r="A223" s="4" t="inlineStr">
        <is>
          <t>Engineers (scale-up IV: social adapters &amp; integrations at scale)</t>
        </is>
      </c>
      <c r="B223" s="22" t="n">
        <v>80000</v>
      </c>
      <c r="C223" s="4" t="inlineStr">
        <is>
          <t>Engineering &amp; product</t>
        </is>
      </c>
      <c r="D223" s="23" t="n">
        <v>5</v>
      </c>
      <c r="E223" s="23" t="n">
        <v>44</v>
      </c>
      <c r="F223" s="22" t="n">
        <v>14000000</v>
      </c>
      <c r="G223" s="17" t="inlineStr">
        <is>
          <t>Earliest May 2030</t>
        </is>
      </c>
    </row>
    <row r="224">
      <c r="A224" s="4" t="inlineStr">
        <is>
          <t>Data &amp; AI team II</t>
        </is>
      </c>
      <c r="B224" s="22" t="n">
        <v>90000</v>
      </c>
      <c r="C224" s="4" t="inlineStr">
        <is>
          <t>Engineering &amp; product</t>
        </is>
      </c>
      <c r="D224" s="23" t="n">
        <v>3</v>
      </c>
      <c r="E224" s="23" t="n">
        <v>50</v>
      </c>
      <c r="F224" s="22" t="n">
        <v>19000000</v>
      </c>
      <c r="G224" s="17" t="inlineStr">
        <is>
          <t>Earliest Nov 2030</t>
        </is>
      </c>
    </row>
    <row r="225">
      <c r="A225" s="4" t="inlineStr">
        <is>
          <t>Head of Growth</t>
        </is>
      </c>
      <c r="B225" s="22" t="n">
        <v>70000</v>
      </c>
      <c r="C225" s="4" t="inlineStr">
        <is>
          <t>Marketing</t>
        </is>
      </c>
      <c r="D225" s="23" t="n">
        <v>1</v>
      </c>
      <c r="E225" s="23" t="n">
        <v>5</v>
      </c>
      <c r="F225" s="22" t="n">
        <v>0</v>
      </c>
      <c r="G225" s="17" t="inlineStr">
        <is>
          <t>Earliest Feb 2027</t>
        </is>
      </c>
    </row>
    <row r="226">
      <c r="A226" s="4" t="inlineStr">
        <is>
          <t>Performance marketer</t>
        </is>
      </c>
      <c r="B226" s="22" t="n">
        <v>40000</v>
      </c>
      <c r="C226" s="4" t="inlineStr">
        <is>
          <t>Marketing</t>
        </is>
      </c>
      <c r="D226" s="23" t="n">
        <v>1</v>
      </c>
      <c r="E226" s="23" t="n">
        <v>7</v>
      </c>
      <c r="F226" s="22" t="n">
        <v>100000</v>
      </c>
      <c r="G226" s="17" t="inlineStr">
        <is>
          <t>Earliest Apr 2027</t>
        </is>
      </c>
    </row>
    <row r="227">
      <c r="A227" s="4" t="inlineStr">
        <is>
          <t>Multilingual content &amp; community</t>
        </is>
      </c>
      <c r="B227" s="22" t="n">
        <v>28000</v>
      </c>
      <c r="C227" s="4" t="inlineStr">
        <is>
          <t>Marketing</t>
        </is>
      </c>
      <c r="D227" s="23" t="n">
        <v>2</v>
      </c>
      <c r="E227" s="23" t="n">
        <v>9</v>
      </c>
      <c r="F227" s="22" t="n">
        <v>300000</v>
      </c>
      <c r="G227" s="17" t="inlineStr">
        <is>
          <t>Earliest Jun 2027</t>
        </is>
      </c>
    </row>
    <row r="228">
      <c r="A228" s="4" t="inlineStr">
        <is>
          <t>Lifecycle &amp; growth marketers</t>
        </is>
      </c>
      <c r="B228" s="22" t="n">
        <v>40000</v>
      </c>
      <c r="C228" s="4" t="inlineStr">
        <is>
          <t>Marketing</t>
        </is>
      </c>
      <c r="D228" s="23" t="n">
        <v>2</v>
      </c>
      <c r="E228" s="23" t="n">
        <v>20</v>
      </c>
      <c r="F228" s="22" t="n">
        <v>1500000</v>
      </c>
      <c r="G228" s="17" t="inlineStr">
        <is>
          <t>Earliest May 2028</t>
        </is>
      </c>
    </row>
    <row r="229">
      <c r="A229" s="4" t="inlineStr">
        <is>
          <t>Marketing team expansion I</t>
        </is>
      </c>
      <c r="B229" s="22" t="n">
        <v>42000</v>
      </c>
      <c r="C229" s="4" t="inlineStr">
        <is>
          <t>Marketing</t>
        </is>
      </c>
      <c r="D229" s="23" t="n">
        <v>3</v>
      </c>
      <c r="E229" s="23" t="n">
        <v>30</v>
      </c>
      <c r="F229" s="22" t="n">
        <v>5000000</v>
      </c>
      <c r="G229" s="17" t="inlineStr">
        <is>
          <t>Earliest Mar 2029</t>
        </is>
      </c>
    </row>
    <row r="230">
      <c r="A230" s="4" t="inlineStr">
        <is>
          <t>Marketing team expansion II</t>
        </is>
      </c>
      <c r="B230" s="22" t="n">
        <v>45000</v>
      </c>
      <c r="C230" s="4" t="inlineStr">
        <is>
          <t>Marketing</t>
        </is>
      </c>
      <c r="D230" s="23" t="n">
        <v>3</v>
      </c>
      <c r="E230" s="23" t="n">
        <v>44</v>
      </c>
      <c r="F230" s="22" t="n">
        <v>12000000</v>
      </c>
      <c r="G230" s="17" t="inlineStr">
        <is>
          <t>Earliest May 2030</t>
        </is>
      </c>
    </row>
    <row r="231">
      <c r="A231" s="4" t="inlineStr">
        <is>
          <t>Marketing team expansion III</t>
        </is>
      </c>
      <c r="B231" s="22" t="n">
        <v>48000</v>
      </c>
      <c r="C231" s="4" t="inlineStr">
        <is>
          <t>Marketing</t>
        </is>
      </c>
      <c r="D231" s="23" t="n">
        <v>4</v>
      </c>
      <c r="E231" s="23" t="n">
        <v>46</v>
      </c>
      <c r="F231" s="22" t="n">
        <v>15000000</v>
      </c>
      <c r="G231" s="17" t="inlineStr">
        <is>
          <t>Earliest Jul 2030</t>
        </is>
      </c>
    </row>
    <row r="232">
      <c r="A232" s="4" t="inlineStr">
        <is>
          <t>Partnerships manager #1 (agency programme)</t>
        </is>
      </c>
      <c r="B232" s="22" t="n">
        <v>50000</v>
      </c>
      <c r="C232" s="4" t="inlineStr">
        <is>
          <t>Sales &amp; partnerships</t>
        </is>
      </c>
      <c r="D232" s="23" t="n">
        <v>1</v>
      </c>
      <c r="E232" s="23" t="n">
        <v>5</v>
      </c>
      <c r="F232" s="22" t="n">
        <v>0</v>
      </c>
      <c r="G232" s="17" t="inlineStr">
        <is>
          <t>Earliest Feb 2027; partnerships manager (drives agency sign-ups)</t>
        </is>
      </c>
    </row>
    <row r="233">
      <c r="A233" s="4" t="inlineStr">
        <is>
          <t>Partnerships manager #2</t>
        </is>
      </c>
      <c r="B233" s="22" t="n">
        <v>50000</v>
      </c>
      <c r="C233" s="4" t="inlineStr">
        <is>
          <t>Sales &amp; partnerships</t>
        </is>
      </c>
      <c r="D233" s="23" t="n">
        <v>1</v>
      </c>
      <c r="E233" s="23" t="n">
        <v>14</v>
      </c>
      <c r="F233" s="22" t="n">
        <v>800000</v>
      </c>
      <c r="G233" s="17" t="inlineStr">
        <is>
          <t>Earliest Nov 2027; partnerships manager (drives agency sign-ups)</t>
        </is>
      </c>
    </row>
    <row r="234">
      <c r="A234" s="4" t="inlineStr">
        <is>
          <t>Partnerships managers (scale-up I)</t>
        </is>
      </c>
      <c r="B234" s="22" t="n">
        <v>50000</v>
      </c>
      <c r="C234" s="4" t="inlineStr">
        <is>
          <t>Sales &amp; partnerships</t>
        </is>
      </c>
      <c r="D234" s="23" t="n">
        <v>2</v>
      </c>
      <c r="E234" s="23" t="n">
        <v>27</v>
      </c>
      <c r="F234" s="22" t="n">
        <v>3500000</v>
      </c>
      <c r="G234" s="17" t="inlineStr">
        <is>
          <t>Earliest Dec 2028; partnerships manager (drives agency sign-ups)</t>
        </is>
      </c>
    </row>
    <row r="235">
      <c r="A235" s="4" t="inlineStr">
        <is>
          <t>Partnerships managers (scale-up II)</t>
        </is>
      </c>
      <c r="B235" s="22" t="n">
        <v>55000</v>
      </c>
      <c r="C235" s="4" t="inlineStr">
        <is>
          <t>Sales &amp; partnerships</t>
        </is>
      </c>
      <c r="D235" s="23" t="n">
        <v>2</v>
      </c>
      <c r="E235" s="23" t="n">
        <v>38</v>
      </c>
      <c r="F235" s="22" t="n">
        <v>9000000</v>
      </c>
      <c r="G235" s="17" t="inlineStr">
        <is>
          <t>Earliest Nov 2029; partnerships manager (drives agency sign-ups)</t>
        </is>
      </c>
    </row>
    <row r="236">
      <c r="A236" s="4" t="inlineStr">
        <is>
          <t>SME onboarding &amp; sales-assist</t>
        </is>
      </c>
      <c r="B236" s="22" t="n">
        <v>30000</v>
      </c>
      <c r="C236" s="4" t="inlineStr">
        <is>
          <t>Sales &amp; partnerships</t>
        </is>
      </c>
      <c r="D236" s="23" t="n">
        <v>2</v>
      </c>
      <c r="E236" s="23" t="n">
        <v>12</v>
      </c>
      <c r="F236" s="22" t="n">
        <v>600000</v>
      </c>
      <c r="G236" s="17" t="inlineStr">
        <is>
          <t>Earliest Sep 2027</t>
        </is>
      </c>
    </row>
    <row r="237">
      <c r="A237" s="4" t="inlineStr">
        <is>
          <t>Head of Sales &amp; Partnerships</t>
        </is>
      </c>
      <c r="B237" s="22" t="n">
        <v>95000</v>
      </c>
      <c r="C237" s="4" t="inlineStr">
        <is>
          <t>Sales &amp; partnerships</t>
        </is>
      </c>
      <c r="D237" s="23" t="n">
        <v>1</v>
      </c>
      <c r="E237" s="23" t="n">
        <v>30</v>
      </c>
      <c r="F237" s="22" t="n">
        <v>5000000</v>
      </c>
      <c r="G237" s="17" t="inlineStr">
        <is>
          <t>Earliest Mar 2029</t>
        </is>
      </c>
    </row>
    <row r="238">
      <c r="A238" s="4" t="inlineStr">
        <is>
          <t>SME account managers</t>
        </is>
      </c>
      <c r="B238" s="22" t="n">
        <v>45000</v>
      </c>
      <c r="C238" s="4" t="inlineStr">
        <is>
          <t>Sales &amp; partnerships</t>
        </is>
      </c>
      <c r="D238" s="23" t="n">
        <v>3</v>
      </c>
      <c r="E238" s="23" t="n">
        <v>40</v>
      </c>
      <c r="F238" s="22" t="n">
        <v>10000000</v>
      </c>
      <c r="G238" s="17" t="inlineStr">
        <is>
          <t>Earliest Jan 2030</t>
        </is>
      </c>
    </row>
    <row r="239">
      <c r="A239" s="4" t="inlineStr">
        <is>
          <t>Partnerships managers (scale-up III)</t>
        </is>
      </c>
      <c r="B239" s="22" t="n">
        <v>55000</v>
      </c>
      <c r="C239" s="4" t="inlineStr">
        <is>
          <t>Sales &amp; partnerships</t>
        </is>
      </c>
      <c r="D239" s="23" t="n">
        <v>2</v>
      </c>
      <c r="E239" s="23" t="n">
        <v>44</v>
      </c>
      <c r="F239" s="22" t="n">
        <v>14000000</v>
      </c>
      <c r="G239" s="17" t="inlineStr">
        <is>
          <t>Earliest May 2030; partnerships manager (drives agency sign-ups)</t>
        </is>
      </c>
    </row>
    <row r="240">
      <c r="A240" s="4" t="inlineStr">
        <is>
          <t>SME account managers II</t>
        </is>
      </c>
      <c r="B240" s="22" t="n">
        <v>45000</v>
      </c>
      <c r="C240" s="4" t="inlineStr">
        <is>
          <t>Sales &amp; partnerships</t>
        </is>
      </c>
      <c r="D240" s="23" t="n">
        <v>4</v>
      </c>
      <c r="E240" s="23" t="n">
        <v>48</v>
      </c>
      <c r="F240" s="22" t="n">
        <v>16000000</v>
      </c>
      <c r="G240" s="17" t="inlineStr">
        <is>
          <t>Earliest Sep 2030</t>
        </is>
      </c>
    </row>
    <row r="241">
      <c r="A241" s="4" t="inlineStr">
        <is>
          <t>Customer success lead</t>
        </is>
      </c>
      <c r="B241" s="22" t="n">
        <v>40000</v>
      </c>
      <c r="C241" s="4" t="inlineStr">
        <is>
          <t>Customer success</t>
        </is>
      </c>
      <c r="D241" s="23" t="n">
        <v>1</v>
      </c>
      <c r="E241" s="23" t="n">
        <v>5</v>
      </c>
      <c r="F241" s="22" t="n">
        <v>0</v>
      </c>
      <c r="G241" s="17" t="inlineStr">
        <is>
          <t>Earliest Feb 2027</t>
        </is>
      </c>
    </row>
    <row r="242">
      <c r="A242" s="4" t="inlineStr">
        <is>
          <t>CS &amp; onboarding agents</t>
        </is>
      </c>
      <c r="B242" s="22" t="n">
        <v>20000</v>
      </c>
      <c r="C242" s="4" t="inlineStr">
        <is>
          <t>Customer success</t>
        </is>
      </c>
      <c r="D242" s="23" t="n">
        <v>2</v>
      </c>
      <c r="E242" s="23" t="n">
        <v>8</v>
      </c>
      <c r="F242" s="22" t="n">
        <v>150000</v>
      </c>
      <c r="G242" s="17" t="inlineStr">
        <is>
          <t>Earliest May 2027</t>
        </is>
      </c>
    </row>
    <row r="243">
      <c r="A243" s="4" t="inlineStr">
        <is>
          <t>CS agents II</t>
        </is>
      </c>
      <c r="B243" s="22" t="n">
        <v>20000</v>
      </c>
      <c r="C243" s="4" t="inlineStr">
        <is>
          <t>Customer success</t>
        </is>
      </c>
      <c r="D243" s="23" t="n">
        <v>4</v>
      </c>
      <c r="E243" s="23" t="n">
        <v>17</v>
      </c>
      <c r="F243" s="22" t="n">
        <v>1200000</v>
      </c>
      <c r="G243" s="17" t="inlineStr">
        <is>
          <t>Earliest Feb 2028</t>
        </is>
      </c>
    </row>
    <row r="244">
      <c r="A244" s="4" t="inlineStr">
        <is>
          <t>CS agents III</t>
        </is>
      </c>
      <c r="B244" s="22" t="n">
        <v>22000</v>
      </c>
      <c r="C244" s="4" t="inlineStr">
        <is>
          <t>Customer success</t>
        </is>
      </c>
      <c r="D244" s="23" t="n">
        <v>6</v>
      </c>
      <c r="E244" s="23" t="n">
        <v>27</v>
      </c>
      <c r="F244" s="22" t="n">
        <v>3500000</v>
      </c>
      <c r="G244" s="17" t="inlineStr">
        <is>
          <t>Earliest Dec 2028</t>
        </is>
      </c>
    </row>
    <row r="245">
      <c r="A245" s="4" t="inlineStr">
        <is>
          <t>CS agents IV</t>
        </is>
      </c>
      <c r="B245" s="22" t="n">
        <v>22000</v>
      </c>
      <c r="C245" s="4" t="inlineStr">
        <is>
          <t>Customer success</t>
        </is>
      </c>
      <c r="D245" s="23" t="n">
        <v>8</v>
      </c>
      <c r="E245" s="23" t="n">
        <v>39</v>
      </c>
      <c r="F245" s="22" t="n">
        <v>9000000</v>
      </c>
      <c r="G245" s="17" t="inlineStr">
        <is>
          <t>Earliest Dec 2029</t>
        </is>
      </c>
    </row>
    <row r="246">
      <c r="A246" s="4" t="inlineStr">
        <is>
          <t>CS agents V</t>
        </is>
      </c>
      <c r="B246" s="22" t="n">
        <v>24000</v>
      </c>
      <c r="C246" s="4" t="inlineStr">
        <is>
          <t>Customer success</t>
        </is>
      </c>
      <c r="D246" s="23" t="n">
        <v>8</v>
      </c>
      <c r="E246" s="23" t="n">
        <v>50</v>
      </c>
      <c r="F246" s="22" t="n">
        <v>16000000</v>
      </c>
      <c r="G246" s="17" t="inlineStr">
        <is>
          <t>Earliest Nov 2030</t>
        </is>
      </c>
    </row>
    <row r="247">
      <c r="A247" s="4" t="inlineStr">
        <is>
          <t>Finance &amp; compliance manager</t>
        </is>
      </c>
      <c r="B247" s="22" t="n">
        <v>55000</v>
      </c>
      <c r="C247" s="4" t="inlineStr">
        <is>
          <t>G&amp;A &amp; compliance</t>
        </is>
      </c>
      <c r="D247" s="23" t="n">
        <v>1</v>
      </c>
      <c r="E247" s="23" t="n">
        <v>8</v>
      </c>
      <c r="F247" s="22" t="n">
        <v>150000</v>
      </c>
      <c r="G247" s="17" t="inlineStr">
        <is>
          <t>Earliest May 2027</t>
        </is>
      </c>
    </row>
    <row r="248">
      <c r="A248" s="4" t="inlineStr">
        <is>
          <t>Operations &amp; admin</t>
        </is>
      </c>
      <c r="B248" s="22" t="n">
        <v>22000</v>
      </c>
      <c r="C248" s="4" t="inlineStr">
        <is>
          <t>G&amp;A &amp; compliance</t>
        </is>
      </c>
      <c r="D248" s="23" t="n">
        <v>1</v>
      </c>
      <c r="E248" s="23" t="n">
        <v>12</v>
      </c>
      <c r="F248" s="22" t="n">
        <v>500000</v>
      </c>
      <c r="G248" s="17" t="inlineStr">
        <is>
          <t>Earliest Sep 2027</t>
        </is>
      </c>
    </row>
    <row r="249">
      <c r="A249" s="4" t="inlineStr">
        <is>
          <t>Legal &amp; data-protection counsel</t>
        </is>
      </c>
      <c r="B249" s="22" t="n">
        <v>70000</v>
      </c>
      <c r="C249" s="4" t="inlineStr">
        <is>
          <t>G&amp;A &amp; compliance</t>
        </is>
      </c>
      <c r="D249" s="23" t="n">
        <v>1</v>
      </c>
      <c r="E249" s="23" t="n">
        <v>22</v>
      </c>
      <c r="F249" s="22" t="n">
        <v>2000000</v>
      </c>
      <c r="G249" s="17" t="inlineStr">
        <is>
          <t>Earliest Jul 2028</t>
        </is>
      </c>
    </row>
    <row r="250">
      <c r="A250" s="4" t="inlineStr">
        <is>
          <t>People &amp; HR partner</t>
        </is>
      </c>
      <c r="B250" s="22" t="n">
        <v>45000</v>
      </c>
      <c r="C250" s="4" t="inlineStr">
        <is>
          <t>G&amp;A &amp; compliance</t>
        </is>
      </c>
      <c r="D250" s="23" t="n">
        <v>1</v>
      </c>
      <c r="E250" s="23" t="n">
        <v>28</v>
      </c>
      <c r="F250" s="22" t="n">
        <v>3500000</v>
      </c>
      <c r="G250" s="17" t="inlineStr">
        <is>
          <t>Earliest Jan 2029</t>
        </is>
      </c>
    </row>
    <row r="251">
      <c r="A251" s="4" t="inlineStr">
        <is>
          <t>Finance analyst</t>
        </is>
      </c>
      <c r="B251" s="22" t="n">
        <v>40000</v>
      </c>
      <c r="C251" s="4" t="inlineStr">
        <is>
          <t>G&amp;A &amp; compliance</t>
        </is>
      </c>
      <c r="D251" s="23" t="n">
        <v>1</v>
      </c>
      <c r="E251" s="23" t="n">
        <v>30</v>
      </c>
      <c r="F251" s="22" t="n">
        <v>5000000</v>
      </c>
      <c r="G251" s="17" t="inlineStr">
        <is>
          <t>Earliest Mar 2029</t>
        </is>
      </c>
    </row>
    <row r="252">
      <c r="A252" s="4" t="inlineStr">
        <is>
          <t>CFO</t>
        </is>
      </c>
      <c r="B252" s="22" t="n">
        <v>120000</v>
      </c>
      <c r="C252" s="4" t="inlineStr">
        <is>
          <t>G&amp;A &amp; compliance</t>
        </is>
      </c>
      <c r="D252" s="23" t="n">
        <v>1</v>
      </c>
      <c r="E252" s="23" t="n">
        <v>36</v>
      </c>
      <c r="F252" s="22" t="n">
        <v>8000000</v>
      </c>
      <c r="G252" s="17" t="inlineStr">
        <is>
          <t>Earliest Sep 2029</t>
        </is>
      </c>
    </row>
    <row r="253">
      <c r="A253" s="4" t="inlineStr">
        <is>
          <t>CS agents VI</t>
        </is>
      </c>
      <c r="B253" s="22" t="n">
        <v>24000</v>
      </c>
      <c r="C253" s="4" t="inlineStr">
        <is>
          <t>Customer success</t>
        </is>
      </c>
      <c r="D253" s="23" t="n">
        <v>10</v>
      </c>
      <c r="E253" s="23" t="n">
        <v>48</v>
      </c>
      <c r="F253" s="22" t="n">
        <v>18000000</v>
      </c>
      <c r="G253" s="17" t="inlineStr">
        <is>
          <t>Earliest Sep 2030</t>
        </is>
      </c>
    </row>
    <row r="254">
      <c r="A254" s="4" t="inlineStr">
        <is>
          <t>Finance, legal &amp; people team expansion</t>
        </is>
      </c>
      <c r="B254" s="22" t="n">
        <v>60000</v>
      </c>
      <c r="C254" s="4" t="inlineStr">
        <is>
          <t>G&amp;A &amp; compliance</t>
        </is>
      </c>
      <c r="D254" s="23" t="n">
        <v>3</v>
      </c>
      <c r="E254" s="23" t="n">
        <v>48</v>
      </c>
      <c r="F254" s="22" t="n">
        <v>16000000</v>
      </c>
      <c r="G254" s="17" t="inlineStr">
        <is>
          <t>Earliest Sep 2030</t>
        </is>
      </c>
    </row>
    <row r="255">
      <c r="A255" s="4" t="inlineStr">
        <is>
          <t>Country lead: Nigeria</t>
        </is>
      </c>
      <c r="B255" s="22" t="n">
        <v>60000</v>
      </c>
      <c r="C255" s="4" t="inlineStr">
        <is>
          <t>Country teams</t>
        </is>
      </c>
      <c r="D255" s="23" t="n">
        <v>1</v>
      </c>
      <c r="E255" s="23" t="n">
        <v>1</v>
      </c>
      <c r="F255" s="22" t="n">
        <v>0</v>
      </c>
      <c r="G255" s="17" t="inlineStr">
        <is>
          <t>Hired at the Nigeria launch decision (2 months before launch) (gate &amp; earliest-hire columns not used)</t>
        </is>
      </c>
    </row>
    <row r="256">
      <c r="A256" s="4" t="inlineStr">
        <is>
          <t>Nigeria sales &amp; CS</t>
        </is>
      </c>
      <c r="B256" s="22" t="n">
        <v>18000</v>
      </c>
      <c r="C256" s="4" t="inlineStr">
        <is>
          <t>Country teams</t>
        </is>
      </c>
      <c r="D256" s="23" t="n">
        <v>2</v>
      </c>
      <c r="E256" s="23" t="n">
        <v>1</v>
      </c>
      <c r="F256" s="22" t="n">
        <v>0</v>
      </c>
      <c r="G256" s="17" t="inlineStr">
        <is>
          <t>Hired in the Nigeria launch month (gate &amp; earliest-hire columns not used)</t>
        </is>
      </c>
    </row>
    <row r="257">
      <c r="A257" s="4" t="inlineStr">
        <is>
          <t>Nigeria team expansion</t>
        </is>
      </c>
      <c r="B257" s="22" t="n">
        <v>20000</v>
      </c>
      <c r="C257" s="4" t="inlineStr">
        <is>
          <t>Country teams</t>
        </is>
      </c>
      <c r="D257" s="23" t="n">
        <v>3</v>
      </c>
      <c r="E257" s="23" t="n">
        <v>1</v>
      </c>
      <c r="F257" s="22" t="n">
        <v>0</v>
      </c>
      <c r="G257" s="17" t="inlineStr">
        <is>
          <t>Hired 12 months after the Nigeria launch (gate &amp; earliest-hire columns not used)</t>
        </is>
      </c>
    </row>
    <row r="258">
      <c r="A258" s="4" t="inlineStr">
        <is>
          <t>Country lead: Kenya</t>
        </is>
      </c>
      <c r="B258" s="22" t="n">
        <v>55000</v>
      </c>
      <c r="C258" s="4" t="inlineStr">
        <is>
          <t>Country teams</t>
        </is>
      </c>
      <c r="D258" s="23" t="n">
        <v>1</v>
      </c>
      <c r="E258" s="23" t="n">
        <v>1</v>
      </c>
      <c r="F258" s="22" t="n">
        <v>0</v>
      </c>
      <c r="G258" s="17" t="inlineStr">
        <is>
          <t>Hired at the Kenya launch decision (2 months before launch) (gate &amp; earliest-hire columns not used)</t>
        </is>
      </c>
    </row>
    <row r="259">
      <c r="A259" s="4" t="inlineStr">
        <is>
          <t>Kenya sales &amp; CS</t>
        </is>
      </c>
      <c r="B259" s="22" t="n">
        <v>18000</v>
      </c>
      <c r="C259" s="4" t="inlineStr">
        <is>
          <t>Country teams</t>
        </is>
      </c>
      <c r="D259" s="23" t="n">
        <v>1</v>
      </c>
      <c r="E259" s="23" t="n">
        <v>1</v>
      </c>
      <c r="F259" s="22" t="n">
        <v>0</v>
      </c>
      <c r="G259" s="17" t="inlineStr">
        <is>
          <t>Hired in the Kenya launch month (gate &amp; earliest-hire columns not used)</t>
        </is>
      </c>
    </row>
    <row r="260">
      <c r="A260" s="4" t="inlineStr">
        <is>
          <t>Kenya team expansion</t>
        </is>
      </c>
      <c r="B260" s="22" t="n">
        <v>20000</v>
      </c>
      <c r="C260" s="4" t="inlineStr">
        <is>
          <t>Country teams</t>
        </is>
      </c>
      <c r="D260" s="23" t="n">
        <v>2</v>
      </c>
      <c r="E260" s="23" t="n">
        <v>1</v>
      </c>
      <c r="F260" s="22" t="n">
        <v>0</v>
      </c>
      <c r="G260" s="17" t="inlineStr">
        <is>
          <t>Hired 12 months after the Kenya launch (gate &amp; earliest-hire columns not used)</t>
        </is>
      </c>
    </row>
    <row r="261">
      <c r="A261" s="4" t="inlineStr">
        <is>
          <t>Country lead: Ghana</t>
        </is>
      </c>
      <c r="B261" s="22" t="n">
        <v>45000</v>
      </c>
      <c r="C261" s="4" t="inlineStr">
        <is>
          <t>Country teams</t>
        </is>
      </c>
      <c r="D261" s="23" t="n">
        <v>1</v>
      </c>
      <c r="E261" s="23" t="n">
        <v>1</v>
      </c>
      <c r="F261" s="22" t="n">
        <v>0</v>
      </c>
      <c r="G261" s="17" t="inlineStr">
        <is>
          <t>Hired at the Ghana launch decision (2 months before launch) (gate &amp; earliest-hire columns not used)</t>
        </is>
      </c>
    </row>
    <row r="262">
      <c r="A262" s="4" t="inlineStr">
        <is>
          <t>Ghana sales &amp; CS</t>
        </is>
      </c>
      <c r="B262" s="22" t="n">
        <v>18000</v>
      </c>
      <c r="C262" s="4" t="inlineStr">
        <is>
          <t>Country teams</t>
        </is>
      </c>
      <c r="D262" s="23" t="n">
        <v>2</v>
      </c>
      <c r="E262" s="23" t="n">
        <v>1</v>
      </c>
      <c r="F262" s="22" t="n">
        <v>0</v>
      </c>
      <c r="G262" s="17" t="inlineStr">
        <is>
          <t>Hired in the Ghana launch month (gate &amp; earliest-hire columns not used)</t>
        </is>
      </c>
    </row>
    <row r="263">
      <c r="A263" s="4" t="inlineStr">
        <is>
          <t>Ghana team expansion</t>
        </is>
      </c>
      <c r="B263" s="22" t="n">
        <v>20000</v>
      </c>
      <c r="C263" s="4" t="inlineStr">
        <is>
          <t>Country teams</t>
        </is>
      </c>
      <c r="D263" s="23" t="n">
        <v>2</v>
      </c>
      <c r="E263" s="23" t="n">
        <v>1</v>
      </c>
      <c r="F263" s="22" t="n">
        <v>0</v>
      </c>
      <c r="G263" s="17" t="inlineStr">
        <is>
          <t>Hired 12 months after the Ghana launch (gate &amp; earliest-hire columns not used)</t>
        </is>
      </c>
    </row>
  </sheetData>
  <dataValidations count="1">
    <dataValidation sqref="B6" showDropDown="0" showInputMessage="0" showErrorMessage="0" allowBlank="0" type="list">
      <formula1>"Conservative,Base,Upside"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6A00"/>
    <outlinePr summaryBelow="1" summaryRight="1"/>
    <pageSetUpPr/>
  </sheetPr>
  <dimension ref="A1:L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80" customWidth="1" min="12" max="12"/>
  </cols>
  <sheetData>
    <row r="1">
      <c r="A1" s="16" t="inlineStr">
        <is>
          <t>Pricing</t>
        </is>
      </c>
    </row>
    <row r="2">
      <c r="A2" s="17" t="inlineStr">
        <is>
          <t>Live checkout prices (facts file §2). ZAR list for South Africa; fixed local price points for NG/KE/GH and USD for the rest of rail-covered Africa, at FX parity. Annual = 10x monthly.</t>
        </is>
      </c>
    </row>
    <row r="3"/>
    <row r="4" ht="44" customHeight="1">
      <c r="A4" s="29" t="inlineStr">
        <is>
          <t>Tier</t>
        </is>
      </c>
      <c r="B4" s="29" t="inlineStr">
        <is>
          <t>ZAR list / month</t>
        </is>
      </c>
      <c r="C4" s="29" t="inlineStr">
        <is>
          <t>ZAR annual</t>
        </is>
      </c>
      <c r="D4" s="29" t="inlineStr">
        <is>
          <t>≈ US$ / month (R18.50)</t>
        </is>
      </c>
      <c r="E4" s="29" t="inlineStr">
        <is>
          <t>Included AI credits / month</t>
        </is>
      </c>
      <c r="F4" s="29" t="inlineStr">
        <is>
          <t>Founding Member price, first 2 monthly bills (R)</t>
        </is>
      </c>
      <c r="G4" s="29" t="inlineStr">
        <is>
          <t>Pilot price, first 2 monthly bills (R)</t>
        </is>
      </c>
      <c r="H4" s="29" t="inlineStr">
        <is>
          <t>NGN / month</t>
        </is>
      </c>
      <c r="I4" s="29" t="inlineStr">
        <is>
          <t>KES / month</t>
        </is>
      </c>
      <c r="J4" s="29" t="inlineStr">
        <is>
          <t>GHS / month</t>
        </is>
      </c>
      <c r="K4" s="29" t="inlineStr">
        <is>
          <t>USD / month (19 USD markets)</t>
        </is>
      </c>
      <c r="L4" s="29" t="inlineStr">
        <is>
          <t>Note</t>
        </is>
      </c>
    </row>
    <row r="5">
      <c r="A5" s="3" t="inlineStr">
        <is>
          <t>Starter</t>
        </is>
      </c>
      <c r="B5" s="22" t="n">
        <v>499</v>
      </c>
      <c r="C5" s="8">
        <f>B5*Pricing!$B$14</f>
        <v/>
      </c>
      <c r="D5" s="30">
        <f>B5/Assumptions!$B$10</f>
        <v/>
      </c>
      <c r="E5" s="31" t="n">
        <v>5000</v>
      </c>
      <c r="F5" s="8">
        <f>ROUNDDOWN(B5*(1-Assumptions!$B$38),0)</f>
        <v/>
      </c>
      <c r="G5" s="8">
        <f>ROUNDDOWN(B5*(1-Assumptions!$B$24),0)</f>
        <v/>
      </c>
      <c r="H5" s="32" t="n">
        <v>41000</v>
      </c>
      <c r="I5" s="33" t="n">
        <v>3999</v>
      </c>
      <c r="J5" s="34" t="n">
        <v>339</v>
      </c>
      <c r="K5" s="35" t="n">
        <v>27</v>
      </c>
      <c r="L5" s="17" t="inlineStr">
        <is>
          <t>1 brand, 3 channels; solo founders</t>
        </is>
      </c>
    </row>
    <row r="6">
      <c r="A6" s="3" t="inlineStr">
        <is>
          <t>Growth</t>
        </is>
      </c>
      <c r="B6" s="22" t="n">
        <v>1999</v>
      </c>
      <c r="C6" s="8">
        <f>B6*Pricing!$B$14</f>
        <v/>
      </c>
      <c r="D6" s="30">
        <f>B6/Assumptions!$B$10</f>
        <v/>
      </c>
      <c r="E6" s="31" t="n">
        <v>25000</v>
      </c>
      <c r="F6" s="8">
        <f>ROUNDDOWN(B6*(1-Assumptions!$B$38),0)</f>
        <v/>
      </c>
      <c r="G6" s="8">
        <f>ROUNDDOWN(B6*(1-Assumptions!$B$24),0)</f>
        <v/>
      </c>
      <c r="H6" s="32" t="n">
        <v>165000</v>
      </c>
      <c r="I6" s="33" t="n">
        <v>15999</v>
      </c>
      <c r="J6" s="34" t="n">
        <v>1359</v>
      </c>
      <c r="K6" s="35" t="n">
        <v>109</v>
      </c>
      <c r="L6" s="17" t="inlineStr">
        <is>
          <t>Most popular: e-commerce, WhatsApp commerce, USSD, integrations</t>
        </is>
      </c>
    </row>
    <row r="7">
      <c r="A7" s="3" t="inlineStr">
        <is>
          <t>Scale</t>
        </is>
      </c>
      <c r="B7" s="22" t="n">
        <v>4999</v>
      </c>
      <c r="C7" s="8">
        <f>B7*Pricing!$B$14</f>
        <v/>
      </c>
      <c r="D7" s="30">
        <f>B7/Assumptions!$B$10</f>
        <v/>
      </c>
      <c r="E7" s="31" t="n">
        <v>100000</v>
      </c>
      <c r="F7" s="8">
        <f>ROUNDDOWN(B7*(1-Assumptions!$B$38),0)</f>
        <v/>
      </c>
      <c r="G7" s="8">
        <f>ROUNDDOWN(B7*(1-Assumptions!$B$24),0)</f>
        <v/>
      </c>
      <c r="H7" s="32" t="n">
        <v>413000</v>
      </c>
      <c r="I7" s="33" t="n">
        <v>39999</v>
      </c>
      <c r="J7" s="34" t="n">
        <v>3399</v>
      </c>
      <c r="K7" s="35" t="n">
        <v>269</v>
      </c>
      <c r="L7" s="17" t="inlineStr">
        <is>
          <t>10 brands, 40 channels; API, white-label reports</t>
        </is>
      </c>
    </row>
    <row r="8">
      <c r="A8" s="3" t="inlineStr">
        <is>
          <t>Agency</t>
        </is>
      </c>
      <c r="B8" s="22" t="n">
        <v>7999</v>
      </c>
      <c r="C8" s="8">
        <f>B8*Pricing!$B$14</f>
        <v/>
      </c>
      <c r="D8" s="30">
        <f>B8/Assumptions!$B$10</f>
        <v/>
      </c>
      <c r="E8" s="31" t="n">
        <v>500000</v>
      </c>
      <c r="F8" s="17" t="inlineStr">
        <is>
          <t>Not offered</t>
        </is>
      </c>
      <c r="G8" s="8">
        <f>ROUNDDOWN(B8*(1-Assumptions!$B$24),0)</f>
        <v/>
      </c>
      <c r="H8" s="32" t="n">
        <v>662000</v>
      </c>
      <c r="I8" s="33" t="n">
        <v>64499</v>
      </c>
      <c r="J8" s="34" t="n">
        <v>5439</v>
      </c>
      <c r="K8" s="35" t="n">
        <v>429</v>
      </c>
      <c r="L8" s="17" t="inlineStr">
        <is>
          <t>Full white-label, 50 sub-accounts, reseller billing</t>
        </is>
      </c>
    </row>
    <row r="9">
      <c r="A9" s="3" t="inlineStr">
        <is>
          <t>Enterprise</t>
        </is>
      </c>
      <c r="B9" s="22" t="n">
        <v>19999</v>
      </c>
      <c r="C9" s="8">
        <f>B9*Pricing!$B$14</f>
        <v/>
      </c>
      <c r="D9" s="30">
        <f>B9/Assumptions!$B$10</f>
        <v/>
      </c>
      <c r="E9" s="31" t="n">
        <v>750000</v>
      </c>
      <c r="F9" s="17" t="inlineStr">
        <is>
          <t>n/a</t>
        </is>
      </c>
      <c r="G9" s="17" t="inlineStr">
        <is>
          <t>n/a</t>
        </is>
      </c>
      <c r="H9" s="32" t="n">
        <v>1650000</v>
      </c>
      <c r="I9" s="33" t="n">
        <v>161000</v>
      </c>
      <c r="J9" s="34" t="n">
        <v>13600</v>
      </c>
      <c r="K9" s="35" t="n">
        <v>1099</v>
      </c>
      <c r="L9" s="17" t="inlineStr">
        <is>
          <t>From R19,999; 'unlimited' credits modelled as 750k/mo</t>
        </is>
      </c>
    </row>
    <row r="10">
      <c r="A10" s="3" t="inlineStr">
        <is>
          <t>Partner wholesale: Agency tier -30%</t>
        </is>
      </c>
      <c r="B10" s="22" t="n">
        <v>5599</v>
      </c>
      <c r="C10" s="8">
        <f>B10*Pricing!$B$14</f>
        <v/>
      </c>
      <c r="D10" s="30">
        <f>B10/Assumptions!$B$10</f>
        <v/>
      </c>
      <c r="E10" s="10">
        <f>E8</f>
        <v/>
      </c>
      <c r="F10" s="17" t="inlineStr">
        <is>
          <t>Does not stack</t>
        </is>
      </c>
      <c r="H10" s="32" t="n">
        <v>463000</v>
      </c>
      <c r="I10" s="33" t="n">
        <v>44999</v>
      </c>
      <c r="J10" s="34" t="n">
        <v>3799</v>
      </c>
      <c r="K10" s="35" t="n">
        <v>299</v>
      </c>
      <c r="L10" s="17" t="inlineStr">
        <is>
          <t>Founder decision 2026-09-11: partners/agencies buy Agency at 30% off list and set their own retail price. Referral commission: undecided, not modelled.</t>
        </is>
      </c>
    </row>
    <row r="11">
      <c r="A11" s="19" t="inlineStr">
        <is>
          <t>Pricing drivers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</row>
    <row r="12">
      <c r="A12" s="4" t="inlineStr">
        <is>
          <t>Annual price escalator (applied each 1 Oct, all markets)</t>
        </is>
      </c>
      <c r="B12" s="21" t="n">
        <v>0.06</v>
      </c>
      <c r="C12" s="4" t="inlineStr">
        <is>
          <t>% / year</t>
        </is>
      </c>
      <c r="D12" s="17" t="inlineStr">
        <is>
          <t>CPI-linked list-price increase (ASSUMPTION)</t>
        </is>
      </c>
    </row>
    <row r="13">
      <c r="A13" s="4" t="inlineStr">
        <is>
          <t>Share of subscriptions on annual billing</t>
        </is>
      </c>
      <c r="B13" s="21" t="n">
        <v>0.25</v>
      </c>
      <c r="C13" s="4" t="inlineStr">
        <is>
          <t>%</t>
        </is>
      </c>
      <c r="D13" s="17" t="inlineStr">
        <is>
          <t>Annual = 10x monthly</t>
        </is>
      </c>
    </row>
    <row r="14">
      <c r="A14" s="4" t="inlineStr">
        <is>
          <t>Months charged on an annual plan</t>
        </is>
      </c>
      <c r="B14" s="23" t="n">
        <v>10</v>
      </c>
      <c r="C14" s="4" t="inlineStr">
        <is>
          <t>months</t>
        </is>
      </c>
      <c r="D14" s="17" t="inlineStr">
        <is>
          <t>Facts file §2</t>
        </is>
      </c>
    </row>
    <row r="15">
      <c r="A15" s="4" t="inlineStr">
        <is>
          <t>Effective price factor from annual-billing mix</t>
        </is>
      </c>
      <c r="B15" s="36">
        <f>1-Pricing!$B$13*(12-Pricing!$B$14)/12</f>
        <v/>
      </c>
      <c r="C15" s="4" t="inlineStr">
        <is>
          <t>x</t>
        </is>
      </c>
      <c r="D15" s="17" t="inlineStr">
        <is>
          <t>Formula: 1 - annual share x (12 - months charged) / 12</t>
        </is>
      </c>
    </row>
    <row r="16">
      <c r="A16" s="4" t="inlineStr">
        <is>
          <t>Share of agency-segment customers on partner wholesale pricing</t>
        </is>
      </c>
      <c r="B16" s="21" t="n">
        <v>1</v>
      </c>
      <c r="C16" s="4" t="inlineStr">
        <is>
          <t>%</t>
        </is>
      </c>
      <c r="D16" s="17" t="inlineStr">
        <is>
          <t>Founder decision 2026-09-11: partners buy Agency at 30% off list; default 100% of agency customers</t>
        </is>
      </c>
    </row>
    <row r="17"/>
    <row r="18">
      <c r="A18" s="19" t="inlineStr">
        <is>
          <t>FX: price-setting rates, depreciation vs ZAR and the quarterly repricing policy (depreciation rates are ASSUMPTIONS)</t>
        </is>
      </c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</row>
    <row r="19">
      <c r="A19" s="4" t="inlineStr">
        <is>
          <t>NGN per R1 at price-setting (Sept 2026)</t>
        </is>
      </c>
      <c r="B19" s="20" t="n">
        <v>82.83</v>
      </c>
      <c r="C19" s="4" t="inlineStr">
        <is>
          <t>NGN per ZAR</t>
        </is>
      </c>
      <c r="D19" s="17" t="inlineStr">
        <is>
          <t>Facts file §2 mid-market rate</t>
        </is>
      </c>
    </row>
    <row r="20">
      <c r="A20" s="4" t="inlineStr">
        <is>
          <t>KES per R1 at price-setting</t>
        </is>
      </c>
      <c r="B20" s="20" t="n">
        <v>8.07</v>
      </c>
      <c r="C20" s="4" t="inlineStr">
        <is>
          <t>KES per ZAR</t>
        </is>
      </c>
      <c r="D20" s="17" t="inlineStr">
        <is>
          <t>Facts file §2</t>
        </is>
      </c>
    </row>
    <row r="21">
      <c r="A21" s="4" t="inlineStr">
        <is>
          <t>GHS per R1 at price-setting</t>
        </is>
      </c>
      <c r="B21" s="20" t="n">
        <v>0.68</v>
      </c>
      <c r="C21" s="4" t="inlineStr">
        <is>
          <t>GHS per ZAR</t>
        </is>
      </c>
      <c r="D21" s="17" t="inlineStr">
        <is>
          <t>Facts file §2</t>
        </is>
      </c>
    </row>
    <row r="22">
      <c r="A22" s="4" t="inlineStr">
        <is>
          <t>Annual depreciation of NGN vs ZAR</t>
        </is>
      </c>
      <c r="B22" s="21" t="n">
        <v>-0.1</v>
      </c>
      <c r="C22" s="4" t="inlineStr">
        <is>
          <t>% / year</t>
        </is>
      </c>
      <c r="D22" s="5" t="inlineStr">
        <is>
          <t>ASSUMPTION</t>
        </is>
      </c>
    </row>
    <row r="23">
      <c r="A23" s="4" t="inlineStr">
        <is>
          <t>Annual depreciation of KES vs ZAR</t>
        </is>
      </c>
      <c r="B23" s="21" t="n">
        <v>-0.03</v>
      </c>
      <c r="C23" s="4" t="inlineStr">
        <is>
          <t>% / year</t>
        </is>
      </c>
      <c r="D23" s="5" t="inlineStr">
        <is>
          <t>ASSUMPTION</t>
        </is>
      </c>
    </row>
    <row r="24">
      <c r="A24" s="4" t="inlineStr">
        <is>
          <t>Annual depreciation of GHS vs ZAR</t>
        </is>
      </c>
      <c r="B24" s="21" t="n">
        <v>-0.08</v>
      </c>
      <c r="C24" s="4" t="inlineStr">
        <is>
          <t>% / year</t>
        </is>
      </c>
      <c r="D24" s="5" t="inlineStr">
        <is>
          <t>ASSUMPTION</t>
        </is>
      </c>
    </row>
    <row r="25">
      <c r="A25" s="4" t="inlineStr">
        <is>
          <t>Annual depreciation of USD vs ZAR</t>
        </is>
      </c>
      <c r="B25" s="21" t="n">
        <v>0</v>
      </c>
      <c r="C25" s="4" t="inlineStr">
        <is>
          <t>% / year</t>
        </is>
      </c>
      <c r="D25" s="5" t="inlineStr">
        <is>
          <t>ASSUMPTION (USD markets)</t>
        </is>
      </c>
    </row>
    <row r="26">
      <c r="A26" s="4" t="inlineStr">
        <is>
          <t>Repricing trigger: drift in ZAR value of local prices</t>
        </is>
      </c>
      <c r="B26" s="21" t="n">
        <v>0.1</v>
      </c>
      <c r="C26" s="4" t="inlineStr">
        <is>
          <t>%</t>
        </is>
      </c>
      <c r="D26" s="17" t="inlineStr">
        <is>
          <t>Facts file §2: reprice if FX moves more than ±10%</t>
        </is>
      </c>
    </row>
    <row r="27">
      <c r="A27" s="4" t="inlineStr">
        <is>
          <t>Quarterly repricing policy on? (1 = yes)</t>
        </is>
      </c>
      <c r="B27" s="23" t="n">
        <v>1</v>
      </c>
      <c r="C27" s="4" t="inlineStr">
        <is>
          <t>switch</t>
        </is>
      </c>
      <c r="D27" s="17" t="inlineStr">
        <is>
          <t>Reviewed each quarter; new price applies one quarter after the drift is observed</t>
        </is>
      </c>
    </row>
    <row r="28"/>
    <row r="29">
      <c r="A29" s="19" t="inlineStr">
        <is>
          <t>ZAR value of each market's monthly price at price-setting FX (formulas; used by Revenue_Build, then x FX value factor after drift &amp; repricing)</t>
        </is>
      </c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</row>
    <row r="30">
      <c r="A30" s="6" t="inlineStr">
        <is>
          <t>Tier (R / month)</t>
        </is>
      </c>
      <c r="B30" s="6" t="inlineStr">
        <is>
          <t>South Africa</t>
        </is>
      </c>
      <c r="C30" s="6" t="inlineStr">
        <is>
          <t>Nigeria</t>
        </is>
      </c>
      <c r="D30" s="6" t="inlineStr">
        <is>
          <t>Kenya</t>
        </is>
      </c>
      <c r="E30" s="6" t="inlineStr">
        <is>
          <t>Ghana</t>
        </is>
      </c>
      <c r="F30" s="6" t="inlineStr">
        <is>
          <t>Rest of Africa (USD)</t>
        </is>
      </c>
      <c r="G30" s="6" t="inlineStr">
        <is>
          <t>Botswana &amp; Namibia</t>
        </is>
      </c>
    </row>
    <row r="31">
      <c r="A31" s="3" t="inlineStr">
        <is>
          <t>Starter</t>
        </is>
      </c>
      <c r="B31" s="8">
        <f>$B$5</f>
        <v/>
      </c>
      <c r="C31" s="8">
        <f>$H$5/$B$19</f>
        <v/>
      </c>
      <c r="D31" s="8">
        <f>$I$5/$B$20</f>
        <v/>
      </c>
      <c r="E31" s="8">
        <f>$J$5/$B$21</f>
        <v/>
      </c>
      <c r="F31" s="8">
        <f>$K$5*Assumptions!$B$10</f>
        <v/>
      </c>
      <c r="G31" s="8">
        <f>$B$5</f>
        <v/>
      </c>
    </row>
    <row r="32">
      <c r="A32" s="3" t="inlineStr">
        <is>
          <t>Growth</t>
        </is>
      </c>
      <c r="B32" s="8">
        <f>$B$6</f>
        <v/>
      </c>
      <c r="C32" s="8">
        <f>$H$6/$B$19</f>
        <v/>
      </c>
      <c r="D32" s="8">
        <f>$I$6/$B$20</f>
        <v/>
      </c>
      <c r="E32" s="8">
        <f>$J$6/$B$21</f>
        <v/>
      </c>
      <c r="F32" s="8">
        <f>$K$6*Assumptions!$B$10</f>
        <v/>
      </c>
      <c r="G32" s="8">
        <f>$B$6</f>
        <v/>
      </c>
    </row>
    <row r="33">
      <c r="A33" s="3" t="inlineStr">
        <is>
          <t>Scale</t>
        </is>
      </c>
      <c r="B33" s="8">
        <f>$B$7</f>
        <v/>
      </c>
      <c r="C33" s="8">
        <f>$H$7/$B$19</f>
        <v/>
      </c>
      <c r="D33" s="8">
        <f>$I$7/$B$20</f>
        <v/>
      </c>
      <c r="E33" s="8">
        <f>$J$7/$B$21</f>
        <v/>
      </c>
      <c r="F33" s="8">
        <f>$K$7*Assumptions!$B$10</f>
        <v/>
      </c>
      <c r="G33" s="8">
        <f>$B$7</f>
        <v/>
      </c>
    </row>
    <row r="34">
      <c r="A34" s="3" t="inlineStr">
        <is>
          <t>Agency</t>
        </is>
      </c>
      <c r="B34" s="8">
        <f>$B$8</f>
        <v/>
      </c>
      <c r="C34" s="8">
        <f>$H$8/$B$19</f>
        <v/>
      </c>
      <c r="D34" s="8">
        <f>$I$8/$B$20</f>
        <v/>
      </c>
      <c r="E34" s="8">
        <f>$J$8/$B$21</f>
        <v/>
      </c>
      <c r="F34" s="8">
        <f>$K$8*Assumptions!$B$10</f>
        <v/>
      </c>
      <c r="G34" s="8">
        <f>$B$8</f>
        <v/>
      </c>
    </row>
    <row r="35">
      <c r="A35" s="3" t="inlineStr">
        <is>
          <t>Enterprise</t>
        </is>
      </c>
      <c r="B35" s="8">
        <f>$B$9</f>
        <v/>
      </c>
      <c r="C35" s="8">
        <f>$H$9/$B$19</f>
        <v/>
      </c>
      <c r="D35" s="8">
        <f>$I$9/$B$20</f>
        <v/>
      </c>
      <c r="E35" s="8">
        <f>$J$9/$B$21</f>
        <v/>
      </c>
      <c r="F35" s="8">
        <f>$K$9*Assumptions!$B$10</f>
        <v/>
      </c>
      <c r="G35" s="8">
        <f>$B$9</f>
        <v/>
      </c>
    </row>
    <row r="36">
      <c r="A36" s="3" t="inlineStr">
        <is>
          <t>Partner wholesale (Agency -30%)</t>
        </is>
      </c>
      <c r="B36" s="8">
        <f>$B$10</f>
        <v/>
      </c>
      <c r="C36" s="8">
        <f>$H$10/$B$19</f>
        <v/>
      </c>
      <c r="D36" s="8">
        <f>$I$10/$B$20</f>
        <v/>
      </c>
      <c r="E36" s="8">
        <f>$J$10/$B$21</f>
        <v/>
      </c>
      <c r="F36" s="8">
        <f>$K$10*Assumptions!$B$10</f>
        <v/>
      </c>
      <c r="G36" s="8">
        <f>$B$10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474F"/>
    <outlinePr summaryBelow="1" summaryRight="1"/>
    <pageSetUpPr/>
  </sheetPr>
  <dimension ref="A1:BJ39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16" t="inlineStr">
        <is>
          <t>Revenue Build</t>
        </is>
      </c>
    </row>
    <row r="2">
      <c r="A2" s="17" t="inlineStr">
        <is>
          <t>Monthly, Oct 2026 - Sep 2031. Launch gates, FX &amp; repricing, acquisition by market &amp; segment with the marketing cap, cohorts, gross -&gt; discounts -&gt; net revenue.</t>
        </is>
      </c>
    </row>
    <row r="3">
      <c r="A3" s="6" t="inlineStr">
        <is>
          <t>Month #</t>
        </is>
      </c>
      <c r="B3" s="6" t="inlineStr">
        <is>
          <t>Unit</t>
        </is>
      </c>
      <c r="C3" s="37" t="n">
        <v>1</v>
      </c>
      <c r="D3" s="37" t="n">
        <v>2</v>
      </c>
      <c r="E3" s="37" t="n">
        <v>3</v>
      </c>
      <c r="F3" s="37" t="n">
        <v>4</v>
      </c>
      <c r="G3" s="37" t="n">
        <v>5</v>
      </c>
      <c r="H3" s="37" t="n">
        <v>6</v>
      </c>
      <c r="I3" s="37" t="n">
        <v>7</v>
      </c>
      <c r="J3" s="37" t="n">
        <v>8</v>
      </c>
      <c r="K3" s="37" t="n">
        <v>9</v>
      </c>
      <c r="L3" s="37" t="n">
        <v>10</v>
      </c>
      <c r="M3" s="37" t="n">
        <v>11</v>
      </c>
      <c r="N3" s="37" t="n">
        <v>12</v>
      </c>
      <c r="O3" s="37" t="n">
        <v>13</v>
      </c>
      <c r="P3" s="37" t="n">
        <v>14</v>
      </c>
      <c r="Q3" s="37" t="n">
        <v>15</v>
      </c>
      <c r="R3" s="37" t="n">
        <v>16</v>
      </c>
      <c r="S3" s="37" t="n">
        <v>17</v>
      </c>
      <c r="T3" s="37" t="n">
        <v>18</v>
      </c>
      <c r="U3" s="37" t="n">
        <v>19</v>
      </c>
      <c r="V3" s="37" t="n">
        <v>20</v>
      </c>
      <c r="W3" s="37" t="n">
        <v>21</v>
      </c>
      <c r="X3" s="37" t="n">
        <v>22</v>
      </c>
      <c r="Y3" s="37" t="n">
        <v>23</v>
      </c>
      <c r="Z3" s="37" t="n">
        <v>24</v>
      </c>
      <c r="AA3" s="37" t="n">
        <v>25</v>
      </c>
      <c r="AB3" s="37" t="n">
        <v>26</v>
      </c>
      <c r="AC3" s="37" t="n">
        <v>27</v>
      </c>
      <c r="AD3" s="37" t="n">
        <v>28</v>
      </c>
      <c r="AE3" s="37" t="n">
        <v>29</v>
      </c>
      <c r="AF3" s="37" t="n">
        <v>30</v>
      </c>
      <c r="AG3" s="37" t="n">
        <v>31</v>
      </c>
      <c r="AH3" s="37" t="n">
        <v>32</v>
      </c>
      <c r="AI3" s="37" t="n">
        <v>33</v>
      </c>
      <c r="AJ3" s="37" t="n">
        <v>34</v>
      </c>
      <c r="AK3" s="37" t="n">
        <v>35</v>
      </c>
      <c r="AL3" s="37" t="n">
        <v>36</v>
      </c>
      <c r="AM3" s="37" t="n">
        <v>37</v>
      </c>
      <c r="AN3" s="37" t="n">
        <v>38</v>
      </c>
      <c r="AO3" s="37" t="n">
        <v>39</v>
      </c>
      <c r="AP3" s="37" t="n">
        <v>40</v>
      </c>
      <c r="AQ3" s="37" t="n">
        <v>41</v>
      </c>
      <c r="AR3" s="37" t="n">
        <v>42</v>
      </c>
      <c r="AS3" s="37" t="n">
        <v>43</v>
      </c>
      <c r="AT3" s="37" t="n">
        <v>44</v>
      </c>
      <c r="AU3" s="37" t="n">
        <v>45</v>
      </c>
      <c r="AV3" s="37" t="n">
        <v>46</v>
      </c>
      <c r="AW3" s="37" t="n">
        <v>47</v>
      </c>
      <c r="AX3" s="37" t="n">
        <v>48</v>
      </c>
      <c r="AY3" s="37" t="n">
        <v>49</v>
      </c>
      <c r="AZ3" s="37" t="n">
        <v>50</v>
      </c>
      <c r="BA3" s="37" t="n">
        <v>51</v>
      </c>
      <c r="BB3" s="37" t="n">
        <v>52</v>
      </c>
      <c r="BC3" s="37" t="n">
        <v>53</v>
      </c>
      <c r="BD3" s="37" t="n">
        <v>54</v>
      </c>
      <c r="BE3" s="37" t="n">
        <v>55</v>
      </c>
      <c r="BF3" s="37" t="n">
        <v>56</v>
      </c>
      <c r="BG3" s="37" t="n">
        <v>57</v>
      </c>
      <c r="BH3" s="37" t="n">
        <v>58</v>
      </c>
      <c r="BI3" s="37" t="n">
        <v>59</v>
      </c>
      <c r="BJ3" s="37" t="n">
        <v>60</v>
      </c>
    </row>
    <row r="4">
      <c r="A4" s="6" t="inlineStr">
        <is>
          <t>Month</t>
        </is>
      </c>
      <c r="B4" s="6" t="inlineStr"/>
      <c r="C4" s="38" t="inlineStr">
        <is>
          <t>Oct 2026</t>
        </is>
      </c>
      <c r="D4" s="38" t="inlineStr">
        <is>
          <t>Nov 2026</t>
        </is>
      </c>
      <c r="E4" s="38" t="inlineStr">
        <is>
          <t>Dec 2026</t>
        </is>
      </c>
      <c r="F4" s="38" t="inlineStr">
        <is>
          <t>Jan 2027</t>
        </is>
      </c>
      <c r="G4" s="38" t="inlineStr">
        <is>
          <t>Feb 2027</t>
        </is>
      </c>
      <c r="H4" s="38" t="inlineStr">
        <is>
          <t>Mar 2027</t>
        </is>
      </c>
      <c r="I4" s="38" t="inlineStr">
        <is>
          <t>Apr 2027</t>
        </is>
      </c>
      <c r="J4" s="38" t="inlineStr">
        <is>
          <t>May 2027</t>
        </is>
      </c>
      <c r="K4" s="38" t="inlineStr">
        <is>
          <t>Jun 2027</t>
        </is>
      </c>
      <c r="L4" s="38" t="inlineStr">
        <is>
          <t>Jul 2027</t>
        </is>
      </c>
      <c r="M4" s="38" t="inlineStr">
        <is>
          <t>Aug 2027</t>
        </is>
      </c>
      <c r="N4" s="38" t="inlineStr">
        <is>
          <t>Sep 2027</t>
        </is>
      </c>
      <c r="O4" s="38" t="inlineStr">
        <is>
          <t>Oct 2027</t>
        </is>
      </c>
      <c r="P4" s="38" t="inlineStr">
        <is>
          <t>Nov 2027</t>
        </is>
      </c>
      <c r="Q4" s="38" t="inlineStr">
        <is>
          <t>Dec 2027</t>
        </is>
      </c>
      <c r="R4" s="38" t="inlineStr">
        <is>
          <t>Jan 2028</t>
        </is>
      </c>
      <c r="S4" s="38" t="inlineStr">
        <is>
          <t>Feb 2028</t>
        </is>
      </c>
      <c r="T4" s="38" t="inlineStr">
        <is>
          <t>Mar 2028</t>
        </is>
      </c>
      <c r="U4" s="38" t="inlineStr">
        <is>
          <t>Apr 2028</t>
        </is>
      </c>
      <c r="V4" s="38" t="inlineStr">
        <is>
          <t>May 2028</t>
        </is>
      </c>
      <c r="W4" s="38" t="inlineStr">
        <is>
          <t>Jun 2028</t>
        </is>
      </c>
      <c r="X4" s="38" t="inlineStr">
        <is>
          <t>Jul 2028</t>
        </is>
      </c>
      <c r="Y4" s="38" t="inlineStr">
        <is>
          <t>Aug 2028</t>
        </is>
      </c>
      <c r="Z4" s="38" t="inlineStr">
        <is>
          <t>Sep 2028</t>
        </is>
      </c>
      <c r="AA4" s="38" t="inlineStr">
        <is>
          <t>Oct 2028</t>
        </is>
      </c>
      <c r="AB4" s="38" t="inlineStr">
        <is>
          <t>Nov 2028</t>
        </is>
      </c>
      <c r="AC4" s="38" t="inlineStr">
        <is>
          <t>Dec 2028</t>
        </is>
      </c>
      <c r="AD4" s="38" t="inlineStr">
        <is>
          <t>Jan 2029</t>
        </is>
      </c>
      <c r="AE4" s="38" t="inlineStr">
        <is>
          <t>Feb 2029</t>
        </is>
      </c>
      <c r="AF4" s="38" t="inlineStr">
        <is>
          <t>Mar 2029</t>
        </is>
      </c>
      <c r="AG4" s="38" t="inlineStr">
        <is>
          <t>Apr 2029</t>
        </is>
      </c>
      <c r="AH4" s="38" t="inlineStr">
        <is>
          <t>May 2029</t>
        </is>
      </c>
      <c r="AI4" s="38" t="inlineStr">
        <is>
          <t>Jun 2029</t>
        </is>
      </c>
      <c r="AJ4" s="38" t="inlineStr">
        <is>
          <t>Jul 2029</t>
        </is>
      </c>
      <c r="AK4" s="38" t="inlineStr">
        <is>
          <t>Aug 2029</t>
        </is>
      </c>
      <c r="AL4" s="38" t="inlineStr">
        <is>
          <t>Sep 2029</t>
        </is>
      </c>
      <c r="AM4" s="38" t="inlineStr">
        <is>
          <t>Oct 2029</t>
        </is>
      </c>
      <c r="AN4" s="38" t="inlineStr">
        <is>
          <t>Nov 2029</t>
        </is>
      </c>
      <c r="AO4" s="38" t="inlineStr">
        <is>
          <t>Dec 2029</t>
        </is>
      </c>
      <c r="AP4" s="38" t="inlineStr">
        <is>
          <t>Jan 2030</t>
        </is>
      </c>
      <c r="AQ4" s="38" t="inlineStr">
        <is>
          <t>Feb 2030</t>
        </is>
      </c>
      <c r="AR4" s="38" t="inlineStr">
        <is>
          <t>Mar 2030</t>
        </is>
      </c>
      <c r="AS4" s="38" t="inlineStr">
        <is>
          <t>Apr 2030</t>
        </is>
      </c>
      <c r="AT4" s="38" t="inlineStr">
        <is>
          <t>May 2030</t>
        </is>
      </c>
      <c r="AU4" s="38" t="inlineStr">
        <is>
          <t>Jun 2030</t>
        </is>
      </c>
      <c r="AV4" s="38" t="inlineStr">
        <is>
          <t>Jul 2030</t>
        </is>
      </c>
      <c r="AW4" s="38" t="inlineStr">
        <is>
          <t>Aug 2030</t>
        </is>
      </c>
      <c r="AX4" s="38" t="inlineStr">
        <is>
          <t>Sep 2030</t>
        </is>
      </c>
      <c r="AY4" s="38" t="inlineStr">
        <is>
          <t>Oct 2030</t>
        </is>
      </c>
      <c r="AZ4" s="38" t="inlineStr">
        <is>
          <t>Nov 2030</t>
        </is>
      </c>
      <c r="BA4" s="38" t="inlineStr">
        <is>
          <t>Dec 2030</t>
        </is>
      </c>
      <c r="BB4" s="38" t="inlineStr">
        <is>
          <t>Jan 2031</t>
        </is>
      </c>
      <c r="BC4" s="38" t="inlineStr">
        <is>
          <t>Feb 2031</t>
        </is>
      </c>
      <c r="BD4" s="38" t="inlineStr">
        <is>
          <t>Mar 2031</t>
        </is>
      </c>
      <c r="BE4" s="38" t="inlineStr">
        <is>
          <t>Apr 2031</t>
        </is>
      </c>
      <c r="BF4" s="38" t="inlineStr">
        <is>
          <t>May 2031</t>
        </is>
      </c>
      <c r="BG4" s="38" t="inlineStr">
        <is>
          <t>Jun 2031</t>
        </is>
      </c>
      <c r="BH4" s="38" t="inlineStr">
        <is>
          <t>Jul 2031</t>
        </is>
      </c>
      <c r="BI4" s="38" t="inlineStr">
        <is>
          <t>Aug 2031</t>
        </is>
      </c>
      <c r="BJ4" s="38" t="inlineStr">
        <is>
          <t>Sep 2031</t>
        </is>
      </c>
    </row>
    <row r="5">
      <c r="A5" s="3" t="inlineStr">
        <is>
          <t>Fiscal year (Oct-Sep)</t>
        </is>
      </c>
      <c r="C5" s="39" t="n">
        <v>1</v>
      </c>
      <c r="D5" s="39" t="n">
        <v>1</v>
      </c>
      <c r="E5" s="39" t="n">
        <v>1</v>
      </c>
      <c r="F5" s="39" t="n">
        <v>1</v>
      </c>
      <c r="G5" s="39" t="n">
        <v>1</v>
      </c>
      <c r="H5" s="39" t="n">
        <v>1</v>
      </c>
      <c r="I5" s="39" t="n">
        <v>1</v>
      </c>
      <c r="J5" s="39" t="n">
        <v>1</v>
      </c>
      <c r="K5" s="39" t="n">
        <v>1</v>
      </c>
      <c r="L5" s="39" t="n">
        <v>1</v>
      </c>
      <c r="M5" s="39" t="n">
        <v>1</v>
      </c>
      <c r="N5" s="39" t="n">
        <v>1</v>
      </c>
      <c r="O5" s="39" t="n">
        <v>2</v>
      </c>
      <c r="P5" s="39" t="n">
        <v>2</v>
      </c>
      <c r="Q5" s="39" t="n">
        <v>2</v>
      </c>
      <c r="R5" s="39" t="n">
        <v>2</v>
      </c>
      <c r="S5" s="39" t="n">
        <v>2</v>
      </c>
      <c r="T5" s="39" t="n">
        <v>2</v>
      </c>
      <c r="U5" s="39" t="n">
        <v>2</v>
      </c>
      <c r="V5" s="39" t="n">
        <v>2</v>
      </c>
      <c r="W5" s="39" t="n">
        <v>2</v>
      </c>
      <c r="X5" s="39" t="n">
        <v>2</v>
      </c>
      <c r="Y5" s="39" t="n">
        <v>2</v>
      </c>
      <c r="Z5" s="39" t="n">
        <v>2</v>
      </c>
      <c r="AA5" s="39" t="n">
        <v>3</v>
      </c>
      <c r="AB5" s="39" t="n">
        <v>3</v>
      </c>
      <c r="AC5" s="39" t="n">
        <v>3</v>
      </c>
      <c r="AD5" s="39" t="n">
        <v>3</v>
      </c>
      <c r="AE5" s="39" t="n">
        <v>3</v>
      </c>
      <c r="AF5" s="39" t="n">
        <v>3</v>
      </c>
      <c r="AG5" s="39" t="n">
        <v>3</v>
      </c>
      <c r="AH5" s="39" t="n">
        <v>3</v>
      </c>
      <c r="AI5" s="39" t="n">
        <v>3</v>
      </c>
      <c r="AJ5" s="39" t="n">
        <v>3</v>
      </c>
      <c r="AK5" s="39" t="n">
        <v>3</v>
      </c>
      <c r="AL5" s="39" t="n">
        <v>3</v>
      </c>
      <c r="AM5" s="39" t="n">
        <v>4</v>
      </c>
      <c r="AN5" s="39" t="n">
        <v>4</v>
      </c>
      <c r="AO5" s="39" t="n">
        <v>4</v>
      </c>
      <c r="AP5" s="39" t="n">
        <v>4</v>
      </c>
      <c r="AQ5" s="39" t="n">
        <v>4</v>
      </c>
      <c r="AR5" s="39" t="n">
        <v>4</v>
      </c>
      <c r="AS5" s="39" t="n">
        <v>4</v>
      </c>
      <c r="AT5" s="39" t="n">
        <v>4</v>
      </c>
      <c r="AU5" s="39" t="n">
        <v>4</v>
      </c>
      <c r="AV5" s="39" t="n">
        <v>4</v>
      </c>
      <c r="AW5" s="39" t="n">
        <v>4</v>
      </c>
      <c r="AX5" s="39" t="n">
        <v>4</v>
      </c>
      <c r="AY5" s="39" t="n">
        <v>5</v>
      </c>
      <c r="AZ5" s="39" t="n">
        <v>5</v>
      </c>
      <c r="BA5" s="39" t="n">
        <v>5</v>
      </c>
      <c r="BB5" s="39" t="n">
        <v>5</v>
      </c>
      <c r="BC5" s="39" t="n">
        <v>5</v>
      </c>
      <c r="BD5" s="39" t="n">
        <v>5</v>
      </c>
      <c r="BE5" s="39" t="n">
        <v>5</v>
      </c>
      <c r="BF5" s="39" t="n">
        <v>5</v>
      </c>
      <c r="BG5" s="39" t="n">
        <v>5</v>
      </c>
      <c r="BH5" s="39" t="n">
        <v>5</v>
      </c>
      <c r="BI5" s="39" t="n">
        <v>5</v>
      </c>
      <c r="BJ5" s="39" t="n">
        <v>5</v>
      </c>
    </row>
    <row r="6"/>
    <row r="7">
      <c r="A7" s="19" t="inlineStr">
        <is>
          <t>Timeline: lean pre-seed mode, pilot, previous-month MRR (drives every gate and cap)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</row>
    <row r="8">
      <c r="A8" s="4" t="inlineStr">
        <is>
          <t>Seed has landed (1) / lean pre-seed mode (0)</t>
        </is>
      </c>
      <c r="B8" s="17" t="inlineStr">
        <is>
          <t>flag</t>
        </is>
      </c>
      <c r="C8" s="10">
        <f>IF(C$3&gt;=Assumptions!$B$14,1,0)</f>
        <v/>
      </c>
      <c r="D8" s="10">
        <f>IF(D$3&gt;=Assumptions!$B$14,1,0)</f>
        <v/>
      </c>
      <c r="E8" s="10">
        <f>IF(E$3&gt;=Assumptions!$B$14,1,0)</f>
        <v/>
      </c>
      <c r="F8" s="10">
        <f>IF(F$3&gt;=Assumptions!$B$14,1,0)</f>
        <v/>
      </c>
      <c r="G8" s="10">
        <f>IF(G$3&gt;=Assumptions!$B$14,1,0)</f>
        <v/>
      </c>
      <c r="H8" s="10">
        <f>IF(H$3&gt;=Assumptions!$B$14,1,0)</f>
        <v/>
      </c>
      <c r="I8" s="10">
        <f>IF(I$3&gt;=Assumptions!$B$14,1,0)</f>
        <v/>
      </c>
      <c r="J8" s="10">
        <f>IF(J$3&gt;=Assumptions!$B$14,1,0)</f>
        <v/>
      </c>
      <c r="K8" s="10">
        <f>IF(K$3&gt;=Assumptions!$B$14,1,0)</f>
        <v/>
      </c>
      <c r="L8" s="10">
        <f>IF(L$3&gt;=Assumptions!$B$14,1,0)</f>
        <v/>
      </c>
      <c r="M8" s="10">
        <f>IF(M$3&gt;=Assumptions!$B$14,1,0)</f>
        <v/>
      </c>
      <c r="N8" s="10">
        <f>IF(N$3&gt;=Assumptions!$B$14,1,0)</f>
        <v/>
      </c>
      <c r="O8" s="10">
        <f>IF(O$3&gt;=Assumptions!$B$14,1,0)</f>
        <v/>
      </c>
      <c r="P8" s="10">
        <f>IF(P$3&gt;=Assumptions!$B$14,1,0)</f>
        <v/>
      </c>
      <c r="Q8" s="10">
        <f>IF(Q$3&gt;=Assumptions!$B$14,1,0)</f>
        <v/>
      </c>
      <c r="R8" s="10">
        <f>IF(R$3&gt;=Assumptions!$B$14,1,0)</f>
        <v/>
      </c>
      <c r="S8" s="10">
        <f>IF(S$3&gt;=Assumptions!$B$14,1,0)</f>
        <v/>
      </c>
      <c r="T8" s="10">
        <f>IF(T$3&gt;=Assumptions!$B$14,1,0)</f>
        <v/>
      </c>
      <c r="U8" s="10">
        <f>IF(U$3&gt;=Assumptions!$B$14,1,0)</f>
        <v/>
      </c>
      <c r="V8" s="10">
        <f>IF(V$3&gt;=Assumptions!$B$14,1,0)</f>
        <v/>
      </c>
      <c r="W8" s="10">
        <f>IF(W$3&gt;=Assumptions!$B$14,1,0)</f>
        <v/>
      </c>
      <c r="X8" s="10">
        <f>IF(X$3&gt;=Assumptions!$B$14,1,0)</f>
        <v/>
      </c>
      <c r="Y8" s="10">
        <f>IF(Y$3&gt;=Assumptions!$B$14,1,0)</f>
        <v/>
      </c>
      <c r="Z8" s="10">
        <f>IF(Z$3&gt;=Assumptions!$B$14,1,0)</f>
        <v/>
      </c>
      <c r="AA8" s="10">
        <f>IF(AA$3&gt;=Assumptions!$B$14,1,0)</f>
        <v/>
      </c>
      <c r="AB8" s="10">
        <f>IF(AB$3&gt;=Assumptions!$B$14,1,0)</f>
        <v/>
      </c>
      <c r="AC8" s="10">
        <f>IF(AC$3&gt;=Assumptions!$B$14,1,0)</f>
        <v/>
      </c>
      <c r="AD8" s="10">
        <f>IF(AD$3&gt;=Assumptions!$B$14,1,0)</f>
        <v/>
      </c>
      <c r="AE8" s="10">
        <f>IF(AE$3&gt;=Assumptions!$B$14,1,0)</f>
        <v/>
      </c>
      <c r="AF8" s="10">
        <f>IF(AF$3&gt;=Assumptions!$B$14,1,0)</f>
        <v/>
      </c>
      <c r="AG8" s="10">
        <f>IF(AG$3&gt;=Assumptions!$B$14,1,0)</f>
        <v/>
      </c>
      <c r="AH8" s="10">
        <f>IF(AH$3&gt;=Assumptions!$B$14,1,0)</f>
        <v/>
      </c>
      <c r="AI8" s="10">
        <f>IF(AI$3&gt;=Assumptions!$B$14,1,0)</f>
        <v/>
      </c>
      <c r="AJ8" s="10">
        <f>IF(AJ$3&gt;=Assumptions!$B$14,1,0)</f>
        <v/>
      </c>
      <c r="AK8" s="10">
        <f>IF(AK$3&gt;=Assumptions!$B$14,1,0)</f>
        <v/>
      </c>
      <c r="AL8" s="10">
        <f>IF(AL$3&gt;=Assumptions!$B$14,1,0)</f>
        <v/>
      </c>
      <c r="AM8" s="10">
        <f>IF(AM$3&gt;=Assumptions!$B$14,1,0)</f>
        <v/>
      </c>
      <c r="AN8" s="10">
        <f>IF(AN$3&gt;=Assumptions!$B$14,1,0)</f>
        <v/>
      </c>
      <c r="AO8" s="10">
        <f>IF(AO$3&gt;=Assumptions!$B$14,1,0)</f>
        <v/>
      </c>
      <c r="AP8" s="10">
        <f>IF(AP$3&gt;=Assumptions!$B$14,1,0)</f>
        <v/>
      </c>
      <c r="AQ8" s="10">
        <f>IF(AQ$3&gt;=Assumptions!$B$14,1,0)</f>
        <v/>
      </c>
      <c r="AR8" s="10">
        <f>IF(AR$3&gt;=Assumptions!$B$14,1,0)</f>
        <v/>
      </c>
      <c r="AS8" s="10">
        <f>IF(AS$3&gt;=Assumptions!$B$14,1,0)</f>
        <v/>
      </c>
      <c r="AT8" s="10">
        <f>IF(AT$3&gt;=Assumptions!$B$14,1,0)</f>
        <v/>
      </c>
      <c r="AU8" s="10">
        <f>IF(AU$3&gt;=Assumptions!$B$14,1,0)</f>
        <v/>
      </c>
      <c r="AV8" s="10">
        <f>IF(AV$3&gt;=Assumptions!$B$14,1,0)</f>
        <v/>
      </c>
      <c r="AW8" s="10">
        <f>IF(AW$3&gt;=Assumptions!$B$14,1,0)</f>
        <v/>
      </c>
      <c r="AX8" s="10">
        <f>IF(AX$3&gt;=Assumptions!$B$14,1,0)</f>
        <v/>
      </c>
      <c r="AY8" s="10">
        <f>IF(AY$3&gt;=Assumptions!$B$14,1,0)</f>
        <v/>
      </c>
      <c r="AZ8" s="10">
        <f>IF(AZ$3&gt;=Assumptions!$B$14,1,0)</f>
        <v/>
      </c>
      <c r="BA8" s="10">
        <f>IF(BA$3&gt;=Assumptions!$B$14,1,0)</f>
        <v/>
      </c>
      <c r="BB8" s="10">
        <f>IF(BB$3&gt;=Assumptions!$B$14,1,0)</f>
        <v/>
      </c>
      <c r="BC8" s="10">
        <f>IF(BC$3&gt;=Assumptions!$B$14,1,0)</f>
        <v/>
      </c>
      <c r="BD8" s="10">
        <f>IF(BD$3&gt;=Assumptions!$B$14,1,0)</f>
        <v/>
      </c>
      <c r="BE8" s="10">
        <f>IF(BE$3&gt;=Assumptions!$B$14,1,0)</f>
        <v/>
      </c>
      <c r="BF8" s="10">
        <f>IF(BF$3&gt;=Assumptions!$B$14,1,0)</f>
        <v/>
      </c>
      <c r="BG8" s="10">
        <f>IF(BG$3&gt;=Assumptions!$B$14,1,0)</f>
        <v/>
      </c>
      <c r="BH8" s="10">
        <f>IF(BH$3&gt;=Assumptions!$B$14,1,0)</f>
        <v/>
      </c>
      <c r="BI8" s="10">
        <f>IF(BI$3&gt;=Assumptions!$B$14,1,0)</f>
        <v/>
      </c>
      <c r="BJ8" s="10">
        <f>IF(BJ$3&gt;=Assumptions!$B$14,1,0)</f>
        <v/>
      </c>
    </row>
    <row r="9">
      <c r="A9" s="4" t="inlineStr">
        <is>
          <t>Pilot running (12 brands, not paying)</t>
        </is>
      </c>
      <c r="B9" s="17" t="inlineStr">
        <is>
          <t>flag</t>
        </is>
      </c>
      <c r="C9" s="10">
        <f>IF(C$3&lt;=Assumptions!$B$21,1,0)</f>
        <v/>
      </c>
      <c r="D9" s="10">
        <f>IF(D$3&lt;=Assumptions!$B$21,1,0)</f>
        <v/>
      </c>
      <c r="E9" s="10">
        <f>IF(E$3&lt;=Assumptions!$B$21,1,0)</f>
        <v/>
      </c>
      <c r="F9" s="10">
        <f>IF(F$3&lt;=Assumptions!$B$21,1,0)</f>
        <v/>
      </c>
      <c r="G9" s="10">
        <f>IF(G$3&lt;=Assumptions!$B$21,1,0)</f>
        <v/>
      </c>
      <c r="H9" s="10">
        <f>IF(H$3&lt;=Assumptions!$B$21,1,0)</f>
        <v/>
      </c>
      <c r="I9" s="10">
        <f>IF(I$3&lt;=Assumptions!$B$21,1,0)</f>
        <v/>
      </c>
      <c r="J9" s="10">
        <f>IF(J$3&lt;=Assumptions!$B$21,1,0)</f>
        <v/>
      </c>
      <c r="K9" s="10">
        <f>IF(K$3&lt;=Assumptions!$B$21,1,0)</f>
        <v/>
      </c>
      <c r="L9" s="10">
        <f>IF(L$3&lt;=Assumptions!$B$21,1,0)</f>
        <v/>
      </c>
      <c r="M9" s="10">
        <f>IF(M$3&lt;=Assumptions!$B$21,1,0)</f>
        <v/>
      </c>
      <c r="N9" s="10">
        <f>IF(N$3&lt;=Assumptions!$B$21,1,0)</f>
        <v/>
      </c>
      <c r="O9" s="10">
        <f>IF(O$3&lt;=Assumptions!$B$21,1,0)</f>
        <v/>
      </c>
      <c r="P9" s="10">
        <f>IF(P$3&lt;=Assumptions!$B$21,1,0)</f>
        <v/>
      </c>
      <c r="Q9" s="10">
        <f>IF(Q$3&lt;=Assumptions!$B$21,1,0)</f>
        <v/>
      </c>
      <c r="R9" s="10">
        <f>IF(R$3&lt;=Assumptions!$B$21,1,0)</f>
        <v/>
      </c>
      <c r="S9" s="10">
        <f>IF(S$3&lt;=Assumptions!$B$21,1,0)</f>
        <v/>
      </c>
      <c r="T9" s="10">
        <f>IF(T$3&lt;=Assumptions!$B$21,1,0)</f>
        <v/>
      </c>
      <c r="U9" s="10">
        <f>IF(U$3&lt;=Assumptions!$B$21,1,0)</f>
        <v/>
      </c>
      <c r="V9" s="10">
        <f>IF(V$3&lt;=Assumptions!$B$21,1,0)</f>
        <v/>
      </c>
      <c r="W9" s="10">
        <f>IF(W$3&lt;=Assumptions!$B$21,1,0)</f>
        <v/>
      </c>
      <c r="X9" s="10">
        <f>IF(X$3&lt;=Assumptions!$B$21,1,0)</f>
        <v/>
      </c>
      <c r="Y9" s="10">
        <f>IF(Y$3&lt;=Assumptions!$B$21,1,0)</f>
        <v/>
      </c>
      <c r="Z9" s="10">
        <f>IF(Z$3&lt;=Assumptions!$B$21,1,0)</f>
        <v/>
      </c>
      <c r="AA9" s="10">
        <f>IF(AA$3&lt;=Assumptions!$B$21,1,0)</f>
        <v/>
      </c>
      <c r="AB9" s="10">
        <f>IF(AB$3&lt;=Assumptions!$B$21,1,0)</f>
        <v/>
      </c>
      <c r="AC9" s="10">
        <f>IF(AC$3&lt;=Assumptions!$B$21,1,0)</f>
        <v/>
      </c>
      <c r="AD9" s="10">
        <f>IF(AD$3&lt;=Assumptions!$B$21,1,0)</f>
        <v/>
      </c>
      <c r="AE9" s="10">
        <f>IF(AE$3&lt;=Assumptions!$B$21,1,0)</f>
        <v/>
      </c>
      <c r="AF9" s="10">
        <f>IF(AF$3&lt;=Assumptions!$B$21,1,0)</f>
        <v/>
      </c>
      <c r="AG9" s="10">
        <f>IF(AG$3&lt;=Assumptions!$B$21,1,0)</f>
        <v/>
      </c>
      <c r="AH9" s="10">
        <f>IF(AH$3&lt;=Assumptions!$B$21,1,0)</f>
        <v/>
      </c>
      <c r="AI9" s="10">
        <f>IF(AI$3&lt;=Assumptions!$B$21,1,0)</f>
        <v/>
      </c>
      <c r="AJ9" s="10">
        <f>IF(AJ$3&lt;=Assumptions!$B$21,1,0)</f>
        <v/>
      </c>
      <c r="AK9" s="10">
        <f>IF(AK$3&lt;=Assumptions!$B$21,1,0)</f>
        <v/>
      </c>
      <c r="AL9" s="10">
        <f>IF(AL$3&lt;=Assumptions!$B$21,1,0)</f>
        <v/>
      </c>
      <c r="AM9" s="10">
        <f>IF(AM$3&lt;=Assumptions!$B$21,1,0)</f>
        <v/>
      </c>
      <c r="AN9" s="10">
        <f>IF(AN$3&lt;=Assumptions!$B$21,1,0)</f>
        <v/>
      </c>
      <c r="AO9" s="10">
        <f>IF(AO$3&lt;=Assumptions!$B$21,1,0)</f>
        <v/>
      </c>
      <c r="AP9" s="10">
        <f>IF(AP$3&lt;=Assumptions!$B$21,1,0)</f>
        <v/>
      </c>
      <c r="AQ9" s="10">
        <f>IF(AQ$3&lt;=Assumptions!$B$21,1,0)</f>
        <v/>
      </c>
      <c r="AR9" s="10">
        <f>IF(AR$3&lt;=Assumptions!$B$21,1,0)</f>
        <v/>
      </c>
      <c r="AS9" s="10">
        <f>IF(AS$3&lt;=Assumptions!$B$21,1,0)</f>
        <v/>
      </c>
      <c r="AT9" s="10">
        <f>IF(AT$3&lt;=Assumptions!$B$21,1,0)</f>
        <v/>
      </c>
      <c r="AU9" s="10">
        <f>IF(AU$3&lt;=Assumptions!$B$21,1,0)</f>
        <v/>
      </c>
      <c r="AV9" s="10">
        <f>IF(AV$3&lt;=Assumptions!$B$21,1,0)</f>
        <v/>
      </c>
      <c r="AW9" s="10">
        <f>IF(AW$3&lt;=Assumptions!$B$21,1,0)</f>
        <v/>
      </c>
      <c r="AX9" s="10">
        <f>IF(AX$3&lt;=Assumptions!$B$21,1,0)</f>
        <v/>
      </c>
      <c r="AY9" s="10">
        <f>IF(AY$3&lt;=Assumptions!$B$21,1,0)</f>
        <v/>
      </c>
      <c r="AZ9" s="10">
        <f>IF(AZ$3&lt;=Assumptions!$B$21,1,0)</f>
        <v/>
      </c>
      <c r="BA9" s="10">
        <f>IF(BA$3&lt;=Assumptions!$B$21,1,0)</f>
        <v/>
      </c>
      <c r="BB9" s="10">
        <f>IF(BB$3&lt;=Assumptions!$B$21,1,0)</f>
        <v/>
      </c>
      <c r="BC9" s="10">
        <f>IF(BC$3&lt;=Assumptions!$B$21,1,0)</f>
        <v/>
      </c>
      <c r="BD9" s="10">
        <f>IF(BD$3&lt;=Assumptions!$B$21,1,0)</f>
        <v/>
      </c>
      <c r="BE9" s="10">
        <f>IF(BE$3&lt;=Assumptions!$B$21,1,0)</f>
        <v/>
      </c>
      <c r="BF9" s="10">
        <f>IF(BF$3&lt;=Assumptions!$B$21,1,0)</f>
        <v/>
      </c>
      <c r="BG9" s="10">
        <f>IF(BG$3&lt;=Assumptions!$B$21,1,0)</f>
        <v/>
      </c>
      <c r="BH9" s="10">
        <f>IF(BH$3&lt;=Assumptions!$B$21,1,0)</f>
        <v/>
      </c>
      <c r="BI9" s="10">
        <f>IF(BI$3&lt;=Assumptions!$B$21,1,0)</f>
        <v/>
      </c>
      <c r="BJ9" s="10">
        <f>IF(BJ$3&lt;=Assumptions!$B$21,1,0)</f>
        <v/>
      </c>
    </row>
    <row r="10">
      <c r="A10" s="4" t="inlineStr">
        <is>
          <t>Net subscription MRR, previous month</t>
        </is>
      </c>
      <c r="B10" s="17" t="inlineStr">
        <is>
          <t>R</t>
        </is>
      </c>
      <c r="C10" s="8">
        <f>0</f>
        <v/>
      </c>
      <c r="D10" s="8">
        <f>C381</f>
        <v/>
      </c>
      <c r="E10" s="8">
        <f>D381</f>
        <v/>
      </c>
      <c r="F10" s="8">
        <f>E381</f>
        <v/>
      </c>
      <c r="G10" s="8">
        <f>F381</f>
        <v/>
      </c>
      <c r="H10" s="8">
        <f>G381</f>
        <v/>
      </c>
      <c r="I10" s="8">
        <f>H381</f>
        <v/>
      </c>
      <c r="J10" s="8">
        <f>I381</f>
        <v/>
      </c>
      <c r="K10" s="8">
        <f>J381</f>
        <v/>
      </c>
      <c r="L10" s="8">
        <f>K381</f>
        <v/>
      </c>
      <c r="M10" s="8">
        <f>L381</f>
        <v/>
      </c>
      <c r="N10" s="8">
        <f>M381</f>
        <v/>
      </c>
      <c r="O10" s="8">
        <f>N381</f>
        <v/>
      </c>
      <c r="P10" s="8">
        <f>O381</f>
        <v/>
      </c>
      <c r="Q10" s="8">
        <f>P381</f>
        <v/>
      </c>
      <c r="R10" s="8">
        <f>Q381</f>
        <v/>
      </c>
      <c r="S10" s="8">
        <f>R381</f>
        <v/>
      </c>
      <c r="T10" s="8">
        <f>S381</f>
        <v/>
      </c>
      <c r="U10" s="8">
        <f>T381</f>
        <v/>
      </c>
      <c r="V10" s="8">
        <f>U381</f>
        <v/>
      </c>
      <c r="W10" s="8">
        <f>V381</f>
        <v/>
      </c>
      <c r="X10" s="8">
        <f>W381</f>
        <v/>
      </c>
      <c r="Y10" s="8">
        <f>X381</f>
        <v/>
      </c>
      <c r="Z10" s="8">
        <f>Y381</f>
        <v/>
      </c>
      <c r="AA10" s="8">
        <f>Z381</f>
        <v/>
      </c>
      <c r="AB10" s="8">
        <f>AA381</f>
        <v/>
      </c>
      <c r="AC10" s="8">
        <f>AB381</f>
        <v/>
      </c>
      <c r="AD10" s="8">
        <f>AC381</f>
        <v/>
      </c>
      <c r="AE10" s="8">
        <f>AD381</f>
        <v/>
      </c>
      <c r="AF10" s="8">
        <f>AE381</f>
        <v/>
      </c>
      <c r="AG10" s="8">
        <f>AF381</f>
        <v/>
      </c>
      <c r="AH10" s="8">
        <f>AG381</f>
        <v/>
      </c>
      <c r="AI10" s="8">
        <f>AH381</f>
        <v/>
      </c>
      <c r="AJ10" s="8">
        <f>AI381</f>
        <v/>
      </c>
      <c r="AK10" s="8">
        <f>AJ381</f>
        <v/>
      </c>
      <c r="AL10" s="8">
        <f>AK381</f>
        <v/>
      </c>
      <c r="AM10" s="8">
        <f>AL381</f>
        <v/>
      </c>
      <c r="AN10" s="8">
        <f>AM381</f>
        <v/>
      </c>
      <c r="AO10" s="8">
        <f>AN381</f>
        <v/>
      </c>
      <c r="AP10" s="8">
        <f>AO381</f>
        <v/>
      </c>
      <c r="AQ10" s="8">
        <f>AP381</f>
        <v/>
      </c>
      <c r="AR10" s="8">
        <f>AQ381</f>
        <v/>
      </c>
      <c r="AS10" s="8">
        <f>AR381</f>
        <v/>
      </c>
      <c r="AT10" s="8">
        <f>AS381</f>
        <v/>
      </c>
      <c r="AU10" s="8">
        <f>AT381</f>
        <v/>
      </c>
      <c r="AV10" s="8">
        <f>AU381</f>
        <v/>
      </c>
      <c r="AW10" s="8">
        <f>AV381</f>
        <v/>
      </c>
      <c r="AX10" s="8">
        <f>AW381</f>
        <v/>
      </c>
      <c r="AY10" s="8">
        <f>AX381</f>
        <v/>
      </c>
      <c r="AZ10" s="8">
        <f>AY381</f>
        <v/>
      </c>
      <c r="BA10" s="8">
        <f>AZ381</f>
        <v/>
      </c>
      <c r="BB10" s="8">
        <f>BA381</f>
        <v/>
      </c>
      <c r="BC10" s="8">
        <f>BB381</f>
        <v/>
      </c>
      <c r="BD10" s="8">
        <f>BC381</f>
        <v/>
      </c>
      <c r="BE10" s="8">
        <f>BD381</f>
        <v/>
      </c>
      <c r="BF10" s="8">
        <f>BE381</f>
        <v/>
      </c>
      <c r="BG10" s="8">
        <f>BF381</f>
        <v/>
      </c>
      <c r="BH10" s="8">
        <f>BG381</f>
        <v/>
      </c>
      <c r="BI10" s="8">
        <f>BH381</f>
        <v/>
      </c>
      <c r="BJ10" s="8">
        <f>BI381</f>
        <v/>
      </c>
    </row>
    <row r="11"/>
    <row r="12">
      <c r="A12" s="19" t="inlineStr">
        <is>
          <t>Market launches: decision needs month &gt;= plan + shift - 2, the seed, and MRR &gt;= gate; launch 2 months after decision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19" t="n"/>
      <c r="AS12" s="19" t="n"/>
      <c r="AT12" s="19" t="n"/>
      <c r="AU12" s="19" t="n"/>
      <c r="AV12" s="19" t="n"/>
      <c r="AW12" s="19" t="n"/>
      <c r="AX12" s="19" t="n"/>
      <c r="AY12" s="19" t="n"/>
      <c r="AZ12" s="19" t="n"/>
      <c r="BA12" s="19" t="n"/>
      <c r="BB12" s="19" t="n"/>
      <c r="BC12" s="19" t="n"/>
      <c r="BD12" s="19" t="n"/>
      <c r="BE12" s="19" t="n"/>
      <c r="BF12" s="19" t="n"/>
      <c r="BG12" s="19" t="n"/>
      <c r="BH12" s="19" t="n"/>
      <c r="BI12" s="19" t="n"/>
      <c r="BJ12" s="19" t="n"/>
    </row>
    <row r="13">
      <c r="A13" s="4" t="inlineStr">
        <is>
          <t>Live: South Africa</t>
        </is>
      </c>
      <c r="B13" s="17" t="inlineStr">
        <is>
          <t>flag</t>
        </is>
      </c>
      <c r="C13" s="10">
        <f>IF(C$3&gt;=Assumptions!$B$64,1,0)</f>
        <v/>
      </c>
      <c r="D13" s="10">
        <f>IF(D$3&gt;=Assumptions!$B$64,1,0)</f>
        <v/>
      </c>
      <c r="E13" s="10">
        <f>IF(E$3&gt;=Assumptions!$B$64,1,0)</f>
        <v/>
      </c>
      <c r="F13" s="10">
        <f>IF(F$3&gt;=Assumptions!$B$64,1,0)</f>
        <v/>
      </c>
      <c r="G13" s="10">
        <f>IF(G$3&gt;=Assumptions!$B$64,1,0)</f>
        <v/>
      </c>
      <c r="H13" s="10">
        <f>IF(H$3&gt;=Assumptions!$B$64,1,0)</f>
        <v/>
      </c>
      <c r="I13" s="10">
        <f>IF(I$3&gt;=Assumptions!$B$64,1,0)</f>
        <v/>
      </c>
      <c r="J13" s="10">
        <f>IF(J$3&gt;=Assumptions!$B$64,1,0)</f>
        <v/>
      </c>
      <c r="K13" s="10">
        <f>IF(K$3&gt;=Assumptions!$B$64,1,0)</f>
        <v/>
      </c>
      <c r="L13" s="10">
        <f>IF(L$3&gt;=Assumptions!$B$64,1,0)</f>
        <v/>
      </c>
      <c r="M13" s="10">
        <f>IF(M$3&gt;=Assumptions!$B$64,1,0)</f>
        <v/>
      </c>
      <c r="N13" s="10">
        <f>IF(N$3&gt;=Assumptions!$B$64,1,0)</f>
        <v/>
      </c>
      <c r="O13" s="10">
        <f>IF(O$3&gt;=Assumptions!$B$64,1,0)</f>
        <v/>
      </c>
      <c r="P13" s="10">
        <f>IF(P$3&gt;=Assumptions!$B$64,1,0)</f>
        <v/>
      </c>
      <c r="Q13" s="10">
        <f>IF(Q$3&gt;=Assumptions!$B$64,1,0)</f>
        <v/>
      </c>
      <c r="R13" s="10">
        <f>IF(R$3&gt;=Assumptions!$B$64,1,0)</f>
        <v/>
      </c>
      <c r="S13" s="10">
        <f>IF(S$3&gt;=Assumptions!$B$64,1,0)</f>
        <v/>
      </c>
      <c r="T13" s="10">
        <f>IF(T$3&gt;=Assumptions!$B$64,1,0)</f>
        <v/>
      </c>
      <c r="U13" s="10">
        <f>IF(U$3&gt;=Assumptions!$B$64,1,0)</f>
        <v/>
      </c>
      <c r="V13" s="10">
        <f>IF(V$3&gt;=Assumptions!$B$64,1,0)</f>
        <v/>
      </c>
      <c r="W13" s="10">
        <f>IF(W$3&gt;=Assumptions!$B$64,1,0)</f>
        <v/>
      </c>
      <c r="X13" s="10">
        <f>IF(X$3&gt;=Assumptions!$B$64,1,0)</f>
        <v/>
      </c>
      <c r="Y13" s="10">
        <f>IF(Y$3&gt;=Assumptions!$B$64,1,0)</f>
        <v/>
      </c>
      <c r="Z13" s="10">
        <f>IF(Z$3&gt;=Assumptions!$B$64,1,0)</f>
        <v/>
      </c>
      <c r="AA13" s="10">
        <f>IF(AA$3&gt;=Assumptions!$B$64,1,0)</f>
        <v/>
      </c>
      <c r="AB13" s="10">
        <f>IF(AB$3&gt;=Assumptions!$B$64,1,0)</f>
        <v/>
      </c>
      <c r="AC13" s="10">
        <f>IF(AC$3&gt;=Assumptions!$B$64,1,0)</f>
        <v/>
      </c>
      <c r="AD13" s="10">
        <f>IF(AD$3&gt;=Assumptions!$B$64,1,0)</f>
        <v/>
      </c>
      <c r="AE13" s="10">
        <f>IF(AE$3&gt;=Assumptions!$B$64,1,0)</f>
        <v/>
      </c>
      <c r="AF13" s="10">
        <f>IF(AF$3&gt;=Assumptions!$B$64,1,0)</f>
        <v/>
      </c>
      <c r="AG13" s="10">
        <f>IF(AG$3&gt;=Assumptions!$B$64,1,0)</f>
        <v/>
      </c>
      <c r="AH13" s="10">
        <f>IF(AH$3&gt;=Assumptions!$B$64,1,0)</f>
        <v/>
      </c>
      <c r="AI13" s="10">
        <f>IF(AI$3&gt;=Assumptions!$B$64,1,0)</f>
        <v/>
      </c>
      <c r="AJ13" s="10">
        <f>IF(AJ$3&gt;=Assumptions!$B$64,1,0)</f>
        <v/>
      </c>
      <c r="AK13" s="10">
        <f>IF(AK$3&gt;=Assumptions!$B$64,1,0)</f>
        <v/>
      </c>
      <c r="AL13" s="10">
        <f>IF(AL$3&gt;=Assumptions!$B$64,1,0)</f>
        <v/>
      </c>
      <c r="AM13" s="10">
        <f>IF(AM$3&gt;=Assumptions!$B$64,1,0)</f>
        <v/>
      </c>
      <c r="AN13" s="10">
        <f>IF(AN$3&gt;=Assumptions!$B$64,1,0)</f>
        <v/>
      </c>
      <c r="AO13" s="10">
        <f>IF(AO$3&gt;=Assumptions!$B$64,1,0)</f>
        <v/>
      </c>
      <c r="AP13" s="10">
        <f>IF(AP$3&gt;=Assumptions!$B$64,1,0)</f>
        <v/>
      </c>
      <c r="AQ13" s="10">
        <f>IF(AQ$3&gt;=Assumptions!$B$64,1,0)</f>
        <v/>
      </c>
      <c r="AR13" s="10">
        <f>IF(AR$3&gt;=Assumptions!$B$64,1,0)</f>
        <v/>
      </c>
      <c r="AS13" s="10">
        <f>IF(AS$3&gt;=Assumptions!$B$64,1,0)</f>
        <v/>
      </c>
      <c r="AT13" s="10">
        <f>IF(AT$3&gt;=Assumptions!$B$64,1,0)</f>
        <v/>
      </c>
      <c r="AU13" s="10">
        <f>IF(AU$3&gt;=Assumptions!$B$64,1,0)</f>
        <v/>
      </c>
      <c r="AV13" s="10">
        <f>IF(AV$3&gt;=Assumptions!$B$64,1,0)</f>
        <v/>
      </c>
      <c r="AW13" s="10">
        <f>IF(AW$3&gt;=Assumptions!$B$64,1,0)</f>
        <v/>
      </c>
      <c r="AX13" s="10">
        <f>IF(AX$3&gt;=Assumptions!$B$64,1,0)</f>
        <v/>
      </c>
      <c r="AY13" s="10">
        <f>IF(AY$3&gt;=Assumptions!$B$64,1,0)</f>
        <v/>
      </c>
      <c r="AZ13" s="10">
        <f>IF(AZ$3&gt;=Assumptions!$B$64,1,0)</f>
        <v/>
      </c>
      <c r="BA13" s="10">
        <f>IF(BA$3&gt;=Assumptions!$B$64,1,0)</f>
        <v/>
      </c>
      <c r="BB13" s="10">
        <f>IF(BB$3&gt;=Assumptions!$B$64,1,0)</f>
        <v/>
      </c>
      <c r="BC13" s="10">
        <f>IF(BC$3&gt;=Assumptions!$B$64,1,0)</f>
        <v/>
      </c>
      <c r="BD13" s="10">
        <f>IF(BD$3&gt;=Assumptions!$B$64,1,0)</f>
        <v/>
      </c>
      <c r="BE13" s="10">
        <f>IF(BE$3&gt;=Assumptions!$B$64,1,0)</f>
        <v/>
      </c>
      <c r="BF13" s="10">
        <f>IF(BF$3&gt;=Assumptions!$B$64,1,0)</f>
        <v/>
      </c>
      <c r="BG13" s="10">
        <f>IF(BG$3&gt;=Assumptions!$B$64,1,0)</f>
        <v/>
      </c>
      <c r="BH13" s="10">
        <f>IF(BH$3&gt;=Assumptions!$B$64,1,0)</f>
        <v/>
      </c>
      <c r="BI13" s="10">
        <f>IF(BI$3&gt;=Assumptions!$B$64,1,0)</f>
        <v/>
      </c>
      <c r="BJ13" s="10">
        <f>IF(BJ$3&gt;=Assumptions!$B$64,1,0)</f>
        <v/>
      </c>
    </row>
    <row r="14">
      <c r="A14" s="4" t="inlineStr">
        <is>
          <t>Launch decided (country lead hired): Nigeria</t>
        </is>
      </c>
      <c r="B14" s="17" t="inlineStr">
        <is>
          <t>flag</t>
        </is>
      </c>
      <c r="C14" s="10">
        <f>IF(AND(Assumptions!$B$66=1,C$3&gt;=Assumptions!$B$67+Assumptions!$B$52-2,C$3&gt;=Assumptions!$B$14,C10&gt;=Assumptions!$B$68*Assumptions!$B$55),1,0)</f>
        <v/>
      </c>
      <c r="D14" s="10">
        <f>IF(OR(C14=1,AND(Assumptions!$B$66=1,D$3&gt;=Assumptions!$B$67+Assumptions!$B$52-2,D$3&gt;=Assumptions!$B$14,D10&gt;=Assumptions!$B$68*Assumptions!$B$55)),1,0)</f>
        <v/>
      </c>
      <c r="E14" s="10">
        <f>IF(OR(D14=1,AND(Assumptions!$B$66=1,E$3&gt;=Assumptions!$B$67+Assumptions!$B$52-2,E$3&gt;=Assumptions!$B$14,E10&gt;=Assumptions!$B$68*Assumptions!$B$55)),1,0)</f>
        <v/>
      </c>
      <c r="F14" s="10">
        <f>IF(OR(E14=1,AND(Assumptions!$B$66=1,F$3&gt;=Assumptions!$B$67+Assumptions!$B$52-2,F$3&gt;=Assumptions!$B$14,F10&gt;=Assumptions!$B$68*Assumptions!$B$55)),1,0)</f>
        <v/>
      </c>
      <c r="G14" s="10">
        <f>IF(OR(F14=1,AND(Assumptions!$B$66=1,G$3&gt;=Assumptions!$B$67+Assumptions!$B$52-2,G$3&gt;=Assumptions!$B$14,G10&gt;=Assumptions!$B$68*Assumptions!$B$55)),1,0)</f>
        <v/>
      </c>
      <c r="H14" s="10">
        <f>IF(OR(G14=1,AND(Assumptions!$B$66=1,H$3&gt;=Assumptions!$B$67+Assumptions!$B$52-2,H$3&gt;=Assumptions!$B$14,H10&gt;=Assumptions!$B$68*Assumptions!$B$55)),1,0)</f>
        <v/>
      </c>
      <c r="I14" s="10">
        <f>IF(OR(H14=1,AND(Assumptions!$B$66=1,I$3&gt;=Assumptions!$B$67+Assumptions!$B$52-2,I$3&gt;=Assumptions!$B$14,I10&gt;=Assumptions!$B$68*Assumptions!$B$55)),1,0)</f>
        <v/>
      </c>
      <c r="J14" s="10">
        <f>IF(OR(I14=1,AND(Assumptions!$B$66=1,J$3&gt;=Assumptions!$B$67+Assumptions!$B$52-2,J$3&gt;=Assumptions!$B$14,J10&gt;=Assumptions!$B$68*Assumptions!$B$55)),1,0)</f>
        <v/>
      </c>
      <c r="K14" s="10">
        <f>IF(OR(J14=1,AND(Assumptions!$B$66=1,K$3&gt;=Assumptions!$B$67+Assumptions!$B$52-2,K$3&gt;=Assumptions!$B$14,K10&gt;=Assumptions!$B$68*Assumptions!$B$55)),1,0)</f>
        <v/>
      </c>
      <c r="L14" s="10">
        <f>IF(OR(K14=1,AND(Assumptions!$B$66=1,L$3&gt;=Assumptions!$B$67+Assumptions!$B$52-2,L$3&gt;=Assumptions!$B$14,L10&gt;=Assumptions!$B$68*Assumptions!$B$55)),1,0)</f>
        <v/>
      </c>
      <c r="M14" s="10">
        <f>IF(OR(L14=1,AND(Assumptions!$B$66=1,M$3&gt;=Assumptions!$B$67+Assumptions!$B$52-2,M$3&gt;=Assumptions!$B$14,M10&gt;=Assumptions!$B$68*Assumptions!$B$55)),1,0)</f>
        <v/>
      </c>
      <c r="N14" s="10">
        <f>IF(OR(M14=1,AND(Assumptions!$B$66=1,N$3&gt;=Assumptions!$B$67+Assumptions!$B$52-2,N$3&gt;=Assumptions!$B$14,N10&gt;=Assumptions!$B$68*Assumptions!$B$55)),1,0)</f>
        <v/>
      </c>
      <c r="O14" s="10">
        <f>IF(OR(N14=1,AND(Assumptions!$B$66=1,O$3&gt;=Assumptions!$B$67+Assumptions!$B$52-2,O$3&gt;=Assumptions!$B$14,O10&gt;=Assumptions!$B$68*Assumptions!$B$55)),1,0)</f>
        <v/>
      </c>
      <c r="P14" s="10">
        <f>IF(OR(O14=1,AND(Assumptions!$B$66=1,P$3&gt;=Assumptions!$B$67+Assumptions!$B$52-2,P$3&gt;=Assumptions!$B$14,P10&gt;=Assumptions!$B$68*Assumptions!$B$55)),1,0)</f>
        <v/>
      </c>
      <c r="Q14" s="10">
        <f>IF(OR(P14=1,AND(Assumptions!$B$66=1,Q$3&gt;=Assumptions!$B$67+Assumptions!$B$52-2,Q$3&gt;=Assumptions!$B$14,Q10&gt;=Assumptions!$B$68*Assumptions!$B$55)),1,0)</f>
        <v/>
      </c>
      <c r="R14" s="10">
        <f>IF(OR(Q14=1,AND(Assumptions!$B$66=1,R$3&gt;=Assumptions!$B$67+Assumptions!$B$52-2,R$3&gt;=Assumptions!$B$14,R10&gt;=Assumptions!$B$68*Assumptions!$B$55)),1,0)</f>
        <v/>
      </c>
      <c r="S14" s="10">
        <f>IF(OR(R14=1,AND(Assumptions!$B$66=1,S$3&gt;=Assumptions!$B$67+Assumptions!$B$52-2,S$3&gt;=Assumptions!$B$14,S10&gt;=Assumptions!$B$68*Assumptions!$B$55)),1,0)</f>
        <v/>
      </c>
      <c r="T14" s="10">
        <f>IF(OR(S14=1,AND(Assumptions!$B$66=1,T$3&gt;=Assumptions!$B$67+Assumptions!$B$52-2,T$3&gt;=Assumptions!$B$14,T10&gt;=Assumptions!$B$68*Assumptions!$B$55)),1,0)</f>
        <v/>
      </c>
      <c r="U14" s="10">
        <f>IF(OR(T14=1,AND(Assumptions!$B$66=1,U$3&gt;=Assumptions!$B$67+Assumptions!$B$52-2,U$3&gt;=Assumptions!$B$14,U10&gt;=Assumptions!$B$68*Assumptions!$B$55)),1,0)</f>
        <v/>
      </c>
      <c r="V14" s="10">
        <f>IF(OR(U14=1,AND(Assumptions!$B$66=1,V$3&gt;=Assumptions!$B$67+Assumptions!$B$52-2,V$3&gt;=Assumptions!$B$14,V10&gt;=Assumptions!$B$68*Assumptions!$B$55)),1,0)</f>
        <v/>
      </c>
      <c r="W14" s="10">
        <f>IF(OR(V14=1,AND(Assumptions!$B$66=1,W$3&gt;=Assumptions!$B$67+Assumptions!$B$52-2,W$3&gt;=Assumptions!$B$14,W10&gt;=Assumptions!$B$68*Assumptions!$B$55)),1,0)</f>
        <v/>
      </c>
      <c r="X14" s="10">
        <f>IF(OR(W14=1,AND(Assumptions!$B$66=1,X$3&gt;=Assumptions!$B$67+Assumptions!$B$52-2,X$3&gt;=Assumptions!$B$14,X10&gt;=Assumptions!$B$68*Assumptions!$B$55)),1,0)</f>
        <v/>
      </c>
      <c r="Y14" s="10">
        <f>IF(OR(X14=1,AND(Assumptions!$B$66=1,Y$3&gt;=Assumptions!$B$67+Assumptions!$B$52-2,Y$3&gt;=Assumptions!$B$14,Y10&gt;=Assumptions!$B$68*Assumptions!$B$55)),1,0)</f>
        <v/>
      </c>
      <c r="Z14" s="10">
        <f>IF(OR(Y14=1,AND(Assumptions!$B$66=1,Z$3&gt;=Assumptions!$B$67+Assumptions!$B$52-2,Z$3&gt;=Assumptions!$B$14,Z10&gt;=Assumptions!$B$68*Assumptions!$B$55)),1,0)</f>
        <v/>
      </c>
      <c r="AA14" s="10">
        <f>IF(OR(Z14=1,AND(Assumptions!$B$66=1,AA$3&gt;=Assumptions!$B$67+Assumptions!$B$52-2,AA$3&gt;=Assumptions!$B$14,AA10&gt;=Assumptions!$B$68*Assumptions!$B$55)),1,0)</f>
        <v/>
      </c>
      <c r="AB14" s="10">
        <f>IF(OR(AA14=1,AND(Assumptions!$B$66=1,AB$3&gt;=Assumptions!$B$67+Assumptions!$B$52-2,AB$3&gt;=Assumptions!$B$14,AB10&gt;=Assumptions!$B$68*Assumptions!$B$55)),1,0)</f>
        <v/>
      </c>
      <c r="AC14" s="10">
        <f>IF(OR(AB14=1,AND(Assumptions!$B$66=1,AC$3&gt;=Assumptions!$B$67+Assumptions!$B$52-2,AC$3&gt;=Assumptions!$B$14,AC10&gt;=Assumptions!$B$68*Assumptions!$B$55)),1,0)</f>
        <v/>
      </c>
      <c r="AD14" s="10">
        <f>IF(OR(AC14=1,AND(Assumptions!$B$66=1,AD$3&gt;=Assumptions!$B$67+Assumptions!$B$52-2,AD$3&gt;=Assumptions!$B$14,AD10&gt;=Assumptions!$B$68*Assumptions!$B$55)),1,0)</f>
        <v/>
      </c>
      <c r="AE14" s="10">
        <f>IF(OR(AD14=1,AND(Assumptions!$B$66=1,AE$3&gt;=Assumptions!$B$67+Assumptions!$B$52-2,AE$3&gt;=Assumptions!$B$14,AE10&gt;=Assumptions!$B$68*Assumptions!$B$55)),1,0)</f>
        <v/>
      </c>
      <c r="AF14" s="10">
        <f>IF(OR(AE14=1,AND(Assumptions!$B$66=1,AF$3&gt;=Assumptions!$B$67+Assumptions!$B$52-2,AF$3&gt;=Assumptions!$B$14,AF10&gt;=Assumptions!$B$68*Assumptions!$B$55)),1,0)</f>
        <v/>
      </c>
      <c r="AG14" s="10">
        <f>IF(OR(AF14=1,AND(Assumptions!$B$66=1,AG$3&gt;=Assumptions!$B$67+Assumptions!$B$52-2,AG$3&gt;=Assumptions!$B$14,AG10&gt;=Assumptions!$B$68*Assumptions!$B$55)),1,0)</f>
        <v/>
      </c>
      <c r="AH14" s="10">
        <f>IF(OR(AG14=1,AND(Assumptions!$B$66=1,AH$3&gt;=Assumptions!$B$67+Assumptions!$B$52-2,AH$3&gt;=Assumptions!$B$14,AH10&gt;=Assumptions!$B$68*Assumptions!$B$55)),1,0)</f>
        <v/>
      </c>
      <c r="AI14" s="10">
        <f>IF(OR(AH14=1,AND(Assumptions!$B$66=1,AI$3&gt;=Assumptions!$B$67+Assumptions!$B$52-2,AI$3&gt;=Assumptions!$B$14,AI10&gt;=Assumptions!$B$68*Assumptions!$B$55)),1,0)</f>
        <v/>
      </c>
      <c r="AJ14" s="10">
        <f>IF(OR(AI14=1,AND(Assumptions!$B$66=1,AJ$3&gt;=Assumptions!$B$67+Assumptions!$B$52-2,AJ$3&gt;=Assumptions!$B$14,AJ10&gt;=Assumptions!$B$68*Assumptions!$B$55)),1,0)</f>
        <v/>
      </c>
      <c r="AK14" s="10">
        <f>IF(OR(AJ14=1,AND(Assumptions!$B$66=1,AK$3&gt;=Assumptions!$B$67+Assumptions!$B$52-2,AK$3&gt;=Assumptions!$B$14,AK10&gt;=Assumptions!$B$68*Assumptions!$B$55)),1,0)</f>
        <v/>
      </c>
      <c r="AL14" s="10">
        <f>IF(OR(AK14=1,AND(Assumptions!$B$66=1,AL$3&gt;=Assumptions!$B$67+Assumptions!$B$52-2,AL$3&gt;=Assumptions!$B$14,AL10&gt;=Assumptions!$B$68*Assumptions!$B$55)),1,0)</f>
        <v/>
      </c>
      <c r="AM14" s="10">
        <f>IF(OR(AL14=1,AND(Assumptions!$B$66=1,AM$3&gt;=Assumptions!$B$67+Assumptions!$B$52-2,AM$3&gt;=Assumptions!$B$14,AM10&gt;=Assumptions!$B$68*Assumptions!$B$55)),1,0)</f>
        <v/>
      </c>
      <c r="AN14" s="10">
        <f>IF(OR(AM14=1,AND(Assumptions!$B$66=1,AN$3&gt;=Assumptions!$B$67+Assumptions!$B$52-2,AN$3&gt;=Assumptions!$B$14,AN10&gt;=Assumptions!$B$68*Assumptions!$B$55)),1,0)</f>
        <v/>
      </c>
      <c r="AO14" s="10">
        <f>IF(OR(AN14=1,AND(Assumptions!$B$66=1,AO$3&gt;=Assumptions!$B$67+Assumptions!$B$52-2,AO$3&gt;=Assumptions!$B$14,AO10&gt;=Assumptions!$B$68*Assumptions!$B$55)),1,0)</f>
        <v/>
      </c>
      <c r="AP14" s="10">
        <f>IF(OR(AO14=1,AND(Assumptions!$B$66=1,AP$3&gt;=Assumptions!$B$67+Assumptions!$B$52-2,AP$3&gt;=Assumptions!$B$14,AP10&gt;=Assumptions!$B$68*Assumptions!$B$55)),1,0)</f>
        <v/>
      </c>
      <c r="AQ14" s="10">
        <f>IF(OR(AP14=1,AND(Assumptions!$B$66=1,AQ$3&gt;=Assumptions!$B$67+Assumptions!$B$52-2,AQ$3&gt;=Assumptions!$B$14,AQ10&gt;=Assumptions!$B$68*Assumptions!$B$55)),1,0)</f>
        <v/>
      </c>
      <c r="AR14" s="10">
        <f>IF(OR(AQ14=1,AND(Assumptions!$B$66=1,AR$3&gt;=Assumptions!$B$67+Assumptions!$B$52-2,AR$3&gt;=Assumptions!$B$14,AR10&gt;=Assumptions!$B$68*Assumptions!$B$55)),1,0)</f>
        <v/>
      </c>
      <c r="AS14" s="10">
        <f>IF(OR(AR14=1,AND(Assumptions!$B$66=1,AS$3&gt;=Assumptions!$B$67+Assumptions!$B$52-2,AS$3&gt;=Assumptions!$B$14,AS10&gt;=Assumptions!$B$68*Assumptions!$B$55)),1,0)</f>
        <v/>
      </c>
      <c r="AT14" s="10">
        <f>IF(OR(AS14=1,AND(Assumptions!$B$66=1,AT$3&gt;=Assumptions!$B$67+Assumptions!$B$52-2,AT$3&gt;=Assumptions!$B$14,AT10&gt;=Assumptions!$B$68*Assumptions!$B$55)),1,0)</f>
        <v/>
      </c>
      <c r="AU14" s="10">
        <f>IF(OR(AT14=1,AND(Assumptions!$B$66=1,AU$3&gt;=Assumptions!$B$67+Assumptions!$B$52-2,AU$3&gt;=Assumptions!$B$14,AU10&gt;=Assumptions!$B$68*Assumptions!$B$55)),1,0)</f>
        <v/>
      </c>
      <c r="AV14" s="10">
        <f>IF(OR(AU14=1,AND(Assumptions!$B$66=1,AV$3&gt;=Assumptions!$B$67+Assumptions!$B$52-2,AV$3&gt;=Assumptions!$B$14,AV10&gt;=Assumptions!$B$68*Assumptions!$B$55)),1,0)</f>
        <v/>
      </c>
      <c r="AW14" s="10">
        <f>IF(OR(AV14=1,AND(Assumptions!$B$66=1,AW$3&gt;=Assumptions!$B$67+Assumptions!$B$52-2,AW$3&gt;=Assumptions!$B$14,AW10&gt;=Assumptions!$B$68*Assumptions!$B$55)),1,0)</f>
        <v/>
      </c>
      <c r="AX14" s="10">
        <f>IF(OR(AW14=1,AND(Assumptions!$B$66=1,AX$3&gt;=Assumptions!$B$67+Assumptions!$B$52-2,AX$3&gt;=Assumptions!$B$14,AX10&gt;=Assumptions!$B$68*Assumptions!$B$55)),1,0)</f>
        <v/>
      </c>
      <c r="AY14" s="10">
        <f>IF(OR(AX14=1,AND(Assumptions!$B$66=1,AY$3&gt;=Assumptions!$B$67+Assumptions!$B$52-2,AY$3&gt;=Assumptions!$B$14,AY10&gt;=Assumptions!$B$68*Assumptions!$B$55)),1,0)</f>
        <v/>
      </c>
      <c r="AZ14" s="10">
        <f>IF(OR(AY14=1,AND(Assumptions!$B$66=1,AZ$3&gt;=Assumptions!$B$67+Assumptions!$B$52-2,AZ$3&gt;=Assumptions!$B$14,AZ10&gt;=Assumptions!$B$68*Assumptions!$B$55)),1,0)</f>
        <v/>
      </c>
      <c r="BA14" s="10">
        <f>IF(OR(AZ14=1,AND(Assumptions!$B$66=1,BA$3&gt;=Assumptions!$B$67+Assumptions!$B$52-2,BA$3&gt;=Assumptions!$B$14,BA10&gt;=Assumptions!$B$68*Assumptions!$B$55)),1,0)</f>
        <v/>
      </c>
      <c r="BB14" s="10">
        <f>IF(OR(BA14=1,AND(Assumptions!$B$66=1,BB$3&gt;=Assumptions!$B$67+Assumptions!$B$52-2,BB$3&gt;=Assumptions!$B$14,BB10&gt;=Assumptions!$B$68*Assumptions!$B$55)),1,0)</f>
        <v/>
      </c>
      <c r="BC14" s="10">
        <f>IF(OR(BB14=1,AND(Assumptions!$B$66=1,BC$3&gt;=Assumptions!$B$67+Assumptions!$B$52-2,BC$3&gt;=Assumptions!$B$14,BC10&gt;=Assumptions!$B$68*Assumptions!$B$55)),1,0)</f>
        <v/>
      </c>
      <c r="BD14" s="10">
        <f>IF(OR(BC14=1,AND(Assumptions!$B$66=1,BD$3&gt;=Assumptions!$B$67+Assumptions!$B$52-2,BD$3&gt;=Assumptions!$B$14,BD10&gt;=Assumptions!$B$68*Assumptions!$B$55)),1,0)</f>
        <v/>
      </c>
      <c r="BE14" s="10">
        <f>IF(OR(BD14=1,AND(Assumptions!$B$66=1,BE$3&gt;=Assumptions!$B$67+Assumptions!$B$52-2,BE$3&gt;=Assumptions!$B$14,BE10&gt;=Assumptions!$B$68*Assumptions!$B$55)),1,0)</f>
        <v/>
      </c>
      <c r="BF14" s="10">
        <f>IF(OR(BE14=1,AND(Assumptions!$B$66=1,BF$3&gt;=Assumptions!$B$67+Assumptions!$B$52-2,BF$3&gt;=Assumptions!$B$14,BF10&gt;=Assumptions!$B$68*Assumptions!$B$55)),1,0)</f>
        <v/>
      </c>
      <c r="BG14" s="10">
        <f>IF(OR(BF14=1,AND(Assumptions!$B$66=1,BG$3&gt;=Assumptions!$B$67+Assumptions!$B$52-2,BG$3&gt;=Assumptions!$B$14,BG10&gt;=Assumptions!$B$68*Assumptions!$B$55)),1,0)</f>
        <v/>
      </c>
      <c r="BH14" s="10">
        <f>IF(OR(BG14=1,AND(Assumptions!$B$66=1,BH$3&gt;=Assumptions!$B$67+Assumptions!$B$52-2,BH$3&gt;=Assumptions!$B$14,BH10&gt;=Assumptions!$B$68*Assumptions!$B$55)),1,0)</f>
        <v/>
      </c>
      <c r="BI14" s="10">
        <f>IF(OR(BH14=1,AND(Assumptions!$B$66=1,BI$3&gt;=Assumptions!$B$67+Assumptions!$B$52-2,BI$3&gt;=Assumptions!$B$14,BI10&gt;=Assumptions!$B$68*Assumptions!$B$55)),1,0)</f>
        <v/>
      </c>
      <c r="BJ14" s="10">
        <f>IF(OR(BI14=1,AND(Assumptions!$B$66=1,BJ$3&gt;=Assumptions!$B$67+Assumptions!$B$52-2,BJ$3&gt;=Assumptions!$B$14,BJ10&gt;=Assumptions!$B$68*Assumptions!$B$55)),1,0)</f>
        <v/>
      </c>
    </row>
    <row r="15">
      <c r="A15" s="4" t="inlineStr">
        <is>
          <t>Live: Nigeria</t>
        </is>
      </c>
      <c r="B15" s="17" t="inlineStr">
        <is>
          <t>flag</t>
        </is>
      </c>
      <c r="C15" s="10">
        <f>0</f>
        <v/>
      </c>
      <c r="D15" s="10">
        <f>0</f>
        <v/>
      </c>
      <c r="E15" s="10">
        <f>C14</f>
        <v/>
      </c>
      <c r="F15" s="10">
        <f>D14</f>
        <v/>
      </c>
      <c r="G15" s="10">
        <f>E14</f>
        <v/>
      </c>
      <c r="H15" s="10">
        <f>F14</f>
        <v/>
      </c>
      <c r="I15" s="10">
        <f>G14</f>
        <v/>
      </c>
      <c r="J15" s="10">
        <f>H14</f>
        <v/>
      </c>
      <c r="K15" s="10">
        <f>I14</f>
        <v/>
      </c>
      <c r="L15" s="10">
        <f>J14</f>
        <v/>
      </c>
      <c r="M15" s="10">
        <f>K14</f>
        <v/>
      </c>
      <c r="N15" s="10">
        <f>L14</f>
        <v/>
      </c>
      <c r="O15" s="10">
        <f>M14</f>
        <v/>
      </c>
      <c r="P15" s="10">
        <f>N14</f>
        <v/>
      </c>
      <c r="Q15" s="10">
        <f>O14</f>
        <v/>
      </c>
      <c r="R15" s="10">
        <f>P14</f>
        <v/>
      </c>
      <c r="S15" s="10">
        <f>Q14</f>
        <v/>
      </c>
      <c r="T15" s="10">
        <f>R14</f>
        <v/>
      </c>
      <c r="U15" s="10">
        <f>S14</f>
        <v/>
      </c>
      <c r="V15" s="10">
        <f>T14</f>
        <v/>
      </c>
      <c r="W15" s="10">
        <f>U14</f>
        <v/>
      </c>
      <c r="X15" s="10">
        <f>V14</f>
        <v/>
      </c>
      <c r="Y15" s="10">
        <f>W14</f>
        <v/>
      </c>
      <c r="Z15" s="10">
        <f>X14</f>
        <v/>
      </c>
      <c r="AA15" s="10">
        <f>Y14</f>
        <v/>
      </c>
      <c r="AB15" s="10">
        <f>Z14</f>
        <v/>
      </c>
      <c r="AC15" s="10">
        <f>AA14</f>
        <v/>
      </c>
      <c r="AD15" s="10">
        <f>AB14</f>
        <v/>
      </c>
      <c r="AE15" s="10">
        <f>AC14</f>
        <v/>
      </c>
      <c r="AF15" s="10">
        <f>AD14</f>
        <v/>
      </c>
      <c r="AG15" s="10">
        <f>AE14</f>
        <v/>
      </c>
      <c r="AH15" s="10">
        <f>AF14</f>
        <v/>
      </c>
      <c r="AI15" s="10">
        <f>AG14</f>
        <v/>
      </c>
      <c r="AJ15" s="10">
        <f>AH14</f>
        <v/>
      </c>
      <c r="AK15" s="10">
        <f>AI14</f>
        <v/>
      </c>
      <c r="AL15" s="10">
        <f>AJ14</f>
        <v/>
      </c>
      <c r="AM15" s="10">
        <f>AK14</f>
        <v/>
      </c>
      <c r="AN15" s="10">
        <f>AL14</f>
        <v/>
      </c>
      <c r="AO15" s="10">
        <f>AM14</f>
        <v/>
      </c>
      <c r="AP15" s="10">
        <f>AN14</f>
        <v/>
      </c>
      <c r="AQ15" s="10">
        <f>AO14</f>
        <v/>
      </c>
      <c r="AR15" s="10">
        <f>AP14</f>
        <v/>
      </c>
      <c r="AS15" s="10">
        <f>AQ14</f>
        <v/>
      </c>
      <c r="AT15" s="10">
        <f>AR14</f>
        <v/>
      </c>
      <c r="AU15" s="10">
        <f>AS14</f>
        <v/>
      </c>
      <c r="AV15" s="10">
        <f>AT14</f>
        <v/>
      </c>
      <c r="AW15" s="10">
        <f>AU14</f>
        <v/>
      </c>
      <c r="AX15" s="10">
        <f>AV14</f>
        <v/>
      </c>
      <c r="AY15" s="10">
        <f>AW14</f>
        <v/>
      </c>
      <c r="AZ15" s="10">
        <f>AX14</f>
        <v/>
      </c>
      <c r="BA15" s="10">
        <f>AY14</f>
        <v/>
      </c>
      <c r="BB15" s="10">
        <f>AZ14</f>
        <v/>
      </c>
      <c r="BC15" s="10">
        <f>BA14</f>
        <v/>
      </c>
      <c r="BD15" s="10">
        <f>BB14</f>
        <v/>
      </c>
      <c r="BE15" s="10">
        <f>BC14</f>
        <v/>
      </c>
      <c r="BF15" s="10">
        <f>BD14</f>
        <v/>
      </c>
      <c r="BG15" s="10">
        <f>BE14</f>
        <v/>
      </c>
      <c r="BH15" s="10">
        <f>BF14</f>
        <v/>
      </c>
      <c r="BI15" s="10">
        <f>BG14</f>
        <v/>
      </c>
      <c r="BJ15" s="10">
        <f>BH14</f>
        <v/>
      </c>
    </row>
    <row r="16">
      <c r="A16" s="4" t="inlineStr">
        <is>
          <t>Launch decided (country lead hired): Kenya</t>
        </is>
      </c>
      <c r="B16" s="17" t="inlineStr">
        <is>
          <t>flag</t>
        </is>
      </c>
      <c r="C16" s="10">
        <f>IF(AND(Assumptions!$B$76=1,C$3&gt;=Assumptions!$B$77+Assumptions!$B$52-2,C$3&gt;=Assumptions!$B$14,C10&gt;=Assumptions!$B$78*Assumptions!$B$55),1,0)</f>
        <v/>
      </c>
      <c r="D16" s="10">
        <f>IF(OR(C16=1,AND(Assumptions!$B$76=1,D$3&gt;=Assumptions!$B$77+Assumptions!$B$52-2,D$3&gt;=Assumptions!$B$14,D10&gt;=Assumptions!$B$78*Assumptions!$B$55)),1,0)</f>
        <v/>
      </c>
      <c r="E16" s="10">
        <f>IF(OR(D16=1,AND(Assumptions!$B$76=1,E$3&gt;=Assumptions!$B$77+Assumptions!$B$52-2,E$3&gt;=Assumptions!$B$14,E10&gt;=Assumptions!$B$78*Assumptions!$B$55)),1,0)</f>
        <v/>
      </c>
      <c r="F16" s="10">
        <f>IF(OR(E16=1,AND(Assumptions!$B$76=1,F$3&gt;=Assumptions!$B$77+Assumptions!$B$52-2,F$3&gt;=Assumptions!$B$14,F10&gt;=Assumptions!$B$78*Assumptions!$B$55)),1,0)</f>
        <v/>
      </c>
      <c r="G16" s="10">
        <f>IF(OR(F16=1,AND(Assumptions!$B$76=1,G$3&gt;=Assumptions!$B$77+Assumptions!$B$52-2,G$3&gt;=Assumptions!$B$14,G10&gt;=Assumptions!$B$78*Assumptions!$B$55)),1,0)</f>
        <v/>
      </c>
      <c r="H16" s="10">
        <f>IF(OR(G16=1,AND(Assumptions!$B$76=1,H$3&gt;=Assumptions!$B$77+Assumptions!$B$52-2,H$3&gt;=Assumptions!$B$14,H10&gt;=Assumptions!$B$78*Assumptions!$B$55)),1,0)</f>
        <v/>
      </c>
      <c r="I16" s="10">
        <f>IF(OR(H16=1,AND(Assumptions!$B$76=1,I$3&gt;=Assumptions!$B$77+Assumptions!$B$52-2,I$3&gt;=Assumptions!$B$14,I10&gt;=Assumptions!$B$78*Assumptions!$B$55)),1,0)</f>
        <v/>
      </c>
      <c r="J16" s="10">
        <f>IF(OR(I16=1,AND(Assumptions!$B$76=1,J$3&gt;=Assumptions!$B$77+Assumptions!$B$52-2,J$3&gt;=Assumptions!$B$14,J10&gt;=Assumptions!$B$78*Assumptions!$B$55)),1,0)</f>
        <v/>
      </c>
      <c r="K16" s="10">
        <f>IF(OR(J16=1,AND(Assumptions!$B$76=1,K$3&gt;=Assumptions!$B$77+Assumptions!$B$52-2,K$3&gt;=Assumptions!$B$14,K10&gt;=Assumptions!$B$78*Assumptions!$B$55)),1,0)</f>
        <v/>
      </c>
      <c r="L16" s="10">
        <f>IF(OR(K16=1,AND(Assumptions!$B$76=1,L$3&gt;=Assumptions!$B$77+Assumptions!$B$52-2,L$3&gt;=Assumptions!$B$14,L10&gt;=Assumptions!$B$78*Assumptions!$B$55)),1,0)</f>
        <v/>
      </c>
      <c r="M16" s="10">
        <f>IF(OR(L16=1,AND(Assumptions!$B$76=1,M$3&gt;=Assumptions!$B$77+Assumptions!$B$52-2,M$3&gt;=Assumptions!$B$14,M10&gt;=Assumptions!$B$78*Assumptions!$B$55)),1,0)</f>
        <v/>
      </c>
      <c r="N16" s="10">
        <f>IF(OR(M16=1,AND(Assumptions!$B$76=1,N$3&gt;=Assumptions!$B$77+Assumptions!$B$52-2,N$3&gt;=Assumptions!$B$14,N10&gt;=Assumptions!$B$78*Assumptions!$B$55)),1,0)</f>
        <v/>
      </c>
      <c r="O16" s="10">
        <f>IF(OR(N16=1,AND(Assumptions!$B$76=1,O$3&gt;=Assumptions!$B$77+Assumptions!$B$52-2,O$3&gt;=Assumptions!$B$14,O10&gt;=Assumptions!$B$78*Assumptions!$B$55)),1,0)</f>
        <v/>
      </c>
      <c r="P16" s="10">
        <f>IF(OR(O16=1,AND(Assumptions!$B$76=1,P$3&gt;=Assumptions!$B$77+Assumptions!$B$52-2,P$3&gt;=Assumptions!$B$14,P10&gt;=Assumptions!$B$78*Assumptions!$B$55)),1,0)</f>
        <v/>
      </c>
      <c r="Q16" s="10">
        <f>IF(OR(P16=1,AND(Assumptions!$B$76=1,Q$3&gt;=Assumptions!$B$77+Assumptions!$B$52-2,Q$3&gt;=Assumptions!$B$14,Q10&gt;=Assumptions!$B$78*Assumptions!$B$55)),1,0)</f>
        <v/>
      </c>
      <c r="R16" s="10">
        <f>IF(OR(Q16=1,AND(Assumptions!$B$76=1,R$3&gt;=Assumptions!$B$77+Assumptions!$B$52-2,R$3&gt;=Assumptions!$B$14,R10&gt;=Assumptions!$B$78*Assumptions!$B$55)),1,0)</f>
        <v/>
      </c>
      <c r="S16" s="10">
        <f>IF(OR(R16=1,AND(Assumptions!$B$76=1,S$3&gt;=Assumptions!$B$77+Assumptions!$B$52-2,S$3&gt;=Assumptions!$B$14,S10&gt;=Assumptions!$B$78*Assumptions!$B$55)),1,0)</f>
        <v/>
      </c>
      <c r="T16" s="10">
        <f>IF(OR(S16=1,AND(Assumptions!$B$76=1,T$3&gt;=Assumptions!$B$77+Assumptions!$B$52-2,T$3&gt;=Assumptions!$B$14,T10&gt;=Assumptions!$B$78*Assumptions!$B$55)),1,0)</f>
        <v/>
      </c>
      <c r="U16" s="10">
        <f>IF(OR(T16=1,AND(Assumptions!$B$76=1,U$3&gt;=Assumptions!$B$77+Assumptions!$B$52-2,U$3&gt;=Assumptions!$B$14,U10&gt;=Assumptions!$B$78*Assumptions!$B$55)),1,0)</f>
        <v/>
      </c>
      <c r="V16" s="10">
        <f>IF(OR(U16=1,AND(Assumptions!$B$76=1,V$3&gt;=Assumptions!$B$77+Assumptions!$B$52-2,V$3&gt;=Assumptions!$B$14,V10&gt;=Assumptions!$B$78*Assumptions!$B$55)),1,0)</f>
        <v/>
      </c>
      <c r="W16" s="10">
        <f>IF(OR(V16=1,AND(Assumptions!$B$76=1,W$3&gt;=Assumptions!$B$77+Assumptions!$B$52-2,W$3&gt;=Assumptions!$B$14,W10&gt;=Assumptions!$B$78*Assumptions!$B$55)),1,0)</f>
        <v/>
      </c>
      <c r="X16" s="10">
        <f>IF(OR(W16=1,AND(Assumptions!$B$76=1,X$3&gt;=Assumptions!$B$77+Assumptions!$B$52-2,X$3&gt;=Assumptions!$B$14,X10&gt;=Assumptions!$B$78*Assumptions!$B$55)),1,0)</f>
        <v/>
      </c>
      <c r="Y16" s="10">
        <f>IF(OR(X16=1,AND(Assumptions!$B$76=1,Y$3&gt;=Assumptions!$B$77+Assumptions!$B$52-2,Y$3&gt;=Assumptions!$B$14,Y10&gt;=Assumptions!$B$78*Assumptions!$B$55)),1,0)</f>
        <v/>
      </c>
      <c r="Z16" s="10">
        <f>IF(OR(Y16=1,AND(Assumptions!$B$76=1,Z$3&gt;=Assumptions!$B$77+Assumptions!$B$52-2,Z$3&gt;=Assumptions!$B$14,Z10&gt;=Assumptions!$B$78*Assumptions!$B$55)),1,0)</f>
        <v/>
      </c>
      <c r="AA16" s="10">
        <f>IF(OR(Z16=1,AND(Assumptions!$B$76=1,AA$3&gt;=Assumptions!$B$77+Assumptions!$B$52-2,AA$3&gt;=Assumptions!$B$14,AA10&gt;=Assumptions!$B$78*Assumptions!$B$55)),1,0)</f>
        <v/>
      </c>
      <c r="AB16" s="10">
        <f>IF(OR(AA16=1,AND(Assumptions!$B$76=1,AB$3&gt;=Assumptions!$B$77+Assumptions!$B$52-2,AB$3&gt;=Assumptions!$B$14,AB10&gt;=Assumptions!$B$78*Assumptions!$B$55)),1,0)</f>
        <v/>
      </c>
      <c r="AC16" s="10">
        <f>IF(OR(AB16=1,AND(Assumptions!$B$76=1,AC$3&gt;=Assumptions!$B$77+Assumptions!$B$52-2,AC$3&gt;=Assumptions!$B$14,AC10&gt;=Assumptions!$B$78*Assumptions!$B$55)),1,0)</f>
        <v/>
      </c>
      <c r="AD16" s="10">
        <f>IF(OR(AC16=1,AND(Assumptions!$B$76=1,AD$3&gt;=Assumptions!$B$77+Assumptions!$B$52-2,AD$3&gt;=Assumptions!$B$14,AD10&gt;=Assumptions!$B$78*Assumptions!$B$55)),1,0)</f>
        <v/>
      </c>
      <c r="AE16" s="10">
        <f>IF(OR(AD16=1,AND(Assumptions!$B$76=1,AE$3&gt;=Assumptions!$B$77+Assumptions!$B$52-2,AE$3&gt;=Assumptions!$B$14,AE10&gt;=Assumptions!$B$78*Assumptions!$B$55)),1,0)</f>
        <v/>
      </c>
      <c r="AF16" s="10">
        <f>IF(OR(AE16=1,AND(Assumptions!$B$76=1,AF$3&gt;=Assumptions!$B$77+Assumptions!$B$52-2,AF$3&gt;=Assumptions!$B$14,AF10&gt;=Assumptions!$B$78*Assumptions!$B$55)),1,0)</f>
        <v/>
      </c>
      <c r="AG16" s="10">
        <f>IF(OR(AF16=1,AND(Assumptions!$B$76=1,AG$3&gt;=Assumptions!$B$77+Assumptions!$B$52-2,AG$3&gt;=Assumptions!$B$14,AG10&gt;=Assumptions!$B$78*Assumptions!$B$55)),1,0)</f>
        <v/>
      </c>
      <c r="AH16" s="10">
        <f>IF(OR(AG16=1,AND(Assumptions!$B$76=1,AH$3&gt;=Assumptions!$B$77+Assumptions!$B$52-2,AH$3&gt;=Assumptions!$B$14,AH10&gt;=Assumptions!$B$78*Assumptions!$B$55)),1,0)</f>
        <v/>
      </c>
      <c r="AI16" s="10">
        <f>IF(OR(AH16=1,AND(Assumptions!$B$76=1,AI$3&gt;=Assumptions!$B$77+Assumptions!$B$52-2,AI$3&gt;=Assumptions!$B$14,AI10&gt;=Assumptions!$B$78*Assumptions!$B$55)),1,0)</f>
        <v/>
      </c>
      <c r="AJ16" s="10">
        <f>IF(OR(AI16=1,AND(Assumptions!$B$76=1,AJ$3&gt;=Assumptions!$B$77+Assumptions!$B$52-2,AJ$3&gt;=Assumptions!$B$14,AJ10&gt;=Assumptions!$B$78*Assumptions!$B$55)),1,0)</f>
        <v/>
      </c>
      <c r="AK16" s="10">
        <f>IF(OR(AJ16=1,AND(Assumptions!$B$76=1,AK$3&gt;=Assumptions!$B$77+Assumptions!$B$52-2,AK$3&gt;=Assumptions!$B$14,AK10&gt;=Assumptions!$B$78*Assumptions!$B$55)),1,0)</f>
        <v/>
      </c>
      <c r="AL16" s="10">
        <f>IF(OR(AK16=1,AND(Assumptions!$B$76=1,AL$3&gt;=Assumptions!$B$77+Assumptions!$B$52-2,AL$3&gt;=Assumptions!$B$14,AL10&gt;=Assumptions!$B$78*Assumptions!$B$55)),1,0)</f>
        <v/>
      </c>
      <c r="AM16" s="10">
        <f>IF(OR(AL16=1,AND(Assumptions!$B$76=1,AM$3&gt;=Assumptions!$B$77+Assumptions!$B$52-2,AM$3&gt;=Assumptions!$B$14,AM10&gt;=Assumptions!$B$78*Assumptions!$B$55)),1,0)</f>
        <v/>
      </c>
      <c r="AN16" s="10">
        <f>IF(OR(AM16=1,AND(Assumptions!$B$76=1,AN$3&gt;=Assumptions!$B$77+Assumptions!$B$52-2,AN$3&gt;=Assumptions!$B$14,AN10&gt;=Assumptions!$B$78*Assumptions!$B$55)),1,0)</f>
        <v/>
      </c>
      <c r="AO16" s="10">
        <f>IF(OR(AN16=1,AND(Assumptions!$B$76=1,AO$3&gt;=Assumptions!$B$77+Assumptions!$B$52-2,AO$3&gt;=Assumptions!$B$14,AO10&gt;=Assumptions!$B$78*Assumptions!$B$55)),1,0)</f>
        <v/>
      </c>
      <c r="AP16" s="10">
        <f>IF(OR(AO16=1,AND(Assumptions!$B$76=1,AP$3&gt;=Assumptions!$B$77+Assumptions!$B$52-2,AP$3&gt;=Assumptions!$B$14,AP10&gt;=Assumptions!$B$78*Assumptions!$B$55)),1,0)</f>
        <v/>
      </c>
      <c r="AQ16" s="10">
        <f>IF(OR(AP16=1,AND(Assumptions!$B$76=1,AQ$3&gt;=Assumptions!$B$77+Assumptions!$B$52-2,AQ$3&gt;=Assumptions!$B$14,AQ10&gt;=Assumptions!$B$78*Assumptions!$B$55)),1,0)</f>
        <v/>
      </c>
      <c r="AR16" s="10">
        <f>IF(OR(AQ16=1,AND(Assumptions!$B$76=1,AR$3&gt;=Assumptions!$B$77+Assumptions!$B$52-2,AR$3&gt;=Assumptions!$B$14,AR10&gt;=Assumptions!$B$78*Assumptions!$B$55)),1,0)</f>
        <v/>
      </c>
      <c r="AS16" s="10">
        <f>IF(OR(AR16=1,AND(Assumptions!$B$76=1,AS$3&gt;=Assumptions!$B$77+Assumptions!$B$52-2,AS$3&gt;=Assumptions!$B$14,AS10&gt;=Assumptions!$B$78*Assumptions!$B$55)),1,0)</f>
        <v/>
      </c>
      <c r="AT16" s="10">
        <f>IF(OR(AS16=1,AND(Assumptions!$B$76=1,AT$3&gt;=Assumptions!$B$77+Assumptions!$B$52-2,AT$3&gt;=Assumptions!$B$14,AT10&gt;=Assumptions!$B$78*Assumptions!$B$55)),1,0)</f>
        <v/>
      </c>
      <c r="AU16" s="10">
        <f>IF(OR(AT16=1,AND(Assumptions!$B$76=1,AU$3&gt;=Assumptions!$B$77+Assumptions!$B$52-2,AU$3&gt;=Assumptions!$B$14,AU10&gt;=Assumptions!$B$78*Assumptions!$B$55)),1,0)</f>
        <v/>
      </c>
      <c r="AV16" s="10">
        <f>IF(OR(AU16=1,AND(Assumptions!$B$76=1,AV$3&gt;=Assumptions!$B$77+Assumptions!$B$52-2,AV$3&gt;=Assumptions!$B$14,AV10&gt;=Assumptions!$B$78*Assumptions!$B$55)),1,0)</f>
        <v/>
      </c>
      <c r="AW16" s="10">
        <f>IF(OR(AV16=1,AND(Assumptions!$B$76=1,AW$3&gt;=Assumptions!$B$77+Assumptions!$B$52-2,AW$3&gt;=Assumptions!$B$14,AW10&gt;=Assumptions!$B$78*Assumptions!$B$55)),1,0)</f>
        <v/>
      </c>
      <c r="AX16" s="10">
        <f>IF(OR(AW16=1,AND(Assumptions!$B$76=1,AX$3&gt;=Assumptions!$B$77+Assumptions!$B$52-2,AX$3&gt;=Assumptions!$B$14,AX10&gt;=Assumptions!$B$78*Assumptions!$B$55)),1,0)</f>
        <v/>
      </c>
      <c r="AY16" s="10">
        <f>IF(OR(AX16=1,AND(Assumptions!$B$76=1,AY$3&gt;=Assumptions!$B$77+Assumptions!$B$52-2,AY$3&gt;=Assumptions!$B$14,AY10&gt;=Assumptions!$B$78*Assumptions!$B$55)),1,0)</f>
        <v/>
      </c>
      <c r="AZ16" s="10">
        <f>IF(OR(AY16=1,AND(Assumptions!$B$76=1,AZ$3&gt;=Assumptions!$B$77+Assumptions!$B$52-2,AZ$3&gt;=Assumptions!$B$14,AZ10&gt;=Assumptions!$B$78*Assumptions!$B$55)),1,0)</f>
        <v/>
      </c>
      <c r="BA16" s="10">
        <f>IF(OR(AZ16=1,AND(Assumptions!$B$76=1,BA$3&gt;=Assumptions!$B$77+Assumptions!$B$52-2,BA$3&gt;=Assumptions!$B$14,BA10&gt;=Assumptions!$B$78*Assumptions!$B$55)),1,0)</f>
        <v/>
      </c>
      <c r="BB16" s="10">
        <f>IF(OR(BA16=1,AND(Assumptions!$B$76=1,BB$3&gt;=Assumptions!$B$77+Assumptions!$B$52-2,BB$3&gt;=Assumptions!$B$14,BB10&gt;=Assumptions!$B$78*Assumptions!$B$55)),1,0)</f>
        <v/>
      </c>
      <c r="BC16" s="10">
        <f>IF(OR(BB16=1,AND(Assumptions!$B$76=1,BC$3&gt;=Assumptions!$B$77+Assumptions!$B$52-2,BC$3&gt;=Assumptions!$B$14,BC10&gt;=Assumptions!$B$78*Assumptions!$B$55)),1,0)</f>
        <v/>
      </c>
      <c r="BD16" s="10">
        <f>IF(OR(BC16=1,AND(Assumptions!$B$76=1,BD$3&gt;=Assumptions!$B$77+Assumptions!$B$52-2,BD$3&gt;=Assumptions!$B$14,BD10&gt;=Assumptions!$B$78*Assumptions!$B$55)),1,0)</f>
        <v/>
      </c>
      <c r="BE16" s="10">
        <f>IF(OR(BD16=1,AND(Assumptions!$B$76=1,BE$3&gt;=Assumptions!$B$77+Assumptions!$B$52-2,BE$3&gt;=Assumptions!$B$14,BE10&gt;=Assumptions!$B$78*Assumptions!$B$55)),1,0)</f>
        <v/>
      </c>
      <c r="BF16" s="10">
        <f>IF(OR(BE16=1,AND(Assumptions!$B$76=1,BF$3&gt;=Assumptions!$B$77+Assumptions!$B$52-2,BF$3&gt;=Assumptions!$B$14,BF10&gt;=Assumptions!$B$78*Assumptions!$B$55)),1,0)</f>
        <v/>
      </c>
      <c r="BG16" s="10">
        <f>IF(OR(BF16=1,AND(Assumptions!$B$76=1,BG$3&gt;=Assumptions!$B$77+Assumptions!$B$52-2,BG$3&gt;=Assumptions!$B$14,BG10&gt;=Assumptions!$B$78*Assumptions!$B$55)),1,0)</f>
        <v/>
      </c>
      <c r="BH16" s="10">
        <f>IF(OR(BG16=1,AND(Assumptions!$B$76=1,BH$3&gt;=Assumptions!$B$77+Assumptions!$B$52-2,BH$3&gt;=Assumptions!$B$14,BH10&gt;=Assumptions!$B$78*Assumptions!$B$55)),1,0)</f>
        <v/>
      </c>
      <c r="BI16" s="10">
        <f>IF(OR(BH16=1,AND(Assumptions!$B$76=1,BI$3&gt;=Assumptions!$B$77+Assumptions!$B$52-2,BI$3&gt;=Assumptions!$B$14,BI10&gt;=Assumptions!$B$78*Assumptions!$B$55)),1,0)</f>
        <v/>
      </c>
      <c r="BJ16" s="10">
        <f>IF(OR(BI16=1,AND(Assumptions!$B$76=1,BJ$3&gt;=Assumptions!$B$77+Assumptions!$B$52-2,BJ$3&gt;=Assumptions!$B$14,BJ10&gt;=Assumptions!$B$78*Assumptions!$B$55)),1,0)</f>
        <v/>
      </c>
    </row>
    <row r="17">
      <c r="A17" s="4" t="inlineStr">
        <is>
          <t>Live: Kenya</t>
        </is>
      </c>
      <c r="B17" s="17" t="inlineStr">
        <is>
          <t>flag</t>
        </is>
      </c>
      <c r="C17" s="10">
        <f>0</f>
        <v/>
      </c>
      <c r="D17" s="10">
        <f>0</f>
        <v/>
      </c>
      <c r="E17" s="10">
        <f>C16</f>
        <v/>
      </c>
      <c r="F17" s="10">
        <f>D16</f>
        <v/>
      </c>
      <c r="G17" s="10">
        <f>E16</f>
        <v/>
      </c>
      <c r="H17" s="10">
        <f>F16</f>
        <v/>
      </c>
      <c r="I17" s="10">
        <f>G16</f>
        <v/>
      </c>
      <c r="J17" s="10">
        <f>H16</f>
        <v/>
      </c>
      <c r="K17" s="10">
        <f>I16</f>
        <v/>
      </c>
      <c r="L17" s="10">
        <f>J16</f>
        <v/>
      </c>
      <c r="M17" s="10">
        <f>K16</f>
        <v/>
      </c>
      <c r="N17" s="10">
        <f>L16</f>
        <v/>
      </c>
      <c r="O17" s="10">
        <f>M16</f>
        <v/>
      </c>
      <c r="P17" s="10">
        <f>N16</f>
        <v/>
      </c>
      <c r="Q17" s="10">
        <f>O16</f>
        <v/>
      </c>
      <c r="R17" s="10">
        <f>P16</f>
        <v/>
      </c>
      <c r="S17" s="10">
        <f>Q16</f>
        <v/>
      </c>
      <c r="T17" s="10">
        <f>R16</f>
        <v/>
      </c>
      <c r="U17" s="10">
        <f>S16</f>
        <v/>
      </c>
      <c r="V17" s="10">
        <f>T16</f>
        <v/>
      </c>
      <c r="W17" s="10">
        <f>U16</f>
        <v/>
      </c>
      <c r="X17" s="10">
        <f>V16</f>
        <v/>
      </c>
      <c r="Y17" s="10">
        <f>W16</f>
        <v/>
      </c>
      <c r="Z17" s="10">
        <f>X16</f>
        <v/>
      </c>
      <c r="AA17" s="10">
        <f>Y16</f>
        <v/>
      </c>
      <c r="AB17" s="10">
        <f>Z16</f>
        <v/>
      </c>
      <c r="AC17" s="10">
        <f>AA16</f>
        <v/>
      </c>
      <c r="AD17" s="10">
        <f>AB16</f>
        <v/>
      </c>
      <c r="AE17" s="10">
        <f>AC16</f>
        <v/>
      </c>
      <c r="AF17" s="10">
        <f>AD16</f>
        <v/>
      </c>
      <c r="AG17" s="10">
        <f>AE16</f>
        <v/>
      </c>
      <c r="AH17" s="10">
        <f>AF16</f>
        <v/>
      </c>
      <c r="AI17" s="10">
        <f>AG16</f>
        <v/>
      </c>
      <c r="AJ17" s="10">
        <f>AH16</f>
        <v/>
      </c>
      <c r="AK17" s="10">
        <f>AI16</f>
        <v/>
      </c>
      <c r="AL17" s="10">
        <f>AJ16</f>
        <v/>
      </c>
      <c r="AM17" s="10">
        <f>AK16</f>
        <v/>
      </c>
      <c r="AN17" s="10">
        <f>AL16</f>
        <v/>
      </c>
      <c r="AO17" s="10">
        <f>AM16</f>
        <v/>
      </c>
      <c r="AP17" s="10">
        <f>AN16</f>
        <v/>
      </c>
      <c r="AQ17" s="10">
        <f>AO16</f>
        <v/>
      </c>
      <c r="AR17" s="10">
        <f>AP16</f>
        <v/>
      </c>
      <c r="AS17" s="10">
        <f>AQ16</f>
        <v/>
      </c>
      <c r="AT17" s="10">
        <f>AR16</f>
        <v/>
      </c>
      <c r="AU17" s="10">
        <f>AS16</f>
        <v/>
      </c>
      <c r="AV17" s="10">
        <f>AT16</f>
        <v/>
      </c>
      <c r="AW17" s="10">
        <f>AU16</f>
        <v/>
      </c>
      <c r="AX17" s="10">
        <f>AV16</f>
        <v/>
      </c>
      <c r="AY17" s="10">
        <f>AW16</f>
        <v/>
      </c>
      <c r="AZ17" s="10">
        <f>AX16</f>
        <v/>
      </c>
      <c r="BA17" s="10">
        <f>AY16</f>
        <v/>
      </c>
      <c r="BB17" s="10">
        <f>AZ16</f>
        <v/>
      </c>
      <c r="BC17" s="10">
        <f>BA16</f>
        <v/>
      </c>
      <c r="BD17" s="10">
        <f>BB16</f>
        <v/>
      </c>
      <c r="BE17" s="10">
        <f>BC16</f>
        <v/>
      </c>
      <c r="BF17" s="10">
        <f>BD16</f>
        <v/>
      </c>
      <c r="BG17" s="10">
        <f>BE16</f>
        <v/>
      </c>
      <c r="BH17" s="10">
        <f>BF16</f>
        <v/>
      </c>
      <c r="BI17" s="10">
        <f>BG16</f>
        <v/>
      </c>
      <c r="BJ17" s="10">
        <f>BH16</f>
        <v/>
      </c>
    </row>
    <row r="18">
      <c r="A18" s="4" t="inlineStr">
        <is>
          <t>Launch decided (country lead hired): Ghana</t>
        </is>
      </c>
      <c r="B18" s="17" t="inlineStr">
        <is>
          <t>flag</t>
        </is>
      </c>
      <c r="C18" s="10">
        <f>IF(AND(Assumptions!$B$86=1,C$3&gt;=Assumptions!$B$87+Assumptions!$B$52-2,C$3&gt;=Assumptions!$B$14,C10&gt;=Assumptions!$B$88*Assumptions!$B$55),1,0)</f>
        <v/>
      </c>
      <c r="D18" s="10">
        <f>IF(OR(C18=1,AND(Assumptions!$B$86=1,D$3&gt;=Assumptions!$B$87+Assumptions!$B$52-2,D$3&gt;=Assumptions!$B$14,D10&gt;=Assumptions!$B$88*Assumptions!$B$55)),1,0)</f>
        <v/>
      </c>
      <c r="E18" s="10">
        <f>IF(OR(D18=1,AND(Assumptions!$B$86=1,E$3&gt;=Assumptions!$B$87+Assumptions!$B$52-2,E$3&gt;=Assumptions!$B$14,E10&gt;=Assumptions!$B$88*Assumptions!$B$55)),1,0)</f>
        <v/>
      </c>
      <c r="F18" s="10">
        <f>IF(OR(E18=1,AND(Assumptions!$B$86=1,F$3&gt;=Assumptions!$B$87+Assumptions!$B$52-2,F$3&gt;=Assumptions!$B$14,F10&gt;=Assumptions!$B$88*Assumptions!$B$55)),1,0)</f>
        <v/>
      </c>
      <c r="G18" s="10">
        <f>IF(OR(F18=1,AND(Assumptions!$B$86=1,G$3&gt;=Assumptions!$B$87+Assumptions!$B$52-2,G$3&gt;=Assumptions!$B$14,G10&gt;=Assumptions!$B$88*Assumptions!$B$55)),1,0)</f>
        <v/>
      </c>
      <c r="H18" s="10">
        <f>IF(OR(G18=1,AND(Assumptions!$B$86=1,H$3&gt;=Assumptions!$B$87+Assumptions!$B$52-2,H$3&gt;=Assumptions!$B$14,H10&gt;=Assumptions!$B$88*Assumptions!$B$55)),1,0)</f>
        <v/>
      </c>
      <c r="I18" s="10">
        <f>IF(OR(H18=1,AND(Assumptions!$B$86=1,I$3&gt;=Assumptions!$B$87+Assumptions!$B$52-2,I$3&gt;=Assumptions!$B$14,I10&gt;=Assumptions!$B$88*Assumptions!$B$55)),1,0)</f>
        <v/>
      </c>
      <c r="J18" s="10">
        <f>IF(OR(I18=1,AND(Assumptions!$B$86=1,J$3&gt;=Assumptions!$B$87+Assumptions!$B$52-2,J$3&gt;=Assumptions!$B$14,J10&gt;=Assumptions!$B$88*Assumptions!$B$55)),1,0)</f>
        <v/>
      </c>
      <c r="K18" s="10">
        <f>IF(OR(J18=1,AND(Assumptions!$B$86=1,K$3&gt;=Assumptions!$B$87+Assumptions!$B$52-2,K$3&gt;=Assumptions!$B$14,K10&gt;=Assumptions!$B$88*Assumptions!$B$55)),1,0)</f>
        <v/>
      </c>
      <c r="L18" s="10">
        <f>IF(OR(K18=1,AND(Assumptions!$B$86=1,L$3&gt;=Assumptions!$B$87+Assumptions!$B$52-2,L$3&gt;=Assumptions!$B$14,L10&gt;=Assumptions!$B$88*Assumptions!$B$55)),1,0)</f>
        <v/>
      </c>
      <c r="M18" s="10">
        <f>IF(OR(L18=1,AND(Assumptions!$B$86=1,M$3&gt;=Assumptions!$B$87+Assumptions!$B$52-2,M$3&gt;=Assumptions!$B$14,M10&gt;=Assumptions!$B$88*Assumptions!$B$55)),1,0)</f>
        <v/>
      </c>
      <c r="N18" s="10">
        <f>IF(OR(M18=1,AND(Assumptions!$B$86=1,N$3&gt;=Assumptions!$B$87+Assumptions!$B$52-2,N$3&gt;=Assumptions!$B$14,N10&gt;=Assumptions!$B$88*Assumptions!$B$55)),1,0)</f>
        <v/>
      </c>
      <c r="O18" s="10">
        <f>IF(OR(N18=1,AND(Assumptions!$B$86=1,O$3&gt;=Assumptions!$B$87+Assumptions!$B$52-2,O$3&gt;=Assumptions!$B$14,O10&gt;=Assumptions!$B$88*Assumptions!$B$55)),1,0)</f>
        <v/>
      </c>
      <c r="P18" s="10">
        <f>IF(OR(O18=1,AND(Assumptions!$B$86=1,P$3&gt;=Assumptions!$B$87+Assumptions!$B$52-2,P$3&gt;=Assumptions!$B$14,P10&gt;=Assumptions!$B$88*Assumptions!$B$55)),1,0)</f>
        <v/>
      </c>
      <c r="Q18" s="10">
        <f>IF(OR(P18=1,AND(Assumptions!$B$86=1,Q$3&gt;=Assumptions!$B$87+Assumptions!$B$52-2,Q$3&gt;=Assumptions!$B$14,Q10&gt;=Assumptions!$B$88*Assumptions!$B$55)),1,0)</f>
        <v/>
      </c>
      <c r="R18" s="10">
        <f>IF(OR(Q18=1,AND(Assumptions!$B$86=1,R$3&gt;=Assumptions!$B$87+Assumptions!$B$52-2,R$3&gt;=Assumptions!$B$14,R10&gt;=Assumptions!$B$88*Assumptions!$B$55)),1,0)</f>
        <v/>
      </c>
      <c r="S18" s="10">
        <f>IF(OR(R18=1,AND(Assumptions!$B$86=1,S$3&gt;=Assumptions!$B$87+Assumptions!$B$52-2,S$3&gt;=Assumptions!$B$14,S10&gt;=Assumptions!$B$88*Assumptions!$B$55)),1,0)</f>
        <v/>
      </c>
      <c r="T18" s="10">
        <f>IF(OR(S18=1,AND(Assumptions!$B$86=1,T$3&gt;=Assumptions!$B$87+Assumptions!$B$52-2,T$3&gt;=Assumptions!$B$14,T10&gt;=Assumptions!$B$88*Assumptions!$B$55)),1,0)</f>
        <v/>
      </c>
      <c r="U18" s="10">
        <f>IF(OR(T18=1,AND(Assumptions!$B$86=1,U$3&gt;=Assumptions!$B$87+Assumptions!$B$52-2,U$3&gt;=Assumptions!$B$14,U10&gt;=Assumptions!$B$88*Assumptions!$B$55)),1,0)</f>
        <v/>
      </c>
      <c r="V18" s="10">
        <f>IF(OR(U18=1,AND(Assumptions!$B$86=1,V$3&gt;=Assumptions!$B$87+Assumptions!$B$52-2,V$3&gt;=Assumptions!$B$14,V10&gt;=Assumptions!$B$88*Assumptions!$B$55)),1,0)</f>
        <v/>
      </c>
      <c r="W18" s="10">
        <f>IF(OR(V18=1,AND(Assumptions!$B$86=1,W$3&gt;=Assumptions!$B$87+Assumptions!$B$52-2,W$3&gt;=Assumptions!$B$14,W10&gt;=Assumptions!$B$88*Assumptions!$B$55)),1,0)</f>
        <v/>
      </c>
      <c r="X18" s="10">
        <f>IF(OR(W18=1,AND(Assumptions!$B$86=1,X$3&gt;=Assumptions!$B$87+Assumptions!$B$52-2,X$3&gt;=Assumptions!$B$14,X10&gt;=Assumptions!$B$88*Assumptions!$B$55)),1,0)</f>
        <v/>
      </c>
      <c r="Y18" s="10">
        <f>IF(OR(X18=1,AND(Assumptions!$B$86=1,Y$3&gt;=Assumptions!$B$87+Assumptions!$B$52-2,Y$3&gt;=Assumptions!$B$14,Y10&gt;=Assumptions!$B$88*Assumptions!$B$55)),1,0)</f>
        <v/>
      </c>
      <c r="Z18" s="10">
        <f>IF(OR(Y18=1,AND(Assumptions!$B$86=1,Z$3&gt;=Assumptions!$B$87+Assumptions!$B$52-2,Z$3&gt;=Assumptions!$B$14,Z10&gt;=Assumptions!$B$88*Assumptions!$B$55)),1,0)</f>
        <v/>
      </c>
      <c r="AA18" s="10">
        <f>IF(OR(Z18=1,AND(Assumptions!$B$86=1,AA$3&gt;=Assumptions!$B$87+Assumptions!$B$52-2,AA$3&gt;=Assumptions!$B$14,AA10&gt;=Assumptions!$B$88*Assumptions!$B$55)),1,0)</f>
        <v/>
      </c>
      <c r="AB18" s="10">
        <f>IF(OR(AA18=1,AND(Assumptions!$B$86=1,AB$3&gt;=Assumptions!$B$87+Assumptions!$B$52-2,AB$3&gt;=Assumptions!$B$14,AB10&gt;=Assumptions!$B$88*Assumptions!$B$55)),1,0)</f>
        <v/>
      </c>
      <c r="AC18" s="10">
        <f>IF(OR(AB18=1,AND(Assumptions!$B$86=1,AC$3&gt;=Assumptions!$B$87+Assumptions!$B$52-2,AC$3&gt;=Assumptions!$B$14,AC10&gt;=Assumptions!$B$88*Assumptions!$B$55)),1,0)</f>
        <v/>
      </c>
      <c r="AD18" s="10">
        <f>IF(OR(AC18=1,AND(Assumptions!$B$86=1,AD$3&gt;=Assumptions!$B$87+Assumptions!$B$52-2,AD$3&gt;=Assumptions!$B$14,AD10&gt;=Assumptions!$B$88*Assumptions!$B$55)),1,0)</f>
        <v/>
      </c>
      <c r="AE18" s="10">
        <f>IF(OR(AD18=1,AND(Assumptions!$B$86=1,AE$3&gt;=Assumptions!$B$87+Assumptions!$B$52-2,AE$3&gt;=Assumptions!$B$14,AE10&gt;=Assumptions!$B$88*Assumptions!$B$55)),1,0)</f>
        <v/>
      </c>
      <c r="AF18" s="10">
        <f>IF(OR(AE18=1,AND(Assumptions!$B$86=1,AF$3&gt;=Assumptions!$B$87+Assumptions!$B$52-2,AF$3&gt;=Assumptions!$B$14,AF10&gt;=Assumptions!$B$88*Assumptions!$B$55)),1,0)</f>
        <v/>
      </c>
      <c r="AG18" s="10">
        <f>IF(OR(AF18=1,AND(Assumptions!$B$86=1,AG$3&gt;=Assumptions!$B$87+Assumptions!$B$52-2,AG$3&gt;=Assumptions!$B$14,AG10&gt;=Assumptions!$B$88*Assumptions!$B$55)),1,0)</f>
        <v/>
      </c>
      <c r="AH18" s="10">
        <f>IF(OR(AG18=1,AND(Assumptions!$B$86=1,AH$3&gt;=Assumptions!$B$87+Assumptions!$B$52-2,AH$3&gt;=Assumptions!$B$14,AH10&gt;=Assumptions!$B$88*Assumptions!$B$55)),1,0)</f>
        <v/>
      </c>
      <c r="AI18" s="10">
        <f>IF(OR(AH18=1,AND(Assumptions!$B$86=1,AI$3&gt;=Assumptions!$B$87+Assumptions!$B$52-2,AI$3&gt;=Assumptions!$B$14,AI10&gt;=Assumptions!$B$88*Assumptions!$B$55)),1,0)</f>
        <v/>
      </c>
      <c r="AJ18" s="10">
        <f>IF(OR(AI18=1,AND(Assumptions!$B$86=1,AJ$3&gt;=Assumptions!$B$87+Assumptions!$B$52-2,AJ$3&gt;=Assumptions!$B$14,AJ10&gt;=Assumptions!$B$88*Assumptions!$B$55)),1,0)</f>
        <v/>
      </c>
      <c r="AK18" s="10">
        <f>IF(OR(AJ18=1,AND(Assumptions!$B$86=1,AK$3&gt;=Assumptions!$B$87+Assumptions!$B$52-2,AK$3&gt;=Assumptions!$B$14,AK10&gt;=Assumptions!$B$88*Assumptions!$B$55)),1,0)</f>
        <v/>
      </c>
      <c r="AL18" s="10">
        <f>IF(OR(AK18=1,AND(Assumptions!$B$86=1,AL$3&gt;=Assumptions!$B$87+Assumptions!$B$52-2,AL$3&gt;=Assumptions!$B$14,AL10&gt;=Assumptions!$B$88*Assumptions!$B$55)),1,0)</f>
        <v/>
      </c>
      <c r="AM18" s="10">
        <f>IF(OR(AL18=1,AND(Assumptions!$B$86=1,AM$3&gt;=Assumptions!$B$87+Assumptions!$B$52-2,AM$3&gt;=Assumptions!$B$14,AM10&gt;=Assumptions!$B$88*Assumptions!$B$55)),1,0)</f>
        <v/>
      </c>
      <c r="AN18" s="10">
        <f>IF(OR(AM18=1,AND(Assumptions!$B$86=1,AN$3&gt;=Assumptions!$B$87+Assumptions!$B$52-2,AN$3&gt;=Assumptions!$B$14,AN10&gt;=Assumptions!$B$88*Assumptions!$B$55)),1,0)</f>
        <v/>
      </c>
      <c r="AO18" s="10">
        <f>IF(OR(AN18=1,AND(Assumptions!$B$86=1,AO$3&gt;=Assumptions!$B$87+Assumptions!$B$52-2,AO$3&gt;=Assumptions!$B$14,AO10&gt;=Assumptions!$B$88*Assumptions!$B$55)),1,0)</f>
        <v/>
      </c>
      <c r="AP18" s="10">
        <f>IF(OR(AO18=1,AND(Assumptions!$B$86=1,AP$3&gt;=Assumptions!$B$87+Assumptions!$B$52-2,AP$3&gt;=Assumptions!$B$14,AP10&gt;=Assumptions!$B$88*Assumptions!$B$55)),1,0)</f>
        <v/>
      </c>
      <c r="AQ18" s="10">
        <f>IF(OR(AP18=1,AND(Assumptions!$B$86=1,AQ$3&gt;=Assumptions!$B$87+Assumptions!$B$52-2,AQ$3&gt;=Assumptions!$B$14,AQ10&gt;=Assumptions!$B$88*Assumptions!$B$55)),1,0)</f>
        <v/>
      </c>
      <c r="AR18" s="10">
        <f>IF(OR(AQ18=1,AND(Assumptions!$B$86=1,AR$3&gt;=Assumptions!$B$87+Assumptions!$B$52-2,AR$3&gt;=Assumptions!$B$14,AR10&gt;=Assumptions!$B$88*Assumptions!$B$55)),1,0)</f>
        <v/>
      </c>
      <c r="AS18" s="10">
        <f>IF(OR(AR18=1,AND(Assumptions!$B$86=1,AS$3&gt;=Assumptions!$B$87+Assumptions!$B$52-2,AS$3&gt;=Assumptions!$B$14,AS10&gt;=Assumptions!$B$88*Assumptions!$B$55)),1,0)</f>
        <v/>
      </c>
      <c r="AT18" s="10">
        <f>IF(OR(AS18=1,AND(Assumptions!$B$86=1,AT$3&gt;=Assumptions!$B$87+Assumptions!$B$52-2,AT$3&gt;=Assumptions!$B$14,AT10&gt;=Assumptions!$B$88*Assumptions!$B$55)),1,0)</f>
        <v/>
      </c>
      <c r="AU18" s="10">
        <f>IF(OR(AT18=1,AND(Assumptions!$B$86=1,AU$3&gt;=Assumptions!$B$87+Assumptions!$B$52-2,AU$3&gt;=Assumptions!$B$14,AU10&gt;=Assumptions!$B$88*Assumptions!$B$55)),1,0)</f>
        <v/>
      </c>
      <c r="AV18" s="10">
        <f>IF(OR(AU18=1,AND(Assumptions!$B$86=1,AV$3&gt;=Assumptions!$B$87+Assumptions!$B$52-2,AV$3&gt;=Assumptions!$B$14,AV10&gt;=Assumptions!$B$88*Assumptions!$B$55)),1,0)</f>
        <v/>
      </c>
      <c r="AW18" s="10">
        <f>IF(OR(AV18=1,AND(Assumptions!$B$86=1,AW$3&gt;=Assumptions!$B$87+Assumptions!$B$52-2,AW$3&gt;=Assumptions!$B$14,AW10&gt;=Assumptions!$B$88*Assumptions!$B$55)),1,0)</f>
        <v/>
      </c>
      <c r="AX18" s="10">
        <f>IF(OR(AW18=1,AND(Assumptions!$B$86=1,AX$3&gt;=Assumptions!$B$87+Assumptions!$B$52-2,AX$3&gt;=Assumptions!$B$14,AX10&gt;=Assumptions!$B$88*Assumptions!$B$55)),1,0)</f>
        <v/>
      </c>
      <c r="AY18" s="10">
        <f>IF(OR(AX18=1,AND(Assumptions!$B$86=1,AY$3&gt;=Assumptions!$B$87+Assumptions!$B$52-2,AY$3&gt;=Assumptions!$B$14,AY10&gt;=Assumptions!$B$88*Assumptions!$B$55)),1,0)</f>
        <v/>
      </c>
      <c r="AZ18" s="10">
        <f>IF(OR(AY18=1,AND(Assumptions!$B$86=1,AZ$3&gt;=Assumptions!$B$87+Assumptions!$B$52-2,AZ$3&gt;=Assumptions!$B$14,AZ10&gt;=Assumptions!$B$88*Assumptions!$B$55)),1,0)</f>
        <v/>
      </c>
      <c r="BA18" s="10">
        <f>IF(OR(AZ18=1,AND(Assumptions!$B$86=1,BA$3&gt;=Assumptions!$B$87+Assumptions!$B$52-2,BA$3&gt;=Assumptions!$B$14,BA10&gt;=Assumptions!$B$88*Assumptions!$B$55)),1,0)</f>
        <v/>
      </c>
      <c r="BB18" s="10">
        <f>IF(OR(BA18=1,AND(Assumptions!$B$86=1,BB$3&gt;=Assumptions!$B$87+Assumptions!$B$52-2,BB$3&gt;=Assumptions!$B$14,BB10&gt;=Assumptions!$B$88*Assumptions!$B$55)),1,0)</f>
        <v/>
      </c>
      <c r="BC18" s="10">
        <f>IF(OR(BB18=1,AND(Assumptions!$B$86=1,BC$3&gt;=Assumptions!$B$87+Assumptions!$B$52-2,BC$3&gt;=Assumptions!$B$14,BC10&gt;=Assumptions!$B$88*Assumptions!$B$55)),1,0)</f>
        <v/>
      </c>
      <c r="BD18" s="10">
        <f>IF(OR(BC18=1,AND(Assumptions!$B$86=1,BD$3&gt;=Assumptions!$B$87+Assumptions!$B$52-2,BD$3&gt;=Assumptions!$B$14,BD10&gt;=Assumptions!$B$88*Assumptions!$B$55)),1,0)</f>
        <v/>
      </c>
      <c r="BE18" s="10">
        <f>IF(OR(BD18=1,AND(Assumptions!$B$86=1,BE$3&gt;=Assumptions!$B$87+Assumptions!$B$52-2,BE$3&gt;=Assumptions!$B$14,BE10&gt;=Assumptions!$B$88*Assumptions!$B$55)),1,0)</f>
        <v/>
      </c>
      <c r="BF18" s="10">
        <f>IF(OR(BE18=1,AND(Assumptions!$B$86=1,BF$3&gt;=Assumptions!$B$87+Assumptions!$B$52-2,BF$3&gt;=Assumptions!$B$14,BF10&gt;=Assumptions!$B$88*Assumptions!$B$55)),1,0)</f>
        <v/>
      </c>
      <c r="BG18" s="10">
        <f>IF(OR(BF18=1,AND(Assumptions!$B$86=1,BG$3&gt;=Assumptions!$B$87+Assumptions!$B$52-2,BG$3&gt;=Assumptions!$B$14,BG10&gt;=Assumptions!$B$88*Assumptions!$B$55)),1,0)</f>
        <v/>
      </c>
      <c r="BH18" s="10">
        <f>IF(OR(BG18=1,AND(Assumptions!$B$86=1,BH$3&gt;=Assumptions!$B$87+Assumptions!$B$52-2,BH$3&gt;=Assumptions!$B$14,BH10&gt;=Assumptions!$B$88*Assumptions!$B$55)),1,0)</f>
        <v/>
      </c>
      <c r="BI18" s="10">
        <f>IF(OR(BH18=1,AND(Assumptions!$B$86=1,BI$3&gt;=Assumptions!$B$87+Assumptions!$B$52-2,BI$3&gt;=Assumptions!$B$14,BI10&gt;=Assumptions!$B$88*Assumptions!$B$55)),1,0)</f>
        <v/>
      </c>
      <c r="BJ18" s="10">
        <f>IF(OR(BI18=1,AND(Assumptions!$B$86=1,BJ$3&gt;=Assumptions!$B$87+Assumptions!$B$52-2,BJ$3&gt;=Assumptions!$B$14,BJ10&gt;=Assumptions!$B$88*Assumptions!$B$55)),1,0)</f>
        <v/>
      </c>
    </row>
    <row r="19">
      <c r="A19" s="4" t="inlineStr">
        <is>
          <t>Live: Ghana</t>
        </is>
      </c>
      <c r="B19" s="17" t="inlineStr">
        <is>
          <t>flag</t>
        </is>
      </c>
      <c r="C19" s="10">
        <f>0</f>
        <v/>
      </c>
      <c r="D19" s="10">
        <f>0</f>
        <v/>
      </c>
      <c r="E19" s="10">
        <f>C18</f>
        <v/>
      </c>
      <c r="F19" s="10">
        <f>D18</f>
        <v/>
      </c>
      <c r="G19" s="10">
        <f>E18</f>
        <v/>
      </c>
      <c r="H19" s="10">
        <f>F18</f>
        <v/>
      </c>
      <c r="I19" s="10">
        <f>G18</f>
        <v/>
      </c>
      <c r="J19" s="10">
        <f>H18</f>
        <v/>
      </c>
      <c r="K19" s="10">
        <f>I18</f>
        <v/>
      </c>
      <c r="L19" s="10">
        <f>J18</f>
        <v/>
      </c>
      <c r="M19" s="10">
        <f>K18</f>
        <v/>
      </c>
      <c r="N19" s="10">
        <f>L18</f>
        <v/>
      </c>
      <c r="O19" s="10">
        <f>M18</f>
        <v/>
      </c>
      <c r="P19" s="10">
        <f>N18</f>
        <v/>
      </c>
      <c r="Q19" s="10">
        <f>O18</f>
        <v/>
      </c>
      <c r="R19" s="10">
        <f>P18</f>
        <v/>
      </c>
      <c r="S19" s="10">
        <f>Q18</f>
        <v/>
      </c>
      <c r="T19" s="10">
        <f>R18</f>
        <v/>
      </c>
      <c r="U19" s="10">
        <f>S18</f>
        <v/>
      </c>
      <c r="V19" s="10">
        <f>T18</f>
        <v/>
      </c>
      <c r="W19" s="10">
        <f>U18</f>
        <v/>
      </c>
      <c r="X19" s="10">
        <f>V18</f>
        <v/>
      </c>
      <c r="Y19" s="10">
        <f>W18</f>
        <v/>
      </c>
      <c r="Z19" s="10">
        <f>X18</f>
        <v/>
      </c>
      <c r="AA19" s="10">
        <f>Y18</f>
        <v/>
      </c>
      <c r="AB19" s="10">
        <f>Z18</f>
        <v/>
      </c>
      <c r="AC19" s="10">
        <f>AA18</f>
        <v/>
      </c>
      <c r="AD19" s="10">
        <f>AB18</f>
        <v/>
      </c>
      <c r="AE19" s="10">
        <f>AC18</f>
        <v/>
      </c>
      <c r="AF19" s="10">
        <f>AD18</f>
        <v/>
      </c>
      <c r="AG19" s="10">
        <f>AE18</f>
        <v/>
      </c>
      <c r="AH19" s="10">
        <f>AF18</f>
        <v/>
      </c>
      <c r="AI19" s="10">
        <f>AG18</f>
        <v/>
      </c>
      <c r="AJ19" s="10">
        <f>AH18</f>
        <v/>
      </c>
      <c r="AK19" s="10">
        <f>AI18</f>
        <v/>
      </c>
      <c r="AL19" s="10">
        <f>AJ18</f>
        <v/>
      </c>
      <c r="AM19" s="10">
        <f>AK18</f>
        <v/>
      </c>
      <c r="AN19" s="10">
        <f>AL18</f>
        <v/>
      </c>
      <c r="AO19" s="10">
        <f>AM18</f>
        <v/>
      </c>
      <c r="AP19" s="10">
        <f>AN18</f>
        <v/>
      </c>
      <c r="AQ19" s="10">
        <f>AO18</f>
        <v/>
      </c>
      <c r="AR19" s="10">
        <f>AP18</f>
        <v/>
      </c>
      <c r="AS19" s="10">
        <f>AQ18</f>
        <v/>
      </c>
      <c r="AT19" s="10">
        <f>AR18</f>
        <v/>
      </c>
      <c r="AU19" s="10">
        <f>AS18</f>
        <v/>
      </c>
      <c r="AV19" s="10">
        <f>AT18</f>
        <v/>
      </c>
      <c r="AW19" s="10">
        <f>AU18</f>
        <v/>
      </c>
      <c r="AX19" s="10">
        <f>AV18</f>
        <v/>
      </c>
      <c r="AY19" s="10">
        <f>AW18</f>
        <v/>
      </c>
      <c r="AZ19" s="10">
        <f>AX18</f>
        <v/>
      </c>
      <c r="BA19" s="10">
        <f>AY18</f>
        <v/>
      </c>
      <c r="BB19" s="10">
        <f>AZ18</f>
        <v/>
      </c>
      <c r="BC19" s="10">
        <f>BA18</f>
        <v/>
      </c>
      <c r="BD19" s="10">
        <f>BB18</f>
        <v/>
      </c>
      <c r="BE19" s="10">
        <f>BC18</f>
        <v/>
      </c>
      <c r="BF19" s="10">
        <f>BD18</f>
        <v/>
      </c>
      <c r="BG19" s="10">
        <f>BE18</f>
        <v/>
      </c>
      <c r="BH19" s="10">
        <f>BF18</f>
        <v/>
      </c>
      <c r="BI19" s="10">
        <f>BG18</f>
        <v/>
      </c>
      <c r="BJ19" s="10">
        <f>BH18</f>
        <v/>
      </c>
    </row>
    <row r="20">
      <c r="A20" s="4" t="inlineStr">
        <is>
          <t>Launch decided (country lead hired): Rest of Africa (USD)</t>
        </is>
      </c>
      <c r="B20" s="17" t="inlineStr">
        <is>
          <t>flag</t>
        </is>
      </c>
      <c r="C20" s="10">
        <f>IF(AND(Assumptions!$B$96=1,C$3&gt;=Assumptions!$B$97+Assumptions!$B$52-2,C$3&gt;=Assumptions!$B$14,C10&gt;=Assumptions!$B$98*Assumptions!$B$55),1,0)</f>
        <v/>
      </c>
      <c r="D20" s="10">
        <f>IF(OR(C20=1,AND(Assumptions!$B$96=1,D$3&gt;=Assumptions!$B$97+Assumptions!$B$52-2,D$3&gt;=Assumptions!$B$14,D10&gt;=Assumptions!$B$98*Assumptions!$B$55)),1,0)</f>
        <v/>
      </c>
      <c r="E20" s="10">
        <f>IF(OR(D20=1,AND(Assumptions!$B$96=1,E$3&gt;=Assumptions!$B$97+Assumptions!$B$52-2,E$3&gt;=Assumptions!$B$14,E10&gt;=Assumptions!$B$98*Assumptions!$B$55)),1,0)</f>
        <v/>
      </c>
      <c r="F20" s="10">
        <f>IF(OR(E20=1,AND(Assumptions!$B$96=1,F$3&gt;=Assumptions!$B$97+Assumptions!$B$52-2,F$3&gt;=Assumptions!$B$14,F10&gt;=Assumptions!$B$98*Assumptions!$B$55)),1,0)</f>
        <v/>
      </c>
      <c r="G20" s="10">
        <f>IF(OR(F20=1,AND(Assumptions!$B$96=1,G$3&gt;=Assumptions!$B$97+Assumptions!$B$52-2,G$3&gt;=Assumptions!$B$14,G10&gt;=Assumptions!$B$98*Assumptions!$B$55)),1,0)</f>
        <v/>
      </c>
      <c r="H20" s="10">
        <f>IF(OR(G20=1,AND(Assumptions!$B$96=1,H$3&gt;=Assumptions!$B$97+Assumptions!$B$52-2,H$3&gt;=Assumptions!$B$14,H10&gt;=Assumptions!$B$98*Assumptions!$B$55)),1,0)</f>
        <v/>
      </c>
      <c r="I20" s="10">
        <f>IF(OR(H20=1,AND(Assumptions!$B$96=1,I$3&gt;=Assumptions!$B$97+Assumptions!$B$52-2,I$3&gt;=Assumptions!$B$14,I10&gt;=Assumptions!$B$98*Assumptions!$B$55)),1,0)</f>
        <v/>
      </c>
      <c r="J20" s="10">
        <f>IF(OR(I20=1,AND(Assumptions!$B$96=1,J$3&gt;=Assumptions!$B$97+Assumptions!$B$52-2,J$3&gt;=Assumptions!$B$14,J10&gt;=Assumptions!$B$98*Assumptions!$B$55)),1,0)</f>
        <v/>
      </c>
      <c r="K20" s="10">
        <f>IF(OR(J20=1,AND(Assumptions!$B$96=1,K$3&gt;=Assumptions!$B$97+Assumptions!$B$52-2,K$3&gt;=Assumptions!$B$14,K10&gt;=Assumptions!$B$98*Assumptions!$B$55)),1,0)</f>
        <v/>
      </c>
      <c r="L20" s="10">
        <f>IF(OR(K20=1,AND(Assumptions!$B$96=1,L$3&gt;=Assumptions!$B$97+Assumptions!$B$52-2,L$3&gt;=Assumptions!$B$14,L10&gt;=Assumptions!$B$98*Assumptions!$B$55)),1,0)</f>
        <v/>
      </c>
      <c r="M20" s="10">
        <f>IF(OR(L20=1,AND(Assumptions!$B$96=1,M$3&gt;=Assumptions!$B$97+Assumptions!$B$52-2,M$3&gt;=Assumptions!$B$14,M10&gt;=Assumptions!$B$98*Assumptions!$B$55)),1,0)</f>
        <v/>
      </c>
      <c r="N20" s="10">
        <f>IF(OR(M20=1,AND(Assumptions!$B$96=1,N$3&gt;=Assumptions!$B$97+Assumptions!$B$52-2,N$3&gt;=Assumptions!$B$14,N10&gt;=Assumptions!$B$98*Assumptions!$B$55)),1,0)</f>
        <v/>
      </c>
      <c r="O20" s="10">
        <f>IF(OR(N20=1,AND(Assumptions!$B$96=1,O$3&gt;=Assumptions!$B$97+Assumptions!$B$52-2,O$3&gt;=Assumptions!$B$14,O10&gt;=Assumptions!$B$98*Assumptions!$B$55)),1,0)</f>
        <v/>
      </c>
      <c r="P20" s="10">
        <f>IF(OR(O20=1,AND(Assumptions!$B$96=1,P$3&gt;=Assumptions!$B$97+Assumptions!$B$52-2,P$3&gt;=Assumptions!$B$14,P10&gt;=Assumptions!$B$98*Assumptions!$B$55)),1,0)</f>
        <v/>
      </c>
      <c r="Q20" s="10">
        <f>IF(OR(P20=1,AND(Assumptions!$B$96=1,Q$3&gt;=Assumptions!$B$97+Assumptions!$B$52-2,Q$3&gt;=Assumptions!$B$14,Q10&gt;=Assumptions!$B$98*Assumptions!$B$55)),1,0)</f>
        <v/>
      </c>
      <c r="R20" s="10">
        <f>IF(OR(Q20=1,AND(Assumptions!$B$96=1,R$3&gt;=Assumptions!$B$97+Assumptions!$B$52-2,R$3&gt;=Assumptions!$B$14,R10&gt;=Assumptions!$B$98*Assumptions!$B$55)),1,0)</f>
        <v/>
      </c>
      <c r="S20" s="10">
        <f>IF(OR(R20=1,AND(Assumptions!$B$96=1,S$3&gt;=Assumptions!$B$97+Assumptions!$B$52-2,S$3&gt;=Assumptions!$B$14,S10&gt;=Assumptions!$B$98*Assumptions!$B$55)),1,0)</f>
        <v/>
      </c>
      <c r="T20" s="10">
        <f>IF(OR(S20=1,AND(Assumptions!$B$96=1,T$3&gt;=Assumptions!$B$97+Assumptions!$B$52-2,T$3&gt;=Assumptions!$B$14,T10&gt;=Assumptions!$B$98*Assumptions!$B$55)),1,0)</f>
        <v/>
      </c>
      <c r="U20" s="10">
        <f>IF(OR(T20=1,AND(Assumptions!$B$96=1,U$3&gt;=Assumptions!$B$97+Assumptions!$B$52-2,U$3&gt;=Assumptions!$B$14,U10&gt;=Assumptions!$B$98*Assumptions!$B$55)),1,0)</f>
        <v/>
      </c>
      <c r="V20" s="10">
        <f>IF(OR(U20=1,AND(Assumptions!$B$96=1,V$3&gt;=Assumptions!$B$97+Assumptions!$B$52-2,V$3&gt;=Assumptions!$B$14,V10&gt;=Assumptions!$B$98*Assumptions!$B$55)),1,0)</f>
        <v/>
      </c>
      <c r="W20" s="10">
        <f>IF(OR(V20=1,AND(Assumptions!$B$96=1,W$3&gt;=Assumptions!$B$97+Assumptions!$B$52-2,W$3&gt;=Assumptions!$B$14,W10&gt;=Assumptions!$B$98*Assumptions!$B$55)),1,0)</f>
        <v/>
      </c>
      <c r="X20" s="10">
        <f>IF(OR(W20=1,AND(Assumptions!$B$96=1,X$3&gt;=Assumptions!$B$97+Assumptions!$B$52-2,X$3&gt;=Assumptions!$B$14,X10&gt;=Assumptions!$B$98*Assumptions!$B$55)),1,0)</f>
        <v/>
      </c>
      <c r="Y20" s="10">
        <f>IF(OR(X20=1,AND(Assumptions!$B$96=1,Y$3&gt;=Assumptions!$B$97+Assumptions!$B$52-2,Y$3&gt;=Assumptions!$B$14,Y10&gt;=Assumptions!$B$98*Assumptions!$B$55)),1,0)</f>
        <v/>
      </c>
      <c r="Z20" s="10">
        <f>IF(OR(Y20=1,AND(Assumptions!$B$96=1,Z$3&gt;=Assumptions!$B$97+Assumptions!$B$52-2,Z$3&gt;=Assumptions!$B$14,Z10&gt;=Assumptions!$B$98*Assumptions!$B$55)),1,0)</f>
        <v/>
      </c>
      <c r="AA20" s="10">
        <f>IF(OR(Z20=1,AND(Assumptions!$B$96=1,AA$3&gt;=Assumptions!$B$97+Assumptions!$B$52-2,AA$3&gt;=Assumptions!$B$14,AA10&gt;=Assumptions!$B$98*Assumptions!$B$55)),1,0)</f>
        <v/>
      </c>
      <c r="AB20" s="10">
        <f>IF(OR(AA20=1,AND(Assumptions!$B$96=1,AB$3&gt;=Assumptions!$B$97+Assumptions!$B$52-2,AB$3&gt;=Assumptions!$B$14,AB10&gt;=Assumptions!$B$98*Assumptions!$B$55)),1,0)</f>
        <v/>
      </c>
      <c r="AC20" s="10">
        <f>IF(OR(AB20=1,AND(Assumptions!$B$96=1,AC$3&gt;=Assumptions!$B$97+Assumptions!$B$52-2,AC$3&gt;=Assumptions!$B$14,AC10&gt;=Assumptions!$B$98*Assumptions!$B$55)),1,0)</f>
        <v/>
      </c>
      <c r="AD20" s="10">
        <f>IF(OR(AC20=1,AND(Assumptions!$B$96=1,AD$3&gt;=Assumptions!$B$97+Assumptions!$B$52-2,AD$3&gt;=Assumptions!$B$14,AD10&gt;=Assumptions!$B$98*Assumptions!$B$55)),1,0)</f>
        <v/>
      </c>
      <c r="AE20" s="10">
        <f>IF(OR(AD20=1,AND(Assumptions!$B$96=1,AE$3&gt;=Assumptions!$B$97+Assumptions!$B$52-2,AE$3&gt;=Assumptions!$B$14,AE10&gt;=Assumptions!$B$98*Assumptions!$B$55)),1,0)</f>
        <v/>
      </c>
      <c r="AF20" s="10">
        <f>IF(OR(AE20=1,AND(Assumptions!$B$96=1,AF$3&gt;=Assumptions!$B$97+Assumptions!$B$52-2,AF$3&gt;=Assumptions!$B$14,AF10&gt;=Assumptions!$B$98*Assumptions!$B$55)),1,0)</f>
        <v/>
      </c>
      <c r="AG20" s="10">
        <f>IF(OR(AF20=1,AND(Assumptions!$B$96=1,AG$3&gt;=Assumptions!$B$97+Assumptions!$B$52-2,AG$3&gt;=Assumptions!$B$14,AG10&gt;=Assumptions!$B$98*Assumptions!$B$55)),1,0)</f>
        <v/>
      </c>
      <c r="AH20" s="10">
        <f>IF(OR(AG20=1,AND(Assumptions!$B$96=1,AH$3&gt;=Assumptions!$B$97+Assumptions!$B$52-2,AH$3&gt;=Assumptions!$B$14,AH10&gt;=Assumptions!$B$98*Assumptions!$B$55)),1,0)</f>
        <v/>
      </c>
      <c r="AI20" s="10">
        <f>IF(OR(AH20=1,AND(Assumptions!$B$96=1,AI$3&gt;=Assumptions!$B$97+Assumptions!$B$52-2,AI$3&gt;=Assumptions!$B$14,AI10&gt;=Assumptions!$B$98*Assumptions!$B$55)),1,0)</f>
        <v/>
      </c>
      <c r="AJ20" s="10">
        <f>IF(OR(AI20=1,AND(Assumptions!$B$96=1,AJ$3&gt;=Assumptions!$B$97+Assumptions!$B$52-2,AJ$3&gt;=Assumptions!$B$14,AJ10&gt;=Assumptions!$B$98*Assumptions!$B$55)),1,0)</f>
        <v/>
      </c>
      <c r="AK20" s="10">
        <f>IF(OR(AJ20=1,AND(Assumptions!$B$96=1,AK$3&gt;=Assumptions!$B$97+Assumptions!$B$52-2,AK$3&gt;=Assumptions!$B$14,AK10&gt;=Assumptions!$B$98*Assumptions!$B$55)),1,0)</f>
        <v/>
      </c>
      <c r="AL20" s="10">
        <f>IF(OR(AK20=1,AND(Assumptions!$B$96=1,AL$3&gt;=Assumptions!$B$97+Assumptions!$B$52-2,AL$3&gt;=Assumptions!$B$14,AL10&gt;=Assumptions!$B$98*Assumptions!$B$55)),1,0)</f>
        <v/>
      </c>
      <c r="AM20" s="10">
        <f>IF(OR(AL20=1,AND(Assumptions!$B$96=1,AM$3&gt;=Assumptions!$B$97+Assumptions!$B$52-2,AM$3&gt;=Assumptions!$B$14,AM10&gt;=Assumptions!$B$98*Assumptions!$B$55)),1,0)</f>
        <v/>
      </c>
      <c r="AN20" s="10">
        <f>IF(OR(AM20=1,AND(Assumptions!$B$96=1,AN$3&gt;=Assumptions!$B$97+Assumptions!$B$52-2,AN$3&gt;=Assumptions!$B$14,AN10&gt;=Assumptions!$B$98*Assumptions!$B$55)),1,0)</f>
        <v/>
      </c>
      <c r="AO20" s="10">
        <f>IF(OR(AN20=1,AND(Assumptions!$B$96=1,AO$3&gt;=Assumptions!$B$97+Assumptions!$B$52-2,AO$3&gt;=Assumptions!$B$14,AO10&gt;=Assumptions!$B$98*Assumptions!$B$55)),1,0)</f>
        <v/>
      </c>
      <c r="AP20" s="10">
        <f>IF(OR(AO20=1,AND(Assumptions!$B$96=1,AP$3&gt;=Assumptions!$B$97+Assumptions!$B$52-2,AP$3&gt;=Assumptions!$B$14,AP10&gt;=Assumptions!$B$98*Assumptions!$B$55)),1,0)</f>
        <v/>
      </c>
      <c r="AQ20" s="10">
        <f>IF(OR(AP20=1,AND(Assumptions!$B$96=1,AQ$3&gt;=Assumptions!$B$97+Assumptions!$B$52-2,AQ$3&gt;=Assumptions!$B$14,AQ10&gt;=Assumptions!$B$98*Assumptions!$B$55)),1,0)</f>
        <v/>
      </c>
      <c r="AR20" s="10">
        <f>IF(OR(AQ20=1,AND(Assumptions!$B$96=1,AR$3&gt;=Assumptions!$B$97+Assumptions!$B$52-2,AR$3&gt;=Assumptions!$B$14,AR10&gt;=Assumptions!$B$98*Assumptions!$B$55)),1,0)</f>
        <v/>
      </c>
      <c r="AS20" s="10">
        <f>IF(OR(AR20=1,AND(Assumptions!$B$96=1,AS$3&gt;=Assumptions!$B$97+Assumptions!$B$52-2,AS$3&gt;=Assumptions!$B$14,AS10&gt;=Assumptions!$B$98*Assumptions!$B$55)),1,0)</f>
        <v/>
      </c>
      <c r="AT20" s="10">
        <f>IF(OR(AS20=1,AND(Assumptions!$B$96=1,AT$3&gt;=Assumptions!$B$97+Assumptions!$B$52-2,AT$3&gt;=Assumptions!$B$14,AT10&gt;=Assumptions!$B$98*Assumptions!$B$55)),1,0)</f>
        <v/>
      </c>
      <c r="AU20" s="10">
        <f>IF(OR(AT20=1,AND(Assumptions!$B$96=1,AU$3&gt;=Assumptions!$B$97+Assumptions!$B$52-2,AU$3&gt;=Assumptions!$B$14,AU10&gt;=Assumptions!$B$98*Assumptions!$B$55)),1,0)</f>
        <v/>
      </c>
      <c r="AV20" s="10">
        <f>IF(OR(AU20=1,AND(Assumptions!$B$96=1,AV$3&gt;=Assumptions!$B$97+Assumptions!$B$52-2,AV$3&gt;=Assumptions!$B$14,AV10&gt;=Assumptions!$B$98*Assumptions!$B$55)),1,0)</f>
        <v/>
      </c>
      <c r="AW20" s="10">
        <f>IF(OR(AV20=1,AND(Assumptions!$B$96=1,AW$3&gt;=Assumptions!$B$97+Assumptions!$B$52-2,AW$3&gt;=Assumptions!$B$14,AW10&gt;=Assumptions!$B$98*Assumptions!$B$55)),1,0)</f>
        <v/>
      </c>
      <c r="AX20" s="10">
        <f>IF(OR(AW20=1,AND(Assumptions!$B$96=1,AX$3&gt;=Assumptions!$B$97+Assumptions!$B$52-2,AX$3&gt;=Assumptions!$B$14,AX10&gt;=Assumptions!$B$98*Assumptions!$B$55)),1,0)</f>
        <v/>
      </c>
      <c r="AY20" s="10">
        <f>IF(OR(AX20=1,AND(Assumptions!$B$96=1,AY$3&gt;=Assumptions!$B$97+Assumptions!$B$52-2,AY$3&gt;=Assumptions!$B$14,AY10&gt;=Assumptions!$B$98*Assumptions!$B$55)),1,0)</f>
        <v/>
      </c>
      <c r="AZ20" s="10">
        <f>IF(OR(AY20=1,AND(Assumptions!$B$96=1,AZ$3&gt;=Assumptions!$B$97+Assumptions!$B$52-2,AZ$3&gt;=Assumptions!$B$14,AZ10&gt;=Assumptions!$B$98*Assumptions!$B$55)),1,0)</f>
        <v/>
      </c>
      <c r="BA20" s="10">
        <f>IF(OR(AZ20=1,AND(Assumptions!$B$96=1,BA$3&gt;=Assumptions!$B$97+Assumptions!$B$52-2,BA$3&gt;=Assumptions!$B$14,BA10&gt;=Assumptions!$B$98*Assumptions!$B$55)),1,0)</f>
        <v/>
      </c>
      <c r="BB20" s="10">
        <f>IF(OR(BA20=1,AND(Assumptions!$B$96=1,BB$3&gt;=Assumptions!$B$97+Assumptions!$B$52-2,BB$3&gt;=Assumptions!$B$14,BB10&gt;=Assumptions!$B$98*Assumptions!$B$55)),1,0)</f>
        <v/>
      </c>
      <c r="BC20" s="10">
        <f>IF(OR(BB20=1,AND(Assumptions!$B$96=1,BC$3&gt;=Assumptions!$B$97+Assumptions!$B$52-2,BC$3&gt;=Assumptions!$B$14,BC10&gt;=Assumptions!$B$98*Assumptions!$B$55)),1,0)</f>
        <v/>
      </c>
      <c r="BD20" s="10">
        <f>IF(OR(BC20=1,AND(Assumptions!$B$96=1,BD$3&gt;=Assumptions!$B$97+Assumptions!$B$52-2,BD$3&gt;=Assumptions!$B$14,BD10&gt;=Assumptions!$B$98*Assumptions!$B$55)),1,0)</f>
        <v/>
      </c>
      <c r="BE20" s="10">
        <f>IF(OR(BD20=1,AND(Assumptions!$B$96=1,BE$3&gt;=Assumptions!$B$97+Assumptions!$B$52-2,BE$3&gt;=Assumptions!$B$14,BE10&gt;=Assumptions!$B$98*Assumptions!$B$55)),1,0)</f>
        <v/>
      </c>
      <c r="BF20" s="10">
        <f>IF(OR(BE20=1,AND(Assumptions!$B$96=1,BF$3&gt;=Assumptions!$B$97+Assumptions!$B$52-2,BF$3&gt;=Assumptions!$B$14,BF10&gt;=Assumptions!$B$98*Assumptions!$B$55)),1,0)</f>
        <v/>
      </c>
      <c r="BG20" s="10">
        <f>IF(OR(BF20=1,AND(Assumptions!$B$96=1,BG$3&gt;=Assumptions!$B$97+Assumptions!$B$52-2,BG$3&gt;=Assumptions!$B$14,BG10&gt;=Assumptions!$B$98*Assumptions!$B$55)),1,0)</f>
        <v/>
      </c>
      <c r="BH20" s="10">
        <f>IF(OR(BG20=1,AND(Assumptions!$B$96=1,BH$3&gt;=Assumptions!$B$97+Assumptions!$B$52-2,BH$3&gt;=Assumptions!$B$14,BH10&gt;=Assumptions!$B$98*Assumptions!$B$55)),1,0)</f>
        <v/>
      </c>
      <c r="BI20" s="10">
        <f>IF(OR(BH20=1,AND(Assumptions!$B$96=1,BI$3&gt;=Assumptions!$B$97+Assumptions!$B$52-2,BI$3&gt;=Assumptions!$B$14,BI10&gt;=Assumptions!$B$98*Assumptions!$B$55)),1,0)</f>
        <v/>
      </c>
      <c r="BJ20" s="10">
        <f>IF(OR(BI20=1,AND(Assumptions!$B$96=1,BJ$3&gt;=Assumptions!$B$97+Assumptions!$B$52-2,BJ$3&gt;=Assumptions!$B$14,BJ10&gt;=Assumptions!$B$98*Assumptions!$B$55)),1,0)</f>
        <v/>
      </c>
    </row>
    <row r="21">
      <c r="A21" s="4" t="inlineStr">
        <is>
          <t>Live: Rest of Africa (USD)</t>
        </is>
      </c>
      <c r="B21" s="17" t="inlineStr">
        <is>
          <t>flag</t>
        </is>
      </c>
      <c r="C21" s="10">
        <f>0</f>
        <v/>
      </c>
      <c r="D21" s="10">
        <f>0</f>
        <v/>
      </c>
      <c r="E21" s="10">
        <f>C20</f>
        <v/>
      </c>
      <c r="F21" s="10">
        <f>D20</f>
        <v/>
      </c>
      <c r="G21" s="10">
        <f>E20</f>
        <v/>
      </c>
      <c r="H21" s="10">
        <f>F20</f>
        <v/>
      </c>
      <c r="I21" s="10">
        <f>G20</f>
        <v/>
      </c>
      <c r="J21" s="10">
        <f>H20</f>
        <v/>
      </c>
      <c r="K21" s="10">
        <f>I20</f>
        <v/>
      </c>
      <c r="L21" s="10">
        <f>J20</f>
        <v/>
      </c>
      <c r="M21" s="10">
        <f>K20</f>
        <v/>
      </c>
      <c r="N21" s="10">
        <f>L20</f>
        <v/>
      </c>
      <c r="O21" s="10">
        <f>M20</f>
        <v/>
      </c>
      <c r="P21" s="10">
        <f>N20</f>
        <v/>
      </c>
      <c r="Q21" s="10">
        <f>O20</f>
        <v/>
      </c>
      <c r="R21" s="10">
        <f>P20</f>
        <v/>
      </c>
      <c r="S21" s="10">
        <f>Q20</f>
        <v/>
      </c>
      <c r="T21" s="10">
        <f>R20</f>
        <v/>
      </c>
      <c r="U21" s="10">
        <f>S20</f>
        <v/>
      </c>
      <c r="V21" s="10">
        <f>T20</f>
        <v/>
      </c>
      <c r="W21" s="10">
        <f>U20</f>
        <v/>
      </c>
      <c r="X21" s="10">
        <f>V20</f>
        <v/>
      </c>
      <c r="Y21" s="10">
        <f>W20</f>
        <v/>
      </c>
      <c r="Z21" s="10">
        <f>X20</f>
        <v/>
      </c>
      <c r="AA21" s="10">
        <f>Y20</f>
        <v/>
      </c>
      <c r="AB21" s="10">
        <f>Z20</f>
        <v/>
      </c>
      <c r="AC21" s="10">
        <f>AA20</f>
        <v/>
      </c>
      <c r="AD21" s="10">
        <f>AB20</f>
        <v/>
      </c>
      <c r="AE21" s="10">
        <f>AC20</f>
        <v/>
      </c>
      <c r="AF21" s="10">
        <f>AD20</f>
        <v/>
      </c>
      <c r="AG21" s="10">
        <f>AE20</f>
        <v/>
      </c>
      <c r="AH21" s="10">
        <f>AF20</f>
        <v/>
      </c>
      <c r="AI21" s="10">
        <f>AG20</f>
        <v/>
      </c>
      <c r="AJ21" s="10">
        <f>AH20</f>
        <v/>
      </c>
      <c r="AK21" s="10">
        <f>AI20</f>
        <v/>
      </c>
      <c r="AL21" s="10">
        <f>AJ20</f>
        <v/>
      </c>
      <c r="AM21" s="10">
        <f>AK20</f>
        <v/>
      </c>
      <c r="AN21" s="10">
        <f>AL20</f>
        <v/>
      </c>
      <c r="AO21" s="10">
        <f>AM20</f>
        <v/>
      </c>
      <c r="AP21" s="10">
        <f>AN20</f>
        <v/>
      </c>
      <c r="AQ21" s="10">
        <f>AO20</f>
        <v/>
      </c>
      <c r="AR21" s="10">
        <f>AP20</f>
        <v/>
      </c>
      <c r="AS21" s="10">
        <f>AQ20</f>
        <v/>
      </c>
      <c r="AT21" s="10">
        <f>AR20</f>
        <v/>
      </c>
      <c r="AU21" s="10">
        <f>AS20</f>
        <v/>
      </c>
      <c r="AV21" s="10">
        <f>AT20</f>
        <v/>
      </c>
      <c r="AW21" s="10">
        <f>AU20</f>
        <v/>
      </c>
      <c r="AX21" s="10">
        <f>AV20</f>
        <v/>
      </c>
      <c r="AY21" s="10">
        <f>AW20</f>
        <v/>
      </c>
      <c r="AZ21" s="10">
        <f>AX20</f>
        <v/>
      </c>
      <c r="BA21" s="10">
        <f>AY20</f>
        <v/>
      </c>
      <c r="BB21" s="10">
        <f>AZ20</f>
        <v/>
      </c>
      <c r="BC21" s="10">
        <f>BA20</f>
        <v/>
      </c>
      <c r="BD21" s="10">
        <f>BB20</f>
        <v/>
      </c>
      <c r="BE21" s="10">
        <f>BC20</f>
        <v/>
      </c>
      <c r="BF21" s="10">
        <f>BD20</f>
        <v/>
      </c>
      <c r="BG21" s="10">
        <f>BE20</f>
        <v/>
      </c>
      <c r="BH21" s="10">
        <f>BF20</f>
        <v/>
      </c>
      <c r="BI21" s="10">
        <f>BG20</f>
        <v/>
      </c>
      <c r="BJ21" s="10">
        <f>BH20</f>
        <v/>
      </c>
    </row>
    <row r="22">
      <c r="A22" s="4" t="inlineStr">
        <is>
          <t>Launch decided (country lead hired): Botswana &amp; Namibia</t>
        </is>
      </c>
      <c r="B22" s="17" t="inlineStr">
        <is>
          <t>flag</t>
        </is>
      </c>
      <c r="C22" s="10">
        <f>IF(AND(Assumptions!$B$104=1,C$3&gt;=Assumptions!$B$105+Assumptions!$B$52-2,C$3&gt;=Assumptions!$B$14,C10&gt;=Assumptions!$B$106*Assumptions!$B$55),1,0)</f>
        <v/>
      </c>
      <c r="D22" s="10">
        <f>IF(OR(C22=1,AND(Assumptions!$B$104=1,D$3&gt;=Assumptions!$B$105+Assumptions!$B$52-2,D$3&gt;=Assumptions!$B$14,D10&gt;=Assumptions!$B$106*Assumptions!$B$55)),1,0)</f>
        <v/>
      </c>
      <c r="E22" s="10">
        <f>IF(OR(D22=1,AND(Assumptions!$B$104=1,E$3&gt;=Assumptions!$B$105+Assumptions!$B$52-2,E$3&gt;=Assumptions!$B$14,E10&gt;=Assumptions!$B$106*Assumptions!$B$55)),1,0)</f>
        <v/>
      </c>
      <c r="F22" s="10">
        <f>IF(OR(E22=1,AND(Assumptions!$B$104=1,F$3&gt;=Assumptions!$B$105+Assumptions!$B$52-2,F$3&gt;=Assumptions!$B$14,F10&gt;=Assumptions!$B$106*Assumptions!$B$55)),1,0)</f>
        <v/>
      </c>
      <c r="G22" s="10">
        <f>IF(OR(F22=1,AND(Assumptions!$B$104=1,G$3&gt;=Assumptions!$B$105+Assumptions!$B$52-2,G$3&gt;=Assumptions!$B$14,G10&gt;=Assumptions!$B$106*Assumptions!$B$55)),1,0)</f>
        <v/>
      </c>
      <c r="H22" s="10">
        <f>IF(OR(G22=1,AND(Assumptions!$B$104=1,H$3&gt;=Assumptions!$B$105+Assumptions!$B$52-2,H$3&gt;=Assumptions!$B$14,H10&gt;=Assumptions!$B$106*Assumptions!$B$55)),1,0)</f>
        <v/>
      </c>
      <c r="I22" s="10">
        <f>IF(OR(H22=1,AND(Assumptions!$B$104=1,I$3&gt;=Assumptions!$B$105+Assumptions!$B$52-2,I$3&gt;=Assumptions!$B$14,I10&gt;=Assumptions!$B$106*Assumptions!$B$55)),1,0)</f>
        <v/>
      </c>
      <c r="J22" s="10">
        <f>IF(OR(I22=1,AND(Assumptions!$B$104=1,J$3&gt;=Assumptions!$B$105+Assumptions!$B$52-2,J$3&gt;=Assumptions!$B$14,J10&gt;=Assumptions!$B$106*Assumptions!$B$55)),1,0)</f>
        <v/>
      </c>
      <c r="K22" s="10">
        <f>IF(OR(J22=1,AND(Assumptions!$B$104=1,K$3&gt;=Assumptions!$B$105+Assumptions!$B$52-2,K$3&gt;=Assumptions!$B$14,K10&gt;=Assumptions!$B$106*Assumptions!$B$55)),1,0)</f>
        <v/>
      </c>
      <c r="L22" s="10">
        <f>IF(OR(K22=1,AND(Assumptions!$B$104=1,L$3&gt;=Assumptions!$B$105+Assumptions!$B$52-2,L$3&gt;=Assumptions!$B$14,L10&gt;=Assumptions!$B$106*Assumptions!$B$55)),1,0)</f>
        <v/>
      </c>
      <c r="M22" s="10">
        <f>IF(OR(L22=1,AND(Assumptions!$B$104=1,M$3&gt;=Assumptions!$B$105+Assumptions!$B$52-2,M$3&gt;=Assumptions!$B$14,M10&gt;=Assumptions!$B$106*Assumptions!$B$55)),1,0)</f>
        <v/>
      </c>
      <c r="N22" s="10">
        <f>IF(OR(M22=1,AND(Assumptions!$B$104=1,N$3&gt;=Assumptions!$B$105+Assumptions!$B$52-2,N$3&gt;=Assumptions!$B$14,N10&gt;=Assumptions!$B$106*Assumptions!$B$55)),1,0)</f>
        <v/>
      </c>
      <c r="O22" s="10">
        <f>IF(OR(N22=1,AND(Assumptions!$B$104=1,O$3&gt;=Assumptions!$B$105+Assumptions!$B$52-2,O$3&gt;=Assumptions!$B$14,O10&gt;=Assumptions!$B$106*Assumptions!$B$55)),1,0)</f>
        <v/>
      </c>
      <c r="P22" s="10">
        <f>IF(OR(O22=1,AND(Assumptions!$B$104=1,P$3&gt;=Assumptions!$B$105+Assumptions!$B$52-2,P$3&gt;=Assumptions!$B$14,P10&gt;=Assumptions!$B$106*Assumptions!$B$55)),1,0)</f>
        <v/>
      </c>
      <c r="Q22" s="10">
        <f>IF(OR(P22=1,AND(Assumptions!$B$104=1,Q$3&gt;=Assumptions!$B$105+Assumptions!$B$52-2,Q$3&gt;=Assumptions!$B$14,Q10&gt;=Assumptions!$B$106*Assumptions!$B$55)),1,0)</f>
        <v/>
      </c>
      <c r="R22" s="10">
        <f>IF(OR(Q22=1,AND(Assumptions!$B$104=1,R$3&gt;=Assumptions!$B$105+Assumptions!$B$52-2,R$3&gt;=Assumptions!$B$14,R10&gt;=Assumptions!$B$106*Assumptions!$B$55)),1,0)</f>
        <v/>
      </c>
      <c r="S22" s="10">
        <f>IF(OR(R22=1,AND(Assumptions!$B$104=1,S$3&gt;=Assumptions!$B$105+Assumptions!$B$52-2,S$3&gt;=Assumptions!$B$14,S10&gt;=Assumptions!$B$106*Assumptions!$B$55)),1,0)</f>
        <v/>
      </c>
      <c r="T22" s="10">
        <f>IF(OR(S22=1,AND(Assumptions!$B$104=1,T$3&gt;=Assumptions!$B$105+Assumptions!$B$52-2,T$3&gt;=Assumptions!$B$14,T10&gt;=Assumptions!$B$106*Assumptions!$B$55)),1,0)</f>
        <v/>
      </c>
      <c r="U22" s="10">
        <f>IF(OR(T22=1,AND(Assumptions!$B$104=1,U$3&gt;=Assumptions!$B$105+Assumptions!$B$52-2,U$3&gt;=Assumptions!$B$14,U10&gt;=Assumptions!$B$106*Assumptions!$B$55)),1,0)</f>
        <v/>
      </c>
      <c r="V22" s="10">
        <f>IF(OR(U22=1,AND(Assumptions!$B$104=1,V$3&gt;=Assumptions!$B$105+Assumptions!$B$52-2,V$3&gt;=Assumptions!$B$14,V10&gt;=Assumptions!$B$106*Assumptions!$B$55)),1,0)</f>
        <v/>
      </c>
      <c r="W22" s="10">
        <f>IF(OR(V22=1,AND(Assumptions!$B$104=1,W$3&gt;=Assumptions!$B$105+Assumptions!$B$52-2,W$3&gt;=Assumptions!$B$14,W10&gt;=Assumptions!$B$106*Assumptions!$B$55)),1,0)</f>
        <v/>
      </c>
      <c r="X22" s="10">
        <f>IF(OR(W22=1,AND(Assumptions!$B$104=1,X$3&gt;=Assumptions!$B$105+Assumptions!$B$52-2,X$3&gt;=Assumptions!$B$14,X10&gt;=Assumptions!$B$106*Assumptions!$B$55)),1,0)</f>
        <v/>
      </c>
      <c r="Y22" s="10">
        <f>IF(OR(X22=1,AND(Assumptions!$B$104=1,Y$3&gt;=Assumptions!$B$105+Assumptions!$B$52-2,Y$3&gt;=Assumptions!$B$14,Y10&gt;=Assumptions!$B$106*Assumptions!$B$55)),1,0)</f>
        <v/>
      </c>
      <c r="Z22" s="10">
        <f>IF(OR(Y22=1,AND(Assumptions!$B$104=1,Z$3&gt;=Assumptions!$B$105+Assumptions!$B$52-2,Z$3&gt;=Assumptions!$B$14,Z10&gt;=Assumptions!$B$106*Assumptions!$B$55)),1,0)</f>
        <v/>
      </c>
      <c r="AA22" s="10">
        <f>IF(OR(Z22=1,AND(Assumptions!$B$104=1,AA$3&gt;=Assumptions!$B$105+Assumptions!$B$52-2,AA$3&gt;=Assumptions!$B$14,AA10&gt;=Assumptions!$B$106*Assumptions!$B$55)),1,0)</f>
        <v/>
      </c>
      <c r="AB22" s="10">
        <f>IF(OR(AA22=1,AND(Assumptions!$B$104=1,AB$3&gt;=Assumptions!$B$105+Assumptions!$B$52-2,AB$3&gt;=Assumptions!$B$14,AB10&gt;=Assumptions!$B$106*Assumptions!$B$55)),1,0)</f>
        <v/>
      </c>
      <c r="AC22" s="10">
        <f>IF(OR(AB22=1,AND(Assumptions!$B$104=1,AC$3&gt;=Assumptions!$B$105+Assumptions!$B$52-2,AC$3&gt;=Assumptions!$B$14,AC10&gt;=Assumptions!$B$106*Assumptions!$B$55)),1,0)</f>
        <v/>
      </c>
      <c r="AD22" s="10">
        <f>IF(OR(AC22=1,AND(Assumptions!$B$104=1,AD$3&gt;=Assumptions!$B$105+Assumptions!$B$52-2,AD$3&gt;=Assumptions!$B$14,AD10&gt;=Assumptions!$B$106*Assumptions!$B$55)),1,0)</f>
        <v/>
      </c>
      <c r="AE22" s="10">
        <f>IF(OR(AD22=1,AND(Assumptions!$B$104=1,AE$3&gt;=Assumptions!$B$105+Assumptions!$B$52-2,AE$3&gt;=Assumptions!$B$14,AE10&gt;=Assumptions!$B$106*Assumptions!$B$55)),1,0)</f>
        <v/>
      </c>
      <c r="AF22" s="10">
        <f>IF(OR(AE22=1,AND(Assumptions!$B$104=1,AF$3&gt;=Assumptions!$B$105+Assumptions!$B$52-2,AF$3&gt;=Assumptions!$B$14,AF10&gt;=Assumptions!$B$106*Assumptions!$B$55)),1,0)</f>
        <v/>
      </c>
      <c r="AG22" s="10">
        <f>IF(OR(AF22=1,AND(Assumptions!$B$104=1,AG$3&gt;=Assumptions!$B$105+Assumptions!$B$52-2,AG$3&gt;=Assumptions!$B$14,AG10&gt;=Assumptions!$B$106*Assumptions!$B$55)),1,0)</f>
        <v/>
      </c>
      <c r="AH22" s="10">
        <f>IF(OR(AG22=1,AND(Assumptions!$B$104=1,AH$3&gt;=Assumptions!$B$105+Assumptions!$B$52-2,AH$3&gt;=Assumptions!$B$14,AH10&gt;=Assumptions!$B$106*Assumptions!$B$55)),1,0)</f>
        <v/>
      </c>
      <c r="AI22" s="10">
        <f>IF(OR(AH22=1,AND(Assumptions!$B$104=1,AI$3&gt;=Assumptions!$B$105+Assumptions!$B$52-2,AI$3&gt;=Assumptions!$B$14,AI10&gt;=Assumptions!$B$106*Assumptions!$B$55)),1,0)</f>
        <v/>
      </c>
      <c r="AJ22" s="10">
        <f>IF(OR(AI22=1,AND(Assumptions!$B$104=1,AJ$3&gt;=Assumptions!$B$105+Assumptions!$B$52-2,AJ$3&gt;=Assumptions!$B$14,AJ10&gt;=Assumptions!$B$106*Assumptions!$B$55)),1,0)</f>
        <v/>
      </c>
      <c r="AK22" s="10">
        <f>IF(OR(AJ22=1,AND(Assumptions!$B$104=1,AK$3&gt;=Assumptions!$B$105+Assumptions!$B$52-2,AK$3&gt;=Assumptions!$B$14,AK10&gt;=Assumptions!$B$106*Assumptions!$B$55)),1,0)</f>
        <v/>
      </c>
      <c r="AL22" s="10">
        <f>IF(OR(AK22=1,AND(Assumptions!$B$104=1,AL$3&gt;=Assumptions!$B$105+Assumptions!$B$52-2,AL$3&gt;=Assumptions!$B$14,AL10&gt;=Assumptions!$B$106*Assumptions!$B$55)),1,0)</f>
        <v/>
      </c>
      <c r="AM22" s="10">
        <f>IF(OR(AL22=1,AND(Assumptions!$B$104=1,AM$3&gt;=Assumptions!$B$105+Assumptions!$B$52-2,AM$3&gt;=Assumptions!$B$14,AM10&gt;=Assumptions!$B$106*Assumptions!$B$55)),1,0)</f>
        <v/>
      </c>
      <c r="AN22" s="10">
        <f>IF(OR(AM22=1,AND(Assumptions!$B$104=1,AN$3&gt;=Assumptions!$B$105+Assumptions!$B$52-2,AN$3&gt;=Assumptions!$B$14,AN10&gt;=Assumptions!$B$106*Assumptions!$B$55)),1,0)</f>
        <v/>
      </c>
      <c r="AO22" s="10">
        <f>IF(OR(AN22=1,AND(Assumptions!$B$104=1,AO$3&gt;=Assumptions!$B$105+Assumptions!$B$52-2,AO$3&gt;=Assumptions!$B$14,AO10&gt;=Assumptions!$B$106*Assumptions!$B$55)),1,0)</f>
        <v/>
      </c>
      <c r="AP22" s="10">
        <f>IF(OR(AO22=1,AND(Assumptions!$B$104=1,AP$3&gt;=Assumptions!$B$105+Assumptions!$B$52-2,AP$3&gt;=Assumptions!$B$14,AP10&gt;=Assumptions!$B$106*Assumptions!$B$55)),1,0)</f>
        <v/>
      </c>
      <c r="AQ22" s="10">
        <f>IF(OR(AP22=1,AND(Assumptions!$B$104=1,AQ$3&gt;=Assumptions!$B$105+Assumptions!$B$52-2,AQ$3&gt;=Assumptions!$B$14,AQ10&gt;=Assumptions!$B$106*Assumptions!$B$55)),1,0)</f>
        <v/>
      </c>
      <c r="AR22" s="10">
        <f>IF(OR(AQ22=1,AND(Assumptions!$B$104=1,AR$3&gt;=Assumptions!$B$105+Assumptions!$B$52-2,AR$3&gt;=Assumptions!$B$14,AR10&gt;=Assumptions!$B$106*Assumptions!$B$55)),1,0)</f>
        <v/>
      </c>
      <c r="AS22" s="10">
        <f>IF(OR(AR22=1,AND(Assumptions!$B$104=1,AS$3&gt;=Assumptions!$B$105+Assumptions!$B$52-2,AS$3&gt;=Assumptions!$B$14,AS10&gt;=Assumptions!$B$106*Assumptions!$B$55)),1,0)</f>
        <v/>
      </c>
      <c r="AT22" s="10">
        <f>IF(OR(AS22=1,AND(Assumptions!$B$104=1,AT$3&gt;=Assumptions!$B$105+Assumptions!$B$52-2,AT$3&gt;=Assumptions!$B$14,AT10&gt;=Assumptions!$B$106*Assumptions!$B$55)),1,0)</f>
        <v/>
      </c>
      <c r="AU22" s="10">
        <f>IF(OR(AT22=1,AND(Assumptions!$B$104=1,AU$3&gt;=Assumptions!$B$105+Assumptions!$B$52-2,AU$3&gt;=Assumptions!$B$14,AU10&gt;=Assumptions!$B$106*Assumptions!$B$55)),1,0)</f>
        <v/>
      </c>
      <c r="AV22" s="10">
        <f>IF(OR(AU22=1,AND(Assumptions!$B$104=1,AV$3&gt;=Assumptions!$B$105+Assumptions!$B$52-2,AV$3&gt;=Assumptions!$B$14,AV10&gt;=Assumptions!$B$106*Assumptions!$B$55)),1,0)</f>
        <v/>
      </c>
      <c r="AW22" s="10">
        <f>IF(OR(AV22=1,AND(Assumptions!$B$104=1,AW$3&gt;=Assumptions!$B$105+Assumptions!$B$52-2,AW$3&gt;=Assumptions!$B$14,AW10&gt;=Assumptions!$B$106*Assumptions!$B$55)),1,0)</f>
        <v/>
      </c>
      <c r="AX22" s="10">
        <f>IF(OR(AW22=1,AND(Assumptions!$B$104=1,AX$3&gt;=Assumptions!$B$105+Assumptions!$B$52-2,AX$3&gt;=Assumptions!$B$14,AX10&gt;=Assumptions!$B$106*Assumptions!$B$55)),1,0)</f>
        <v/>
      </c>
      <c r="AY22" s="10">
        <f>IF(OR(AX22=1,AND(Assumptions!$B$104=1,AY$3&gt;=Assumptions!$B$105+Assumptions!$B$52-2,AY$3&gt;=Assumptions!$B$14,AY10&gt;=Assumptions!$B$106*Assumptions!$B$55)),1,0)</f>
        <v/>
      </c>
      <c r="AZ22" s="10">
        <f>IF(OR(AY22=1,AND(Assumptions!$B$104=1,AZ$3&gt;=Assumptions!$B$105+Assumptions!$B$52-2,AZ$3&gt;=Assumptions!$B$14,AZ10&gt;=Assumptions!$B$106*Assumptions!$B$55)),1,0)</f>
        <v/>
      </c>
      <c r="BA22" s="10">
        <f>IF(OR(AZ22=1,AND(Assumptions!$B$104=1,BA$3&gt;=Assumptions!$B$105+Assumptions!$B$52-2,BA$3&gt;=Assumptions!$B$14,BA10&gt;=Assumptions!$B$106*Assumptions!$B$55)),1,0)</f>
        <v/>
      </c>
      <c r="BB22" s="10">
        <f>IF(OR(BA22=1,AND(Assumptions!$B$104=1,BB$3&gt;=Assumptions!$B$105+Assumptions!$B$52-2,BB$3&gt;=Assumptions!$B$14,BB10&gt;=Assumptions!$B$106*Assumptions!$B$55)),1,0)</f>
        <v/>
      </c>
      <c r="BC22" s="10">
        <f>IF(OR(BB22=1,AND(Assumptions!$B$104=1,BC$3&gt;=Assumptions!$B$105+Assumptions!$B$52-2,BC$3&gt;=Assumptions!$B$14,BC10&gt;=Assumptions!$B$106*Assumptions!$B$55)),1,0)</f>
        <v/>
      </c>
      <c r="BD22" s="10">
        <f>IF(OR(BC22=1,AND(Assumptions!$B$104=1,BD$3&gt;=Assumptions!$B$105+Assumptions!$B$52-2,BD$3&gt;=Assumptions!$B$14,BD10&gt;=Assumptions!$B$106*Assumptions!$B$55)),1,0)</f>
        <v/>
      </c>
      <c r="BE22" s="10">
        <f>IF(OR(BD22=1,AND(Assumptions!$B$104=1,BE$3&gt;=Assumptions!$B$105+Assumptions!$B$52-2,BE$3&gt;=Assumptions!$B$14,BE10&gt;=Assumptions!$B$106*Assumptions!$B$55)),1,0)</f>
        <v/>
      </c>
      <c r="BF22" s="10">
        <f>IF(OR(BE22=1,AND(Assumptions!$B$104=1,BF$3&gt;=Assumptions!$B$105+Assumptions!$B$52-2,BF$3&gt;=Assumptions!$B$14,BF10&gt;=Assumptions!$B$106*Assumptions!$B$55)),1,0)</f>
        <v/>
      </c>
      <c r="BG22" s="10">
        <f>IF(OR(BF22=1,AND(Assumptions!$B$104=1,BG$3&gt;=Assumptions!$B$105+Assumptions!$B$52-2,BG$3&gt;=Assumptions!$B$14,BG10&gt;=Assumptions!$B$106*Assumptions!$B$55)),1,0)</f>
        <v/>
      </c>
      <c r="BH22" s="10">
        <f>IF(OR(BG22=1,AND(Assumptions!$B$104=1,BH$3&gt;=Assumptions!$B$105+Assumptions!$B$52-2,BH$3&gt;=Assumptions!$B$14,BH10&gt;=Assumptions!$B$106*Assumptions!$B$55)),1,0)</f>
        <v/>
      </c>
      <c r="BI22" s="10">
        <f>IF(OR(BH22=1,AND(Assumptions!$B$104=1,BI$3&gt;=Assumptions!$B$105+Assumptions!$B$52-2,BI$3&gt;=Assumptions!$B$14,BI10&gt;=Assumptions!$B$106*Assumptions!$B$55)),1,0)</f>
        <v/>
      </c>
      <c r="BJ22" s="10">
        <f>IF(OR(BI22=1,AND(Assumptions!$B$104=1,BJ$3&gt;=Assumptions!$B$105+Assumptions!$B$52-2,BJ$3&gt;=Assumptions!$B$14,BJ10&gt;=Assumptions!$B$106*Assumptions!$B$55)),1,0)</f>
        <v/>
      </c>
    </row>
    <row r="23">
      <c r="A23" s="4" t="inlineStr">
        <is>
          <t>Live: Botswana &amp; Namibia</t>
        </is>
      </c>
      <c r="B23" s="17" t="inlineStr">
        <is>
          <t>flag</t>
        </is>
      </c>
      <c r="C23" s="10">
        <f>0</f>
        <v/>
      </c>
      <c r="D23" s="10">
        <f>0</f>
        <v/>
      </c>
      <c r="E23" s="10">
        <f>C22</f>
        <v/>
      </c>
      <c r="F23" s="10">
        <f>D22</f>
        <v/>
      </c>
      <c r="G23" s="10">
        <f>E22</f>
        <v/>
      </c>
      <c r="H23" s="10">
        <f>F22</f>
        <v/>
      </c>
      <c r="I23" s="10">
        <f>G22</f>
        <v/>
      </c>
      <c r="J23" s="10">
        <f>H22</f>
        <v/>
      </c>
      <c r="K23" s="10">
        <f>I22</f>
        <v/>
      </c>
      <c r="L23" s="10">
        <f>J22</f>
        <v/>
      </c>
      <c r="M23" s="10">
        <f>K22</f>
        <v/>
      </c>
      <c r="N23" s="10">
        <f>L22</f>
        <v/>
      </c>
      <c r="O23" s="10">
        <f>M22</f>
        <v/>
      </c>
      <c r="P23" s="10">
        <f>N22</f>
        <v/>
      </c>
      <c r="Q23" s="10">
        <f>O22</f>
        <v/>
      </c>
      <c r="R23" s="10">
        <f>P22</f>
        <v/>
      </c>
      <c r="S23" s="10">
        <f>Q22</f>
        <v/>
      </c>
      <c r="T23" s="10">
        <f>R22</f>
        <v/>
      </c>
      <c r="U23" s="10">
        <f>S22</f>
        <v/>
      </c>
      <c r="V23" s="10">
        <f>T22</f>
        <v/>
      </c>
      <c r="W23" s="10">
        <f>U22</f>
        <v/>
      </c>
      <c r="X23" s="10">
        <f>V22</f>
        <v/>
      </c>
      <c r="Y23" s="10">
        <f>W22</f>
        <v/>
      </c>
      <c r="Z23" s="10">
        <f>X22</f>
        <v/>
      </c>
      <c r="AA23" s="10">
        <f>Y22</f>
        <v/>
      </c>
      <c r="AB23" s="10">
        <f>Z22</f>
        <v/>
      </c>
      <c r="AC23" s="10">
        <f>AA22</f>
        <v/>
      </c>
      <c r="AD23" s="10">
        <f>AB22</f>
        <v/>
      </c>
      <c r="AE23" s="10">
        <f>AC22</f>
        <v/>
      </c>
      <c r="AF23" s="10">
        <f>AD22</f>
        <v/>
      </c>
      <c r="AG23" s="10">
        <f>AE22</f>
        <v/>
      </c>
      <c r="AH23" s="10">
        <f>AF22</f>
        <v/>
      </c>
      <c r="AI23" s="10">
        <f>AG22</f>
        <v/>
      </c>
      <c r="AJ23" s="10">
        <f>AH22</f>
        <v/>
      </c>
      <c r="AK23" s="10">
        <f>AI22</f>
        <v/>
      </c>
      <c r="AL23" s="10">
        <f>AJ22</f>
        <v/>
      </c>
      <c r="AM23" s="10">
        <f>AK22</f>
        <v/>
      </c>
      <c r="AN23" s="10">
        <f>AL22</f>
        <v/>
      </c>
      <c r="AO23" s="10">
        <f>AM22</f>
        <v/>
      </c>
      <c r="AP23" s="10">
        <f>AN22</f>
        <v/>
      </c>
      <c r="AQ23" s="10">
        <f>AO22</f>
        <v/>
      </c>
      <c r="AR23" s="10">
        <f>AP22</f>
        <v/>
      </c>
      <c r="AS23" s="10">
        <f>AQ22</f>
        <v/>
      </c>
      <c r="AT23" s="10">
        <f>AR22</f>
        <v/>
      </c>
      <c r="AU23" s="10">
        <f>AS22</f>
        <v/>
      </c>
      <c r="AV23" s="10">
        <f>AT22</f>
        <v/>
      </c>
      <c r="AW23" s="10">
        <f>AU22</f>
        <v/>
      </c>
      <c r="AX23" s="10">
        <f>AV22</f>
        <v/>
      </c>
      <c r="AY23" s="10">
        <f>AW22</f>
        <v/>
      </c>
      <c r="AZ23" s="10">
        <f>AX22</f>
        <v/>
      </c>
      <c r="BA23" s="10">
        <f>AY22</f>
        <v/>
      </c>
      <c r="BB23" s="10">
        <f>AZ22</f>
        <v/>
      </c>
      <c r="BC23" s="10">
        <f>BA22</f>
        <v/>
      </c>
      <c r="BD23" s="10">
        <f>BB22</f>
        <v/>
      </c>
      <c r="BE23" s="10">
        <f>BC22</f>
        <v/>
      </c>
      <c r="BF23" s="10">
        <f>BD22</f>
        <v/>
      </c>
      <c r="BG23" s="10">
        <f>BE22</f>
        <v/>
      </c>
      <c r="BH23" s="10">
        <f>BF22</f>
        <v/>
      </c>
      <c r="BI23" s="10">
        <f>BG22</f>
        <v/>
      </c>
      <c r="BJ23" s="10">
        <f>BH22</f>
        <v/>
      </c>
    </row>
    <row r="24">
      <c r="A24" s="4" t="inlineStr">
        <is>
          <t>Launch month: South Africa</t>
        </is>
      </c>
      <c r="B24" s="17" t="inlineStr">
        <is>
          <t>flag</t>
        </is>
      </c>
      <c r="C24" s="10">
        <f>C13-0</f>
        <v/>
      </c>
      <c r="D24" s="10">
        <f>D13-C13</f>
        <v/>
      </c>
      <c r="E24" s="10">
        <f>E13-D13</f>
        <v/>
      </c>
      <c r="F24" s="10">
        <f>F13-E13</f>
        <v/>
      </c>
      <c r="G24" s="10">
        <f>G13-F13</f>
        <v/>
      </c>
      <c r="H24" s="10">
        <f>H13-G13</f>
        <v/>
      </c>
      <c r="I24" s="10">
        <f>I13-H13</f>
        <v/>
      </c>
      <c r="J24" s="10">
        <f>J13-I13</f>
        <v/>
      </c>
      <c r="K24" s="10">
        <f>K13-J13</f>
        <v/>
      </c>
      <c r="L24" s="10">
        <f>L13-K13</f>
        <v/>
      </c>
      <c r="M24" s="10">
        <f>M13-L13</f>
        <v/>
      </c>
      <c r="N24" s="10">
        <f>N13-M13</f>
        <v/>
      </c>
      <c r="O24" s="10">
        <f>O13-N13</f>
        <v/>
      </c>
      <c r="P24" s="10">
        <f>P13-O13</f>
        <v/>
      </c>
      <c r="Q24" s="10">
        <f>Q13-P13</f>
        <v/>
      </c>
      <c r="R24" s="10">
        <f>R13-Q13</f>
        <v/>
      </c>
      <c r="S24" s="10">
        <f>S13-R13</f>
        <v/>
      </c>
      <c r="T24" s="10">
        <f>T13-S13</f>
        <v/>
      </c>
      <c r="U24" s="10">
        <f>U13-T13</f>
        <v/>
      </c>
      <c r="V24" s="10">
        <f>V13-U13</f>
        <v/>
      </c>
      <c r="W24" s="10">
        <f>W13-V13</f>
        <v/>
      </c>
      <c r="X24" s="10">
        <f>X13-W13</f>
        <v/>
      </c>
      <c r="Y24" s="10">
        <f>Y13-X13</f>
        <v/>
      </c>
      <c r="Z24" s="10">
        <f>Z13-Y13</f>
        <v/>
      </c>
      <c r="AA24" s="10">
        <f>AA13-Z13</f>
        <v/>
      </c>
      <c r="AB24" s="10">
        <f>AB13-AA13</f>
        <v/>
      </c>
      <c r="AC24" s="10">
        <f>AC13-AB13</f>
        <v/>
      </c>
      <c r="AD24" s="10">
        <f>AD13-AC13</f>
        <v/>
      </c>
      <c r="AE24" s="10">
        <f>AE13-AD13</f>
        <v/>
      </c>
      <c r="AF24" s="10">
        <f>AF13-AE13</f>
        <v/>
      </c>
      <c r="AG24" s="10">
        <f>AG13-AF13</f>
        <v/>
      </c>
      <c r="AH24" s="10">
        <f>AH13-AG13</f>
        <v/>
      </c>
      <c r="AI24" s="10">
        <f>AI13-AH13</f>
        <v/>
      </c>
      <c r="AJ24" s="10">
        <f>AJ13-AI13</f>
        <v/>
      </c>
      <c r="AK24" s="10">
        <f>AK13-AJ13</f>
        <v/>
      </c>
      <c r="AL24" s="10">
        <f>AL13-AK13</f>
        <v/>
      </c>
      <c r="AM24" s="10">
        <f>AM13-AL13</f>
        <v/>
      </c>
      <c r="AN24" s="10">
        <f>AN13-AM13</f>
        <v/>
      </c>
      <c r="AO24" s="10">
        <f>AO13-AN13</f>
        <v/>
      </c>
      <c r="AP24" s="10">
        <f>AP13-AO13</f>
        <v/>
      </c>
      <c r="AQ24" s="10">
        <f>AQ13-AP13</f>
        <v/>
      </c>
      <c r="AR24" s="10">
        <f>AR13-AQ13</f>
        <v/>
      </c>
      <c r="AS24" s="10">
        <f>AS13-AR13</f>
        <v/>
      </c>
      <c r="AT24" s="10">
        <f>AT13-AS13</f>
        <v/>
      </c>
      <c r="AU24" s="10">
        <f>AU13-AT13</f>
        <v/>
      </c>
      <c r="AV24" s="10">
        <f>AV13-AU13</f>
        <v/>
      </c>
      <c r="AW24" s="10">
        <f>AW13-AV13</f>
        <v/>
      </c>
      <c r="AX24" s="10">
        <f>AX13-AW13</f>
        <v/>
      </c>
      <c r="AY24" s="10">
        <f>AY13-AX13</f>
        <v/>
      </c>
      <c r="AZ24" s="10">
        <f>AZ13-AY13</f>
        <v/>
      </c>
      <c r="BA24" s="10">
        <f>BA13-AZ13</f>
        <v/>
      </c>
      <c r="BB24" s="10">
        <f>BB13-BA13</f>
        <v/>
      </c>
      <c r="BC24" s="10">
        <f>BC13-BB13</f>
        <v/>
      </c>
      <c r="BD24" s="10">
        <f>BD13-BC13</f>
        <v/>
      </c>
      <c r="BE24" s="10">
        <f>BE13-BD13</f>
        <v/>
      </c>
      <c r="BF24" s="10">
        <f>BF13-BE13</f>
        <v/>
      </c>
      <c r="BG24" s="10">
        <f>BG13-BF13</f>
        <v/>
      </c>
      <c r="BH24" s="10">
        <f>BH13-BG13</f>
        <v/>
      </c>
      <c r="BI24" s="10">
        <f>BI13-BH13</f>
        <v/>
      </c>
      <c r="BJ24" s="10">
        <f>BJ13-BI13</f>
        <v/>
      </c>
    </row>
    <row r="25">
      <c r="A25" s="4" t="inlineStr">
        <is>
          <t>Launch month: Nigeria</t>
        </is>
      </c>
      <c r="B25" s="17" t="inlineStr">
        <is>
          <t>flag</t>
        </is>
      </c>
      <c r="C25" s="10">
        <f>C15-0</f>
        <v/>
      </c>
      <c r="D25" s="10">
        <f>D15-C15</f>
        <v/>
      </c>
      <c r="E25" s="10">
        <f>E15-D15</f>
        <v/>
      </c>
      <c r="F25" s="10">
        <f>F15-E15</f>
        <v/>
      </c>
      <c r="G25" s="10">
        <f>G15-F15</f>
        <v/>
      </c>
      <c r="H25" s="10">
        <f>H15-G15</f>
        <v/>
      </c>
      <c r="I25" s="10">
        <f>I15-H15</f>
        <v/>
      </c>
      <c r="J25" s="10">
        <f>J15-I15</f>
        <v/>
      </c>
      <c r="K25" s="10">
        <f>K15-J15</f>
        <v/>
      </c>
      <c r="L25" s="10">
        <f>L15-K15</f>
        <v/>
      </c>
      <c r="M25" s="10">
        <f>M15-L15</f>
        <v/>
      </c>
      <c r="N25" s="10">
        <f>N15-M15</f>
        <v/>
      </c>
      <c r="O25" s="10">
        <f>O15-N15</f>
        <v/>
      </c>
      <c r="P25" s="10">
        <f>P15-O15</f>
        <v/>
      </c>
      <c r="Q25" s="10">
        <f>Q15-P15</f>
        <v/>
      </c>
      <c r="R25" s="10">
        <f>R15-Q15</f>
        <v/>
      </c>
      <c r="S25" s="10">
        <f>S15-R15</f>
        <v/>
      </c>
      <c r="T25" s="10">
        <f>T15-S15</f>
        <v/>
      </c>
      <c r="U25" s="10">
        <f>U15-T15</f>
        <v/>
      </c>
      <c r="V25" s="10">
        <f>V15-U15</f>
        <v/>
      </c>
      <c r="W25" s="10">
        <f>W15-V15</f>
        <v/>
      </c>
      <c r="X25" s="10">
        <f>X15-W15</f>
        <v/>
      </c>
      <c r="Y25" s="10">
        <f>Y15-X15</f>
        <v/>
      </c>
      <c r="Z25" s="10">
        <f>Z15-Y15</f>
        <v/>
      </c>
      <c r="AA25" s="10">
        <f>AA15-Z15</f>
        <v/>
      </c>
      <c r="AB25" s="10">
        <f>AB15-AA15</f>
        <v/>
      </c>
      <c r="AC25" s="10">
        <f>AC15-AB15</f>
        <v/>
      </c>
      <c r="AD25" s="10">
        <f>AD15-AC15</f>
        <v/>
      </c>
      <c r="AE25" s="10">
        <f>AE15-AD15</f>
        <v/>
      </c>
      <c r="AF25" s="10">
        <f>AF15-AE15</f>
        <v/>
      </c>
      <c r="AG25" s="10">
        <f>AG15-AF15</f>
        <v/>
      </c>
      <c r="AH25" s="10">
        <f>AH15-AG15</f>
        <v/>
      </c>
      <c r="AI25" s="10">
        <f>AI15-AH15</f>
        <v/>
      </c>
      <c r="AJ25" s="10">
        <f>AJ15-AI15</f>
        <v/>
      </c>
      <c r="AK25" s="10">
        <f>AK15-AJ15</f>
        <v/>
      </c>
      <c r="AL25" s="10">
        <f>AL15-AK15</f>
        <v/>
      </c>
      <c r="AM25" s="10">
        <f>AM15-AL15</f>
        <v/>
      </c>
      <c r="AN25" s="10">
        <f>AN15-AM15</f>
        <v/>
      </c>
      <c r="AO25" s="10">
        <f>AO15-AN15</f>
        <v/>
      </c>
      <c r="AP25" s="10">
        <f>AP15-AO15</f>
        <v/>
      </c>
      <c r="AQ25" s="10">
        <f>AQ15-AP15</f>
        <v/>
      </c>
      <c r="AR25" s="10">
        <f>AR15-AQ15</f>
        <v/>
      </c>
      <c r="AS25" s="10">
        <f>AS15-AR15</f>
        <v/>
      </c>
      <c r="AT25" s="10">
        <f>AT15-AS15</f>
        <v/>
      </c>
      <c r="AU25" s="10">
        <f>AU15-AT15</f>
        <v/>
      </c>
      <c r="AV25" s="10">
        <f>AV15-AU15</f>
        <v/>
      </c>
      <c r="AW25" s="10">
        <f>AW15-AV15</f>
        <v/>
      </c>
      <c r="AX25" s="10">
        <f>AX15-AW15</f>
        <v/>
      </c>
      <c r="AY25" s="10">
        <f>AY15-AX15</f>
        <v/>
      </c>
      <c r="AZ25" s="10">
        <f>AZ15-AY15</f>
        <v/>
      </c>
      <c r="BA25" s="10">
        <f>BA15-AZ15</f>
        <v/>
      </c>
      <c r="BB25" s="10">
        <f>BB15-BA15</f>
        <v/>
      </c>
      <c r="BC25" s="10">
        <f>BC15-BB15</f>
        <v/>
      </c>
      <c r="BD25" s="10">
        <f>BD15-BC15</f>
        <v/>
      </c>
      <c r="BE25" s="10">
        <f>BE15-BD15</f>
        <v/>
      </c>
      <c r="BF25" s="10">
        <f>BF15-BE15</f>
        <v/>
      </c>
      <c r="BG25" s="10">
        <f>BG15-BF15</f>
        <v/>
      </c>
      <c r="BH25" s="10">
        <f>BH15-BG15</f>
        <v/>
      </c>
      <c r="BI25" s="10">
        <f>BI15-BH15</f>
        <v/>
      </c>
      <c r="BJ25" s="10">
        <f>BJ15-BI15</f>
        <v/>
      </c>
    </row>
    <row r="26">
      <c r="A26" s="4" t="inlineStr">
        <is>
          <t>Launch month: Kenya</t>
        </is>
      </c>
      <c r="B26" s="17" t="inlineStr">
        <is>
          <t>flag</t>
        </is>
      </c>
      <c r="C26" s="10">
        <f>C17-0</f>
        <v/>
      </c>
      <c r="D26" s="10">
        <f>D17-C17</f>
        <v/>
      </c>
      <c r="E26" s="10">
        <f>E17-D17</f>
        <v/>
      </c>
      <c r="F26" s="10">
        <f>F17-E17</f>
        <v/>
      </c>
      <c r="G26" s="10">
        <f>G17-F17</f>
        <v/>
      </c>
      <c r="H26" s="10">
        <f>H17-G17</f>
        <v/>
      </c>
      <c r="I26" s="10">
        <f>I17-H17</f>
        <v/>
      </c>
      <c r="J26" s="10">
        <f>J17-I17</f>
        <v/>
      </c>
      <c r="K26" s="10">
        <f>K17-J17</f>
        <v/>
      </c>
      <c r="L26" s="10">
        <f>L17-K17</f>
        <v/>
      </c>
      <c r="M26" s="10">
        <f>M17-L17</f>
        <v/>
      </c>
      <c r="N26" s="10">
        <f>N17-M17</f>
        <v/>
      </c>
      <c r="O26" s="10">
        <f>O17-N17</f>
        <v/>
      </c>
      <c r="P26" s="10">
        <f>P17-O17</f>
        <v/>
      </c>
      <c r="Q26" s="10">
        <f>Q17-P17</f>
        <v/>
      </c>
      <c r="R26" s="10">
        <f>R17-Q17</f>
        <v/>
      </c>
      <c r="S26" s="10">
        <f>S17-R17</f>
        <v/>
      </c>
      <c r="T26" s="10">
        <f>T17-S17</f>
        <v/>
      </c>
      <c r="U26" s="10">
        <f>U17-T17</f>
        <v/>
      </c>
      <c r="V26" s="10">
        <f>V17-U17</f>
        <v/>
      </c>
      <c r="W26" s="10">
        <f>W17-V17</f>
        <v/>
      </c>
      <c r="X26" s="10">
        <f>X17-W17</f>
        <v/>
      </c>
      <c r="Y26" s="10">
        <f>Y17-X17</f>
        <v/>
      </c>
      <c r="Z26" s="10">
        <f>Z17-Y17</f>
        <v/>
      </c>
      <c r="AA26" s="10">
        <f>AA17-Z17</f>
        <v/>
      </c>
      <c r="AB26" s="10">
        <f>AB17-AA17</f>
        <v/>
      </c>
      <c r="AC26" s="10">
        <f>AC17-AB17</f>
        <v/>
      </c>
      <c r="AD26" s="10">
        <f>AD17-AC17</f>
        <v/>
      </c>
      <c r="AE26" s="10">
        <f>AE17-AD17</f>
        <v/>
      </c>
      <c r="AF26" s="10">
        <f>AF17-AE17</f>
        <v/>
      </c>
      <c r="AG26" s="10">
        <f>AG17-AF17</f>
        <v/>
      </c>
      <c r="AH26" s="10">
        <f>AH17-AG17</f>
        <v/>
      </c>
      <c r="AI26" s="10">
        <f>AI17-AH17</f>
        <v/>
      </c>
      <c r="AJ26" s="10">
        <f>AJ17-AI17</f>
        <v/>
      </c>
      <c r="AK26" s="10">
        <f>AK17-AJ17</f>
        <v/>
      </c>
      <c r="AL26" s="10">
        <f>AL17-AK17</f>
        <v/>
      </c>
      <c r="AM26" s="10">
        <f>AM17-AL17</f>
        <v/>
      </c>
      <c r="AN26" s="10">
        <f>AN17-AM17</f>
        <v/>
      </c>
      <c r="AO26" s="10">
        <f>AO17-AN17</f>
        <v/>
      </c>
      <c r="AP26" s="10">
        <f>AP17-AO17</f>
        <v/>
      </c>
      <c r="AQ26" s="10">
        <f>AQ17-AP17</f>
        <v/>
      </c>
      <c r="AR26" s="10">
        <f>AR17-AQ17</f>
        <v/>
      </c>
      <c r="AS26" s="10">
        <f>AS17-AR17</f>
        <v/>
      </c>
      <c r="AT26" s="10">
        <f>AT17-AS17</f>
        <v/>
      </c>
      <c r="AU26" s="10">
        <f>AU17-AT17</f>
        <v/>
      </c>
      <c r="AV26" s="10">
        <f>AV17-AU17</f>
        <v/>
      </c>
      <c r="AW26" s="10">
        <f>AW17-AV17</f>
        <v/>
      </c>
      <c r="AX26" s="10">
        <f>AX17-AW17</f>
        <v/>
      </c>
      <c r="AY26" s="10">
        <f>AY17-AX17</f>
        <v/>
      </c>
      <c r="AZ26" s="10">
        <f>AZ17-AY17</f>
        <v/>
      </c>
      <c r="BA26" s="10">
        <f>BA17-AZ17</f>
        <v/>
      </c>
      <c r="BB26" s="10">
        <f>BB17-BA17</f>
        <v/>
      </c>
      <c r="BC26" s="10">
        <f>BC17-BB17</f>
        <v/>
      </c>
      <c r="BD26" s="10">
        <f>BD17-BC17</f>
        <v/>
      </c>
      <c r="BE26" s="10">
        <f>BE17-BD17</f>
        <v/>
      </c>
      <c r="BF26" s="10">
        <f>BF17-BE17</f>
        <v/>
      </c>
      <c r="BG26" s="10">
        <f>BG17-BF17</f>
        <v/>
      </c>
      <c r="BH26" s="10">
        <f>BH17-BG17</f>
        <v/>
      </c>
      <c r="BI26" s="10">
        <f>BI17-BH17</f>
        <v/>
      </c>
      <c r="BJ26" s="10">
        <f>BJ17-BI17</f>
        <v/>
      </c>
    </row>
    <row r="27">
      <c r="A27" s="4" t="inlineStr">
        <is>
          <t>Launch month: Ghana</t>
        </is>
      </c>
      <c r="B27" s="17" t="inlineStr">
        <is>
          <t>flag</t>
        </is>
      </c>
      <c r="C27" s="10">
        <f>C19-0</f>
        <v/>
      </c>
      <c r="D27" s="10">
        <f>D19-C19</f>
        <v/>
      </c>
      <c r="E27" s="10">
        <f>E19-D19</f>
        <v/>
      </c>
      <c r="F27" s="10">
        <f>F19-E19</f>
        <v/>
      </c>
      <c r="G27" s="10">
        <f>G19-F19</f>
        <v/>
      </c>
      <c r="H27" s="10">
        <f>H19-G19</f>
        <v/>
      </c>
      <c r="I27" s="10">
        <f>I19-H19</f>
        <v/>
      </c>
      <c r="J27" s="10">
        <f>J19-I19</f>
        <v/>
      </c>
      <c r="K27" s="10">
        <f>K19-J19</f>
        <v/>
      </c>
      <c r="L27" s="10">
        <f>L19-K19</f>
        <v/>
      </c>
      <c r="M27" s="10">
        <f>M19-L19</f>
        <v/>
      </c>
      <c r="N27" s="10">
        <f>N19-M19</f>
        <v/>
      </c>
      <c r="O27" s="10">
        <f>O19-N19</f>
        <v/>
      </c>
      <c r="P27" s="10">
        <f>P19-O19</f>
        <v/>
      </c>
      <c r="Q27" s="10">
        <f>Q19-P19</f>
        <v/>
      </c>
      <c r="R27" s="10">
        <f>R19-Q19</f>
        <v/>
      </c>
      <c r="S27" s="10">
        <f>S19-R19</f>
        <v/>
      </c>
      <c r="T27" s="10">
        <f>T19-S19</f>
        <v/>
      </c>
      <c r="U27" s="10">
        <f>U19-T19</f>
        <v/>
      </c>
      <c r="V27" s="10">
        <f>V19-U19</f>
        <v/>
      </c>
      <c r="W27" s="10">
        <f>W19-V19</f>
        <v/>
      </c>
      <c r="X27" s="10">
        <f>X19-W19</f>
        <v/>
      </c>
      <c r="Y27" s="10">
        <f>Y19-X19</f>
        <v/>
      </c>
      <c r="Z27" s="10">
        <f>Z19-Y19</f>
        <v/>
      </c>
      <c r="AA27" s="10">
        <f>AA19-Z19</f>
        <v/>
      </c>
      <c r="AB27" s="10">
        <f>AB19-AA19</f>
        <v/>
      </c>
      <c r="AC27" s="10">
        <f>AC19-AB19</f>
        <v/>
      </c>
      <c r="AD27" s="10">
        <f>AD19-AC19</f>
        <v/>
      </c>
      <c r="AE27" s="10">
        <f>AE19-AD19</f>
        <v/>
      </c>
      <c r="AF27" s="10">
        <f>AF19-AE19</f>
        <v/>
      </c>
      <c r="AG27" s="10">
        <f>AG19-AF19</f>
        <v/>
      </c>
      <c r="AH27" s="10">
        <f>AH19-AG19</f>
        <v/>
      </c>
      <c r="AI27" s="10">
        <f>AI19-AH19</f>
        <v/>
      </c>
      <c r="AJ27" s="10">
        <f>AJ19-AI19</f>
        <v/>
      </c>
      <c r="AK27" s="10">
        <f>AK19-AJ19</f>
        <v/>
      </c>
      <c r="AL27" s="10">
        <f>AL19-AK19</f>
        <v/>
      </c>
      <c r="AM27" s="10">
        <f>AM19-AL19</f>
        <v/>
      </c>
      <c r="AN27" s="10">
        <f>AN19-AM19</f>
        <v/>
      </c>
      <c r="AO27" s="10">
        <f>AO19-AN19</f>
        <v/>
      </c>
      <c r="AP27" s="10">
        <f>AP19-AO19</f>
        <v/>
      </c>
      <c r="AQ27" s="10">
        <f>AQ19-AP19</f>
        <v/>
      </c>
      <c r="AR27" s="10">
        <f>AR19-AQ19</f>
        <v/>
      </c>
      <c r="AS27" s="10">
        <f>AS19-AR19</f>
        <v/>
      </c>
      <c r="AT27" s="10">
        <f>AT19-AS19</f>
        <v/>
      </c>
      <c r="AU27" s="10">
        <f>AU19-AT19</f>
        <v/>
      </c>
      <c r="AV27" s="10">
        <f>AV19-AU19</f>
        <v/>
      </c>
      <c r="AW27" s="10">
        <f>AW19-AV19</f>
        <v/>
      </c>
      <c r="AX27" s="10">
        <f>AX19-AW19</f>
        <v/>
      </c>
      <c r="AY27" s="10">
        <f>AY19-AX19</f>
        <v/>
      </c>
      <c r="AZ27" s="10">
        <f>AZ19-AY19</f>
        <v/>
      </c>
      <c r="BA27" s="10">
        <f>BA19-AZ19</f>
        <v/>
      </c>
      <c r="BB27" s="10">
        <f>BB19-BA19</f>
        <v/>
      </c>
      <c r="BC27" s="10">
        <f>BC19-BB19</f>
        <v/>
      </c>
      <c r="BD27" s="10">
        <f>BD19-BC19</f>
        <v/>
      </c>
      <c r="BE27" s="10">
        <f>BE19-BD19</f>
        <v/>
      </c>
      <c r="BF27" s="10">
        <f>BF19-BE19</f>
        <v/>
      </c>
      <c r="BG27" s="10">
        <f>BG19-BF19</f>
        <v/>
      </c>
      <c r="BH27" s="10">
        <f>BH19-BG19</f>
        <v/>
      </c>
      <c r="BI27" s="10">
        <f>BI19-BH19</f>
        <v/>
      </c>
      <c r="BJ27" s="10">
        <f>BJ19-BI19</f>
        <v/>
      </c>
    </row>
    <row r="28">
      <c r="A28" s="4" t="inlineStr">
        <is>
          <t>Launch month: Rest of Africa (USD)</t>
        </is>
      </c>
      <c r="B28" s="17" t="inlineStr">
        <is>
          <t>flag</t>
        </is>
      </c>
      <c r="C28" s="10">
        <f>C21-0</f>
        <v/>
      </c>
      <c r="D28" s="10">
        <f>D21-C21</f>
        <v/>
      </c>
      <c r="E28" s="10">
        <f>E21-D21</f>
        <v/>
      </c>
      <c r="F28" s="10">
        <f>F21-E21</f>
        <v/>
      </c>
      <c r="G28" s="10">
        <f>G21-F21</f>
        <v/>
      </c>
      <c r="H28" s="10">
        <f>H21-G21</f>
        <v/>
      </c>
      <c r="I28" s="10">
        <f>I21-H21</f>
        <v/>
      </c>
      <c r="J28" s="10">
        <f>J21-I21</f>
        <v/>
      </c>
      <c r="K28" s="10">
        <f>K21-J21</f>
        <v/>
      </c>
      <c r="L28" s="10">
        <f>L21-K21</f>
        <v/>
      </c>
      <c r="M28" s="10">
        <f>M21-L21</f>
        <v/>
      </c>
      <c r="N28" s="10">
        <f>N21-M21</f>
        <v/>
      </c>
      <c r="O28" s="10">
        <f>O21-N21</f>
        <v/>
      </c>
      <c r="P28" s="10">
        <f>P21-O21</f>
        <v/>
      </c>
      <c r="Q28" s="10">
        <f>Q21-P21</f>
        <v/>
      </c>
      <c r="R28" s="10">
        <f>R21-Q21</f>
        <v/>
      </c>
      <c r="S28" s="10">
        <f>S21-R21</f>
        <v/>
      </c>
      <c r="T28" s="10">
        <f>T21-S21</f>
        <v/>
      </c>
      <c r="U28" s="10">
        <f>U21-T21</f>
        <v/>
      </c>
      <c r="V28" s="10">
        <f>V21-U21</f>
        <v/>
      </c>
      <c r="W28" s="10">
        <f>W21-V21</f>
        <v/>
      </c>
      <c r="X28" s="10">
        <f>X21-W21</f>
        <v/>
      </c>
      <c r="Y28" s="10">
        <f>Y21-X21</f>
        <v/>
      </c>
      <c r="Z28" s="10">
        <f>Z21-Y21</f>
        <v/>
      </c>
      <c r="AA28" s="10">
        <f>AA21-Z21</f>
        <v/>
      </c>
      <c r="AB28" s="10">
        <f>AB21-AA21</f>
        <v/>
      </c>
      <c r="AC28" s="10">
        <f>AC21-AB21</f>
        <v/>
      </c>
      <c r="AD28" s="10">
        <f>AD21-AC21</f>
        <v/>
      </c>
      <c r="AE28" s="10">
        <f>AE21-AD21</f>
        <v/>
      </c>
      <c r="AF28" s="10">
        <f>AF21-AE21</f>
        <v/>
      </c>
      <c r="AG28" s="10">
        <f>AG21-AF21</f>
        <v/>
      </c>
      <c r="AH28" s="10">
        <f>AH21-AG21</f>
        <v/>
      </c>
      <c r="AI28" s="10">
        <f>AI21-AH21</f>
        <v/>
      </c>
      <c r="AJ28" s="10">
        <f>AJ21-AI21</f>
        <v/>
      </c>
      <c r="AK28" s="10">
        <f>AK21-AJ21</f>
        <v/>
      </c>
      <c r="AL28" s="10">
        <f>AL21-AK21</f>
        <v/>
      </c>
      <c r="AM28" s="10">
        <f>AM21-AL21</f>
        <v/>
      </c>
      <c r="AN28" s="10">
        <f>AN21-AM21</f>
        <v/>
      </c>
      <c r="AO28" s="10">
        <f>AO21-AN21</f>
        <v/>
      </c>
      <c r="AP28" s="10">
        <f>AP21-AO21</f>
        <v/>
      </c>
      <c r="AQ28" s="10">
        <f>AQ21-AP21</f>
        <v/>
      </c>
      <c r="AR28" s="10">
        <f>AR21-AQ21</f>
        <v/>
      </c>
      <c r="AS28" s="10">
        <f>AS21-AR21</f>
        <v/>
      </c>
      <c r="AT28" s="10">
        <f>AT21-AS21</f>
        <v/>
      </c>
      <c r="AU28" s="10">
        <f>AU21-AT21</f>
        <v/>
      </c>
      <c r="AV28" s="10">
        <f>AV21-AU21</f>
        <v/>
      </c>
      <c r="AW28" s="10">
        <f>AW21-AV21</f>
        <v/>
      </c>
      <c r="AX28" s="10">
        <f>AX21-AW21</f>
        <v/>
      </c>
      <c r="AY28" s="10">
        <f>AY21-AX21</f>
        <v/>
      </c>
      <c r="AZ28" s="10">
        <f>AZ21-AY21</f>
        <v/>
      </c>
      <c r="BA28" s="10">
        <f>BA21-AZ21</f>
        <v/>
      </c>
      <c r="BB28" s="10">
        <f>BB21-BA21</f>
        <v/>
      </c>
      <c r="BC28" s="10">
        <f>BC21-BB21</f>
        <v/>
      </c>
      <c r="BD28" s="10">
        <f>BD21-BC21</f>
        <v/>
      </c>
      <c r="BE28" s="10">
        <f>BE21-BD21</f>
        <v/>
      </c>
      <c r="BF28" s="10">
        <f>BF21-BE21</f>
        <v/>
      </c>
      <c r="BG28" s="10">
        <f>BG21-BF21</f>
        <v/>
      </c>
      <c r="BH28" s="10">
        <f>BH21-BG21</f>
        <v/>
      </c>
      <c r="BI28" s="10">
        <f>BI21-BH21</f>
        <v/>
      </c>
      <c r="BJ28" s="10">
        <f>BJ21-BI21</f>
        <v/>
      </c>
    </row>
    <row r="29">
      <c r="A29" s="4" t="inlineStr">
        <is>
          <t>Launch month: Botswana &amp; Namibia</t>
        </is>
      </c>
      <c r="B29" s="17" t="inlineStr">
        <is>
          <t>flag</t>
        </is>
      </c>
      <c r="C29" s="10">
        <f>C23-0</f>
        <v/>
      </c>
      <c r="D29" s="10">
        <f>D23-C23</f>
        <v/>
      </c>
      <c r="E29" s="10">
        <f>E23-D23</f>
        <v/>
      </c>
      <c r="F29" s="10">
        <f>F23-E23</f>
        <v/>
      </c>
      <c r="G29" s="10">
        <f>G23-F23</f>
        <v/>
      </c>
      <c r="H29" s="10">
        <f>H23-G23</f>
        <v/>
      </c>
      <c r="I29" s="10">
        <f>I23-H23</f>
        <v/>
      </c>
      <c r="J29" s="10">
        <f>J23-I23</f>
        <v/>
      </c>
      <c r="K29" s="10">
        <f>K23-J23</f>
        <v/>
      </c>
      <c r="L29" s="10">
        <f>L23-K23</f>
        <v/>
      </c>
      <c r="M29" s="10">
        <f>M23-L23</f>
        <v/>
      </c>
      <c r="N29" s="10">
        <f>N23-M23</f>
        <v/>
      </c>
      <c r="O29" s="10">
        <f>O23-N23</f>
        <v/>
      </c>
      <c r="P29" s="10">
        <f>P23-O23</f>
        <v/>
      </c>
      <c r="Q29" s="10">
        <f>Q23-P23</f>
        <v/>
      </c>
      <c r="R29" s="10">
        <f>R23-Q23</f>
        <v/>
      </c>
      <c r="S29" s="10">
        <f>S23-R23</f>
        <v/>
      </c>
      <c r="T29" s="10">
        <f>T23-S23</f>
        <v/>
      </c>
      <c r="U29" s="10">
        <f>U23-T23</f>
        <v/>
      </c>
      <c r="V29" s="10">
        <f>V23-U23</f>
        <v/>
      </c>
      <c r="W29" s="10">
        <f>W23-V23</f>
        <v/>
      </c>
      <c r="X29" s="10">
        <f>X23-W23</f>
        <v/>
      </c>
      <c r="Y29" s="10">
        <f>Y23-X23</f>
        <v/>
      </c>
      <c r="Z29" s="10">
        <f>Z23-Y23</f>
        <v/>
      </c>
      <c r="AA29" s="10">
        <f>AA23-Z23</f>
        <v/>
      </c>
      <c r="AB29" s="10">
        <f>AB23-AA23</f>
        <v/>
      </c>
      <c r="AC29" s="10">
        <f>AC23-AB23</f>
        <v/>
      </c>
      <c r="AD29" s="10">
        <f>AD23-AC23</f>
        <v/>
      </c>
      <c r="AE29" s="10">
        <f>AE23-AD23</f>
        <v/>
      </c>
      <c r="AF29" s="10">
        <f>AF23-AE23</f>
        <v/>
      </c>
      <c r="AG29" s="10">
        <f>AG23-AF23</f>
        <v/>
      </c>
      <c r="AH29" s="10">
        <f>AH23-AG23</f>
        <v/>
      </c>
      <c r="AI29" s="10">
        <f>AI23-AH23</f>
        <v/>
      </c>
      <c r="AJ29" s="10">
        <f>AJ23-AI23</f>
        <v/>
      </c>
      <c r="AK29" s="10">
        <f>AK23-AJ23</f>
        <v/>
      </c>
      <c r="AL29" s="10">
        <f>AL23-AK23</f>
        <v/>
      </c>
      <c r="AM29" s="10">
        <f>AM23-AL23</f>
        <v/>
      </c>
      <c r="AN29" s="10">
        <f>AN23-AM23</f>
        <v/>
      </c>
      <c r="AO29" s="10">
        <f>AO23-AN23</f>
        <v/>
      </c>
      <c r="AP29" s="10">
        <f>AP23-AO23</f>
        <v/>
      </c>
      <c r="AQ29" s="10">
        <f>AQ23-AP23</f>
        <v/>
      </c>
      <c r="AR29" s="10">
        <f>AR23-AQ23</f>
        <v/>
      </c>
      <c r="AS29" s="10">
        <f>AS23-AR23</f>
        <v/>
      </c>
      <c r="AT29" s="10">
        <f>AT23-AS23</f>
        <v/>
      </c>
      <c r="AU29" s="10">
        <f>AU23-AT23</f>
        <v/>
      </c>
      <c r="AV29" s="10">
        <f>AV23-AU23</f>
        <v/>
      </c>
      <c r="AW29" s="10">
        <f>AW23-AV23</f>
        <v/>
      </c>
      <c r="AX29" s="10">
        <f>AX23-AW23</f>
        <v/>
      </c>
      <c r="AY29" s="10">
        <f>AY23-AX23</f>
        <v/>
      </c>
      <c r="AZ29" s="10">
        <f>AZ23-AY23</f>
        <v/>
      </c>
      <c r="BA29" s="10">
        <f>BA23-AZ23</f>
        <v/>
      </c>
      <c r="BB29" s="10">
        <f>BB23-BA23</f>
        <v/>
      </c>
      <c r="BC29" s="10">
        <f>BC23-BB23</f>
        <v/>
      </c>
      <c r="BD29" s="10">
        <f>BD23-BC23</f>
        <v/>
      </c>
      <c r="BE29" s="10">
        <f>BE23-BD23</f>
        <v/>
      </c>
      <c r="BF29" s="10">
        <f>BF23-BE23</f>
        <v/>
      </c>
      <c r="BG29" s="10">
        <f>BG23-BF23</f>
        <v/>
      </c>
      <c r="BH29" s="10">
        <f>BH23-BG23</f>
        <v/>
      </c>
      <c r="BI29" s="10">
        <f>BI23-BH23</f>
        <v/>
      </c>
      <c r="BJ29" s="10">
        <f>BJ23-BI23</f>
        <v/>
      </c>
    </row>
    <row r="30">
      <c r="A30" s="4" t="inlineStr">
        <is>
          <t>Founding Member launch window open: South Africa</t>
        </is>
      </c>
      <c r="B30" s="17" t="inlineStr">
        <is>
          <t>flag</t>
        </is>
      </c>
      <c r="C30" s="10">
        <f>IF(Assumptions!$B$61=0,0,IF(Assumptions!$B$61=1,C13-0,C13-0))</f>
        <v/>
      </c>
      <c r="D30" s="10">
        <f>IF(Assumptions!$B$61=0,0,IF(Assumptions!$B$61=1,D13-C13,D13-0))</f>
        <v/>
      </c>
      <c r="E30" s="10">
        <f>IF(Assumptions!$B$61=0,0,IF(Assumptions!$B$61=1,E13-D13,E13-C13))</f>
        <v/>
      </c>
      <c r="F30" s="10">
        <f>IF(Assumptions!$B$61=0,0,IF(Assumptions!$B$61=1,F13-E13,F13-D13))</f>
        <v/>
      </c>
      <c r="G30" s="10">
        <f>IF(Assumptions!$B$61=0,0,IF(Assumptions!$B$61=1,G13-F13,G13-E13))</f>
        <v/>
      </c>
      <c r="H30" s="10">
        <f>IF(Assumptions!$B$61=0,0,IF(Assumptions!$B$61=1,H13-G13,H13-F13))</f>
        <v/>
      </c>
      <c r="I30" s="10">
        <f>IF(Assumptions!$B$61=0,0,IF(Assumptions!$B$61=1,I13-H13,I13-G13))</f>
        <v/>
      </c>
      <c r="J30" s="10">
        <f>IF(Assumptions!$B$61=0,0,IF(Assumptions!$B$61=1,J13-I13,J13-H13))</f>
        <v/>
      </c>
      <c r="K30" s="10">
        <f>IF(Assumptions!$B$61=0,0,IF(Assumptions!$B$61=1,K13-J13,K13-I13))</f>
        <v/>
      </c>
      <c r="L30" s="10">
        <f>IF(Assumptions!$B$61=0,0,IF(Assumptions!$B$61=1,L13-K13,L13-J13))</f>
        <v/>
      </c>
      <c r="M30" s="10">
        <f>IF(Assumptions!$B$61=0,0,IF(Assumptions!$B$61=1,M13-L13,M13-K13))</f>
        <v/>
      </c>
      <c r="N30" s="10">
        <f>IF(Assumptions!$B$61=0,0,IF(Assumptions!$B$61=1,N13-M13,N13-L13))</f>
        <v/>
      </c>
      <c r="O30" s="10">
        <f>IF(Assumptions!$B$61=0,0,IF(Assumptions!$B$61=1,O13-N13,O13-M13))</f>
        <v/>
      </c>
      <c r="P30" s="10">
        <f>IF(Assumptions!$B$61=0,0,IF(Assumptions!$B$61=1,P13-O13,P13-N13))</f>
        <v/>
      </c>
      <c r="Q30" s="10">
        <f>IF(Assumptions!$B$61=0,0,IF(Assumptions!$B$61=1,Q13-P13,Q13-O13))</f>
        <v/>
      </c>
      <c r="R30" s="10">
        <f>IF(Assumptions!$B$61=0,0,IF(Assumptions!$B$61=1,R13-Q13,R13-P13))</f>
        <v/>
      </c>
      <c r="S30" s="10">
        <f>IF(Assumptions!$B$61=0,0,IF(Assumptions!$B$61=1,S13-R13,S13-Q13))</f>
        <v/>
      </c>
      <c r="T30" s="10">
        <f>IF(Assumptions!$B$61=0,0,IF(Assumptions!$B$61=1,T13-S13,T13-R13))</f>
        <v/>
      </c>
      <c r="U30" s="10">
        <f>IF(Assumptions!$B$61=0,0,IF(Assumptions!$B$61=1,U13-T13,U13-S13))</f>
        <v/>
      </c>
      <c r="V30" s="10">
        <f>IF(Assumptions!$B$61=0,0,IF(Assumptions!$B$61=1,V13-U13,V13-T13))</f>
        <v/>
      </c>
      <c r="W30" s="10">
        <f>IF(Assumptions!$B$61=0,0,IF(Assumptions!$B$61=1,W13-V13,W13-U13))</f>
        <v/>
      </c>
      <c r="X30" s="10">
        <f>IF(Assumptions!$B$61=0,0,IF(Assumptions!$B$61=1,X13-W13,X13-V13))</f>
        <v/>
      </c>
      <c r="Y30" s="10">
        <f>IF(Assumptions!$B$61=0,0,IF(Assumptions!$B$61=1,Y13-X13,Y13-W13))</f>
        <v/>
      </c>
      <c r="Z30" s="10">
        <f>IF(Assumptions!$B$61=0,0,IF(Assumptions!$B$61=1,Z13-Y13,Z13-X13))</f>
        <v/>
      </c>
      <c r="AA30" s="10">
        <f>IF(Assumptions!$B$61=0,0,IF(Assumptions!$B$61=1,AA13-Z13,AA13-Y13))</f>
        <v/>
      </c>
      <c r="AB30" s="10">
        <f>IF(Assumptions!$B$61=0,0,IF(Assumptions!$B$61=1,AB13-AA13,AB13-Z13))</f>
        <v/>
      </c>
      <c r="AC30" s="10">
        <f>IF(Assumptions!$B$61=0,0,IF(Assumptions!$B$61=1,AC13-AB13,AC13-AA13))</f>
        <v/>
      </c>
      <c r="AD30" s="10">
        <f>IF(Assumptions!$B$61=0,0,IF(Assumptions!$B$61=1,AD13-AC13,AD13-AB13))</f>
        <v/>
      </c>
      <c r="AE30" s="10">
        <f>IF(Assumptions!$B$61=0,0,IF(Assumptions!$B$61=1,AE13-AD13,AE13-AC13))</f>
        <v/>
      </c>
      <c r="AF30" s="10">
        <f>IF(Assumptions!$B$61=0,0,IF(Assumptions!$B$61=1,AF13-AE13,AF13-AD13))</f>
        <v/>
      </c>
      <c r="AG30" s="10">
        <f>IF(Assumptions!$B$61=0,0,IF(Assumptions!$B$61=1,AG13-AF13,AG13-AE13))</f>
        <v/>
      </c>
      <c r="AH30" s="10">
        <f>IF(Assumptions!$B$61=0,0,IF(Assumptions!$B$61=1,AH13-AG13,AH13-AF13))</f>
        <v/>
      </c>
      <c r="AI30" s="10">
        <f>IF(Assumptions!$B$61=0,0,IF(Assumptions!$B$61=1,AI13-AH13,AI13-AG13))</f>
        <v/>
      </c>
      <c r="AJ30" s="10">
        <f>IF(Assumptions!$B$61=0,0,IF(Assumptions!$B$61=1,AJ13-AI13,AJ13-AH13))</f>
        <v/>
      </c>
      <c r="AK30" s="10">
        <f>IF(Assumptions!$B$61=0,0,IF(Assumptions!$B$61=1,AK13-AJ13,AK13-AI13))</f>
        <v/>
      </c>
      <c r="AL30" s="10">
        <f>IF(Assumptions!$B$61=0,0,IF(Assumptions!$B$61=1,AL13-AK13,AL13-AJ13))</f>
        <v/>
      </c>
      <c r="AM30" s="10">
        <f>IF(Assumptions!$B$61=0,0,IF(Assumptions!$B$61=1,AM13-AL13,AM13-AK13))</f>
        <v/>
      </c>
      <c r="AN30" s="10">
        <f>IF(Assumptions!$B$61=0,0,IF(Assumptions!$B$61=1,AN13-AM13,AN13-AL13))</f>
        <v/>
      </c>
      <c r="AO30" s="10">
        <f>IF(Assumptions!$B$61=0,0,IF(Assumptions!$B$61=1,AO13-AN13,AO13-AM13))</f>
        <v/>
      </c>
      <c r="AP30" s="10">
        <f>IF(Assumptions!$B$61=0,0,IF(Assumptions!$B$61=1,AP13-AO13,AP13-AN13))</f>
        <v/>
      </c>
      <c r="AQ30" s="10">
        <f>IF(Assumptions!$B$61=0,0,IF(Assumptions!$B$61=1,AQ13-AP13,AQ13-AO13))</f>
        <v/>
      </c>
      <c r="AR30" s="10">
        <f>IF(Assumptions!$B$61=0,0,IF(Assumptions!$B$61=1,AR13-AQ13,AR13-AP13))</f>
        <v/>
      </c>
      <c r="AS30" s="10">
        <f>IF(Assumptions!$B$61=0,0,IF(Assumptions!$B$61=1,AS13-AR13,AS13-AQ13))</f>
        <v/>
      </c>
      <c r="AT30" s="10">
        <f>IF(Assumptions!$B$61=0,0,IF(Assumptions!$B$61=1,AT13-AS13,AT13-AR13))</f>
        <v/>
      </c>
      <c r="AU30" s="10">
        <f>IF(Assumptions!$B$61=0,0,IF(Assumptions!$B$61=1,AU13-AT13,AU13-AS13))</f>
        <v/>
      </c>
      <c r="AV30" s="10">
        <f>IF(Assumptions!$B$61=0,0,IF(Assumptions!$B$61=1,AV13-AU13,AV13-AT13))</f>
        <v/>
      </c>
      <c r="AW30" s="10">
        <f>IF(Assumptions!$B$61=0,0,IF(Assumptions!$B$61=1,AW13-AV13,AW13-AU13))</f>
        <v/>
      </c>
      <c r="AX30" s="10">
        <f>IF(Assumptions!$B$61=0,0,IF(Assumptions!$B$61=1,AX13-AW13,AX13-AV13))</f>
        <v/>
      </c>
      <c r="AY30" s="10">
        <f>IF(Assumptions!$B$61=0,0,IF(Assumptions!$B$61=1,AY13-AX13,AY13-AW13))</f>
        <v/>
      </c>
      <c r="AZ30" s="10">
        <f>IF(Assumptions!$B$61=0,0,IF(Assumptions!$B$61=1,AZ13-AY13,AZ13-AX13))</f>
        <v/>
      </c>
      <c r="BA30" s="10">
        <f>IF(Assumptions!$B$61=0,0,IF(Assumptions!$B$61=1,BA13-AZ13,BA13-AY13))</f>
        <v/>
      </c>
      <c r="BB30" s="10">
        <f>IF(Assumptions!$B$61=0,0,IF(Assumptions!$B$61=1,BB13-BA13,BB13-AZ13))</f>
        <v/>
      </c>
      <c r="BC30" s="10">
        <f>IF(Assumptions!$B$61=0,0,IF(Assumptions!$B$61=1,BC13-BB13,BC13-BA13))</f>
        <v/>
      </c>
      <c r="BD30" s="10">
        <f>IF(Assumptions!$B$61=0,0,IF(Assumptions!$B$61=1,BD13-BC13,BD13-BB13))</f>
        <v/>
      </c>
      <c r="BE30" s="10">
        <f>IF(Assumptions!$B$61=0,0,IF(Assumptions!$B$61=1,BE13-BD13,BE13-BC13))</f>
        <v/>
      </c>
      <c r="BF30" s="10">
        <f>IF(Assumptions!$B$61=0,0,IF(Assumptions!$B$61=1,BF13-BE13,BF13-BD13))</f>
        <v/>
      </c>
      <c r="BG30" s="10">
        <f>IF(Assumptions!$B$61=0,0,IF(Assumptions!$B$61=1,BG13-BF13,BG13-BE13))</f>
        <v/>
      </c>
      <c r="BH30" s="10">
        <f>IF(Assumptions!$B$61=0,0,IF(Assumptions!$B$61=1,BH13-BG13,BH13-BF13))</f>
        <v/>
      </c>
      <c r="BI30" s="10">
        <f>IF(Assumptions!$B$61=0,0,IF(Assumptions!$B$61=1,BI13-BH13,BI13-BG13))</f>
        <v/>
      </c>
      <c r="BJ30" s="10">
        <f>IF(Assumptions!$B$61=0,0,IF(Assumptions!$B$61=1,BJ13-BI13,BJ13-BH13))</f>
        <v/>
      </c>
    </row>
    <row r="31">
      <c r="A31" s="4" t="inlineStr">
        <is>
          <t>Founding Member launch window open: Nigeria</t>
        </is>
      </c>
      <c r="B31" s="17" t="inlineStr">
        <is>
          <t>flag</t>
        </is>
      </c>
      <c r="C31" s="10">
        <f>IF(Assumptions!$B$61=0,0,IF(Assumptions!$B$61=1,C15-0,C15-0))</f>
        <v/>
      </c>
      <c r="D31" s="10">
        <f>IF(Assumptions!$B$61=0,0,IF(Assumptions!$B$61=1,D15-C15,D15-0))</f>
        <v/>
      </c>
      <c r="E31" s="10">
        <f>IF(Assumptions!$B$61=0,0,IF(Assumptions!$B$61=1,E15-D15,E15-C15))</f>
        <v/>
      </c>
      <c r="F31" s="10">
        <f>IF(Assumptions!$B$61=0,0,IF(Assumptions!$B$61=1,F15-E15,F15-D15))</f>
        <v/>
      </c>
      <c r="G31" s="10">
        <f>IF(Assumptions!$B$61=0,0,IF(Assumptions!$B$61=1,G15-F15,G15-E15))</f>
        <v/>
      </c>
      <c r="H31" s="10">
        <f>IF(Assumptions!$B$61=0,0,IF(Assumptions!$B$61=1,H15-G15,H15-F15))</f>
        <v/>
      </c>
      <c r="I31" s="10">
        <f>IF(Assumptions!$B$61=0,0,IF(Assumptions!$B$61=1,I15-H15,I15-G15))</f>
        <v/>
      </c>
      <c r="J31" s="10">
        <f>IF(Assumptions!$B$61=0,0,IF(Assumptions!$B$61=1,J15-I15,J15-H15))</f>
        <v/>
      </c>
      <c r="K31" s="10">
        <f>IF(Assumptions!$B$61=0,0,IF(Assumptions!$B$61=1,K15-J15,K15-I15))</f>
        <v/>
      </c>
      <c r="L31" s="10">
        <f>IF(Assumptions!$B$61=0,0,IF(Assumptions!$B$61=1,L15-K15,L15-J15))</f>
        <v/>
      </c>
      <c r="M31" s="10">
        <f>IF(Assumptions!$B$61=0,0,IF(Assumptions!$B$61=1,M15-L15,M15-K15))</f>
        <v/>
      </c>
      <c r="N31" s="10">
        <f>IF(Assumptions!$B$61=0,0,IF(Assumptions!$B$61=1,N15-M15,N15-L15))</f>
        <v/>
      </c>
      <c r="O31" s="10">
        <f>IF(Assumptions!$B$61=0,0,IF(Assumptions!$B$61=1,O15-N15,O15-M15))</f>
        <v/>
      </c>
      <c r="P31" s="10">
        <f>IF(Assumptions!$B$61=0,0,IF(Assumptions!$B$61=1,P15-O15,P15-N15))</f>
        <v/>
      </c>
      <c r="Q31" s="10">
        <f>IF(Assumptions!$B$61=0,0,IF(Assumptions!$B$61=1,Q15-P15,Q15-O15))</f>
        <v/>
      </c>
      <c r="R31" s="10">
        <f>IF(Assumptions!$B$61=0,0,IF(Assumptions!$B$61=1,R15-Q15,R15-P15))</f>
        <v/>
      </c>
      <c r="S31" s="10">
        <f>IF(Assumptions!$B$61=0,0,IF(Assumptions!$B$61=1,S15-R15,S15-Q15))</f>
        <v/>
      </c>
      <c r="T31" s="10">
        <f>IF(Assumptions!$B$61=0,0,IF(Assumptions!$B$61=1,T15-S15,T15-R15))</f>
        <v/>
      </c>
      <c r="U31" s="10">
        <f>IF(Assumptions!$B$61=0,0,IF(Assumptions!$B$61=1,U15-T15,U15-S15))</f>
        <v/>
      </c>
      <c r="V31" s="10">
        <f>IF(Assumptions!$B$61=0,0,IF(Assumptions!$B$61=1,V15-U15,V15-T15))</f>
        <v/>
      </c>
      <c r="W31" s="10">
        <f>IF(Assumptions!$B$61=0,0,IF(Assumptions!$B$61=1,W15-V15,W15-U15))</f>
        <v/>
      </c>
      <c r="X31" s="10">
        <f>IF(Assumptions!$B$61=0,0,IF(Assumptions!$B$61=1,X15-W15,X15-V15))</f>
        <v/>
      </c>
      <c r="Y31" s="10">
        <f>IF(Assumptions!$B$61=0,0,IF(Assumptions!$B$61=1,Y15-X15,Y15-W15))</f>
        <v/>
      </c>
      <c r="Z31" s="10">
        <f>IF(Assumptions!$B$61=0,0,IF(Assumptions!$B$61=1,Z15-Y15,Z15-X15))</f>
        <v/>
      </c>
      <c r="AA31" s="10">
        <f>IF(Assumptions!$B$61=0,0,IF(Assumptions!$B$61=1,AA15-Z15,AA15-Y15))</f>
        <v/>
      </c>
      <c r="AB31" s="10">
        <f>IF(Assumptions!$B$61=0,0,IF(Assumptions!$B$61=1,AB15-AA15,AB15-Z15))</f>
        <v/>
      </c>
      <c r="AC31" s="10">
        <f>IF(Assumptions!$B$61=0,0,IF(Assumptions!$B$61=1,AC15-AB15,AC15-AA15))</f>
        <v/>
      </c>
      <c r="AD31" s="10">
        <f>IF(Assumptions!$B$61=0,0,IF(Assumptions!$B$61=1,AD15-AC15,AD15-AB15))</f>
        <v/>
      </c>
      <c r="AE31" s="10">
        <f>IF(Assumptions!$B$61=0,0,IF(Assumptions!$B$61=1,AE15-AD15,AE15-AC15))</f>
        <v/>
      </c>
      <c r="AF31" s="10">
        <f>IF(Assumptions!$B$61=0,0,IF(Assumptions!$B$61=1,AF15-AE15,AF15-AD15))</f>
        <v/>
      </c>
      <c r="AG31" s="10">
        <f>IF(Assumptions!$B$61=0,0,IF(Assumptions!$B$61=1,AG15-AF15,AG15-AE15))</f>
        <v/>
      </c>
      <c r="AH31" s="10">
        <f>IF(Assumptions!$B$61=0,0,IF(Assumptions!$B$61=1,AH15-AG15,AH15-AF15))</f>
        <v/>
      </c>
      <c r="AI31" s="10">
        <f>IF(Assumptions!$B$61=0,0,IF(Assumptions!$B$61=1,AI15-AH15,AI15-AG15))</f>
        <v/>
      </c>
      <c r="AJ31" s="10">
        <f>IF(Assumptions!$B$61=0,0,IF(Assumptions!$B$61=1,AJ15-AI15,AJ15-AH15))</f>
        <v/>
      </c>
      <c r="AK31" s="10">
        <f>IF(Assumptions!$B$61=0,0,IF(Assumptions!$B$61=1,AK15-AJ15,AK15-AI15))</f>
        <v/>
      </c>
      <c r="AL31" s="10">
        <f>IF(Assumptions!$B$61=0,0,IF(Assumptions!$B$61=1,AL15-AK15,AL15-AJ15))</f>
        <v/>
      </c>
      <c r="AM31" s="10">
        <f>IF(Assumptions!$B$61=0,0,IF(Assumptions!$B$61=1,AM15-AL15,AM15-AK15))</f>
        <v/>
      </c>
      <c r="AN31" s="10">
        <f>IF(Assumptions!$B$61=0,0,IF(Assumptions!$B$61=1,AN15-AM15,AN15-AL15))</f>
        <v/>
      </c>
      <c r="AO31" s="10">
        <f>IF(Assumptions!$B$61=0,0,IF(Assumptions!$B$61=1,AO15-AN15,AO15-AM15))</f>
        <v/>
      </c>
      <c r="AP31" s="10">
        <f>IF(Assumptions!$B$61=0,0,IF(Assumptions!$B$61=1,AP15-AO15,AP15-AN15))</f>
        <v/>
      </c>
      <c r="AQ31" s="10">
        <f>IF(Assumptions!$B$61=0,0,IF(Assumptions!$B$61=1,AQ15-AP15,AQ15-AO15))</f>
        <v/>
      </c>
      <c r="AR31" s="10">
        <f>IF(Assumptions!$B$61=0,0,IF(Assumptions!$B$61=1,AR15-AQ15,AR15-AP15))</f>
        <v/>
      </c>
      <c r="AS31" s="10">
        <f>IF(Assumptions!$B$61=0,0,IF(Assumptions!$B$61=1,AS15-AR15,AS15-AQ15))</f>
        <v/>
      </c>
      <c r="AT31" s="10">
        <f>IF(Assumptions!$B$61=0,0,IF(Assumptions!$B$61=1,AT15-AS15,AT15-AR15))</f>
        <v/>
      </c>
      <c r="AU31" s="10">
        <f>IF(Assumptions!$B$61=0,0,IF(Assumptions!$B$61=1,AU15-AT15,AU15-AS15))</f>
        <v/>
      </c>
      <c r="AV31" s="10">
        <f>IF(Assumptions!$B$61=0,0,IF(Assumptions!$B$61=1,AV15-AU15,AV15-AT15))</f>
        <v/>
      </c>
      <c r="AW31" s="10">
        <f>IF(Assumptions!$B$61=0,0,IF(Assumptions!$B$61=1,AW15-AV15,AW15-AU15))</f>
        <v/>
      </c>
      <c r="AX31" s="10">
        <f>IF(Assumptions!$B$61=0,0,IF(Assumptions!$B$61=1,AX15-AW15,AX15-AV15))</f>
        <v/>
      </c>
      <c r="AY31" s="10">
        <f>IF(Assumptions!$B$61=0,0,IF(Assumptions!$B$61=1,AY15-AX15,AY15-AW15))</f>
        <v/>
      </c>
      <c r="AZ31" s="10">
        <f>IF(Assumptions!$B$61=0,0,IF(Assumptions!$B$61=1,AZ15-AY15,AZ15-AX15))</f>
        <v/>
      </c>
      <c r="BA31" s="10">
        <f>IF(Assumptions!$B$61=0,0,IF(Assumptions!$B$61=1,BA15-AZ15,BA15-AY15))</f>
        <v/>
      </c>
      <c r="BB31" s="10">
        <f>IF(Assumptions!$B$61=0,0,IF(Assumptions!$B$61=1,BB15-BA15,BB15-AZ15))</f>
        <v/>
      </c>
      <c r="BC31" s="10">
        <f>IF(Assumptions!$B$61=0,0,IF(Assumptions!$B$61=1,BC15-BB15,BC15-BA15))</f>
        <v/>
      </c>
      <c r="BD31" s="10">
        <f>IF(Assumptions!$B$61=0,0,IF(Assumptions!$B$61=1,BD15-BC15,BD15-BB15))</f>
        <v/>
      </c>
      <c r="BE31" s="10">
        <f>IF(Assumptions!$B$61=0,0,IF(Assumptions!$B$61=1,BE15-BD15,BE15-BC15))</f>
        <v/>
      </c>
      <c r="BF31" s="10">
        <f>IF(Assumptions!$B$61=0,0,IF(Assumptions!$B$61=1,BF15-BE15,BF15-BD15))</f>
        <v/>
      </c>
      <c r="BG31" s="10">
        <f>IF(Assumptions!$B$61=0,0,IF(Assumptions!$B$61=1,BG15-BF15,BG15-BE15))</f>
        <v/>
      </c>
      <c r="BH31" s="10">
        <f>IF(Assumptions!$B$61=0,0,IF(Assumptions!$B$61=1,BH15-BG15,BH15-BF15))</f>
        <v/>
      </c>
      <c r="BI31" s="10">
        <f>IF(Assumptions!$B$61=0,0,IF(Assumptions!$B$61=1,BI15-BH15,BI15-BG15))</f>
        <v/>
      </c>
      <c r="BJ31" s="10">
        <f>IF(Assumptions!$B$61=0,0,IF(Assumptions!$B$61=1,BJ15-BI15,BJ15-BH15))</f>
        <v/>
      </c>
    </row>
    <row r="32">
      <c r="A32" s="4" t="inlineStr">
        <is>
          <t>Founding Member launch window open: Kenya</t>
        </is>
      </c>
      <c r="B32" s="17" t="inlineStr">
        <is>
          <t>flag</t>
        </is>
      </c>
      <c r="C32" s="10">
        <f>IF(Assumptions!$B$61=0,0,IF(Assumptions!$B$61=1,C17-0,C17-0))</f>
        <v/>
      </c>
      <c r="D32" s="10">
        <f>IF(Assumptions!$B$61=0,0,IF(Assumptions!$B$61=1,D17-C17,D17-0))</f>
        <v/>
      </c>
      <c r="E32" s="10">
        <f>IF(Assumptions!$B$61=0,0,IF(Assumptions!$B$61=1,E17-D17,E17-C17))</f>
        <v/>
      </c>
      <c r="F32" s="10">
        <f>IF(Assumptions!$B$61=0,0,IF(Assumptions!$B$61=1,F17-E17,F17-D17))</f>
        <v/>
      </c>
      <c r="G32" s="10">
        <f>IF(Assumptions!$B$61=0,0,IF(Assumptions!$B$61=1,G17-F17,G17-E17))</f>
        <v/>
      </c>
      <c r="H32" s="10">
        <f>IF(Assumptions!$B$61=0,0,IF(Assumptions!$B$61=1,H17-G17,H17-F17))</f>
        <v/>
      </c>
      <c r="I32" s="10">
        <f>IF(Assumptions!$B$61=0,0,IF(Assumptions!$B$61=1,I17-H17,I17-G17))</f>
        <v/>
      </c>
      <c r="J32" s="10">
        <f>IF(Assumptions!$B$61=0,0,IF(Assumptions!$B$61=1,J17-I17,J17-H17))</f>
        <v/>
      </c>
      <c r="K32" s="10">
        <f>IF(Assumptions!$B$61=0,0,IF(Assumptions!$B$61=1,K17-J17,K17-I17))</f>
        <v/>
      </c>
      <c r="L32" s="10">
        <f>IF(Assumptions!$B$61=0,0,IF(Assumptions!$B$61=1,L17-K17,L17-J17))</f>
        <v/>
      </c>
      <c r="M32" s="10">
        <f>IF(Assumptions!$B$61=0,0,IF(Assumptions!$B$61=1,M17-L17,M17-K17))</f>
        <v/>
      </c>
      <c r="N32" s="10">
        <f>IF(Assumptions!$B$61=0,0,IF(Assumptions!$B$61=1,N17-M17,N17-L17))</f>
        <v/>
      </c>
      <c r="O32" s="10">
        <f>IF(Assumptions!$B$61=0,0,IF(Assumptions!$B$61=1,O17-N17,O17-M17))</f>
        <v/>
      </c>
      <c r="P32" s="10">
        <f>IF(Assumptions!$B$61=0,0,IF(Assumptions!$B$61=1,P17-O17,P17-N17))</f>
        <v/>
      </c>
      <c r="Q32" s="10">
        <f>IF(Assumptions!$B$61=0,0,IF(Assumptions!$B$61=1,Q17-P17,Q17-O17))</f>
        <v/>
      </c>
      <c r="R32" s="10">
        <f>IF(Assumptions!$B$61=0,0,IF(Assumptions!$B$61=1,R17-Q17,R17-P17))</f>
        <v/>
      </c>
      <c r="S32" s="10">
        <f>IF(Assumptions!$B$61=0,0,IF(Assumptions!$B$61=1,S17-R17,S17-Q17))</f>
        <v/>
      </c>
      <c r="T32" s="10">
        <f>IF(Assumptions!$B$61=0,0,IF(Assumptions!$B$61=1,T17-S17,T17-R17))</f>
        <v/>
      </c>
      <c r="U32" s="10">
        <f>IF(Assumptions!$B$61=0,0,IF(Assumptions!$B$61=1,U17-T17,U17-S17))</f>
        <v/>
      </c>
      <c r="V32" s="10">
        <f>IF(Assumptions!$B$61=0,0,IF(Assumptions!$B$61=1,V17-U17,V17-T17))</f>
        <v/>
      </c>
      <c r="W32" s="10">
        <f>IF(Assumptions!$B$61=0,0,IF(Assumptions!$B$61=1,W17-V17,W17-U17))</f>
        <v/>
      </c>
      <c r="X32" s="10">
        <f>IF(Assumptions!$B$61=0,0,IF(Assumptions!$B$61=1,X17-W17,X17-V17))</f>
        <v/>
      </c>
      <c r="Y32" s="10">
        <f>IF(Assumptions!$B$61=0,0,IF(Assumptions!$B$61=1,Y17-X17,Y17-W17))</f>
        <v/>
      </c>
      <c r="Z32" s="10">
        <f>IF(Assumptions!$B$61=0,0,IF(Assumptions!$B$61=1,Z17-Y17,Z17-X17))</f>
        <v/>
      </c>
      <c r="AA32" s="10">
        <f>IF(Assumptions!$B$61=0,0,IF(Assumptions!$B$61=1,AA17-Z17,AA17-Y17))</f>
        <v/>
      </c>
      <c r="AB32" s="10">
        <f>IF(Assumptions!$B$61=0,0,IF(Assumptions!$B$61=1,AB17-AA17,AB17-Z17))</f>
        <v/>
      </c>
      <c r="AC32" s="10">
        <f>IF(Assumptions!$B$61=0,0,IF(Assumptions!$B$61=1,AC17-AB17,AC17-AA17))</f>
        <v/>
      </c>
      <c r="AD32" s="10">
        <f>IF(Assumptions!$B$61=0,0,IF(Assumptions!$B$61=1,AD17-AC17,AD17-AB17))</f>
        <v/>
      </c>
      <c r="AE32" s="10">
        <f>IF(Assumptions!$B$61=0,0,IF(Assumptions!$B$61=1,AE17-AD17,AE17-AC17))</f>
        <v/>
      </c>
      <c r="AF32" s="10">
        <f>IF(Assumptions!$B$61=0,0,IF(Assumptions!$B$61=1,AF17-AE17,AF17-AD17))</f>
        <v/>
      </c>
      <c r="AG32" s="10">
        <f>IF(Assumptions!$B$61=0,0,IF(Assumptions!$B$61=1,AG17-AF17,AG17-AE17))</f>
        <v/>
      </c>
      <c r="AH32" s="10">
        <f>IF(Assumptions!$B$61=0,0,IF(Assumptions!$B$61=1,AH17-AG17,AH17-AF17))</f>
        <v/>
      </c>
      <c r="AI32" s="10">
        <f>IF(Assumptions!$B$61=0,0,IF(Assumptions!$B$61=1,AI17-AH17,AI17-AG17))</f>
        <v/>
      </c>
      <c r="AJ32" s="10">
        <f>IF(Assumptions!$B$61=0,0,IF(Assumptions!$B$61=1,AJ17-AI17,AJ17-AH17))</f>
        <v/>
      </c>
      <c r="AK32" s="10">
        <f>IF(Assumptions!$B$61=0,0,IF(Assumptions!$B$61=1,AK17-AJ17,AK17-AI17))</f>
        <v/>
      </c>
      <c r="AL32" s="10">
        <f>IF(Assumptions!$B$61=0,0,IF(Assumptions!$B$61=1,AL17-AK17,AL17-AJ17))</f>
        <v/>
      </c>
      <c r="AM32" s="10">
        <f>IF(Assumptions!$B$61=0,0,IF(Assumptions!$B$61=1,AM17-AL17,AM17-AK17))</f>
        <v/>
      </c>
      <c r="AN32" s="10">
        <f>IF(Assumptions!$B$61=0,0,IF(Assumptions!$B$61=1,AN17-AM17,AN17-AL17))</f>
        <v/>
      </c>
      <c r="AO32" s="10">
        <f>IF(Assumptions!$B$61=0,0,IF(Assumptions!$B$61=1,AO17-AN17,AO17-AM17))</f>
        <v/>
      </c>
      <c r="AP32" s="10">
        <f>IF(Assumptions!$B$61=0,0,IF(Assumptions!$B$61=1,AP17-AO17,AP17-AN17))</f>
        <v/>
      </c>
      <c r="AQ32" s="10">
        <f>IF(Assumptions!$B$61=0,0,IF(Assumptions!$B$61=1,AQ17-AP17,AQ17-AO17))</f>
        <v/>
      </c>
      <c r="AR32" s="10">
        <f>IF(Assumptions!$B$61=0,0,IF(Assumptions!$B$61=1,AR17-AQ17,AR17-AP17))</f>
        <v/>
      </c>
      <c r="AS32" s="10">
        <f>IF(Assumptions!$B$61=0,0,IF(Assumptions!$B$61=1,AS17-AR17,AS17-AQ17))</f>
        <v/>
      </c>
      <c r="AT32" s="10">
        <f>IF(Assumptions!$B$61=0,0,IF(Assumptions!$B$61=1,AT17-AS17,AT17-AR17))</f>
        <v/>
      </c>
      <c r="AU32" s="10">
        <f>IF(Assumptions!$B$61=0,0,IF(Assumptions!$B$61=1,AU17-AT17,AU17-AS17))</f>
        <v/>
      </c>
      <c r="AV32" s="10">
        <f>IF(Assumptions!$B$61=0,0,IF(Assumptions!$B$61=1,AV17-AU17,AV17-AT17))</f>
        <v/>
      </c>
      <c r="AW32" s="10">
        <f>IF(Assumptions!$B$61=0,0,IF(Assumptions!$B$61=1,AW17-AV17,AW17-AU17))</f>
        <v/>
      </c>
      <c r="AX32" s="10">
        <f>IF(Assumptions!$B$61=0,0,IF(Assumptions!$B$61=1,AX17-AW17,AX17-AV17))</f>
        <v/>
      </c>
      <c r="AY32" s="10">
        <f>IF(Assumptions!$B$61=0,0,IF(Assumptions!$B$61=1,AY17-AX17,AY17-AW17))</f>
        <v/>
      </c>
      <c r="AZ32" s="10">
        <f>IF(Assumptions!$B$61=0,0,IF(Assumptions!$B$61=1,AZ17-AY17,AZ17-AX17))</f>
        <v/>
      </c>
      <c r="BA32" s="10">
        <f>IF(Assumptions!$B$61=0,0,IF(Assumptions!$B$61=1,BA17-AZ17,BA17-AY17))</f>
        <v/>
      </c>
      <c r="BB32" s="10">
        <f>IF(Assumptions!$B$61=0,0,IF(Assumptions!$B$61=1,BB17-BA17,BB17-AZ17))</f>
        <v/>
      </c>
      <c r="BC32" s="10">
        <f>IF(Assumptions!$B$61=0,0,IF(Assumptions!$B$61=1,BC17-BB17,BC17-BA17))</f>
        <v/>
      </c>
      <c r="BD32" s="10">
        <f>IF(Assumptions!$B$61=0,0,IF(Assumptions!$B$61=1,BD17-BC17,BD17-BB17))</f>
        <v/>
      </c>
      <c r="BE32" s="10">
        <f>IF(Assumptions!$B$61=0,0,IF(Assumptions!$B$61=1,BE17-BD17,BE17-BC17))</f>
        <v/>
      </c>
      <c r="BF32" s="10">
        <f>IF(Assumptions!$B$61=0,0,IF(Assumptions!$B$61=1,BF17-BE17,BF17-BD17))</f>
        <v/>
      </c>
      <c r="BG32" s="10">
        <f>IF(Assumptions!$B$61=0,0,IF(Assumptions!$B$61=1,BG17-BF17,BG17-BE17))</f>
        <v/>
      </c>
      <c r="BH32" s="10">
        <f>IF(Assumptions!$B$61=0,0,IF(Assumptions!$B$61=1,BH17-BG17,BH17-BF17))</f>
        <v/>
      </c>
      <c r="BI32" s="10">
        <f>IF(Assumptions!$B$61=0,0,IF(Assumptions!$B$61=1,BI17-BH17,BI17-BG17))</f>
        <v/>
      </c>
      <c r="BJ32" s="10">
        <f>IF(Assumptions!$B$61=0,0,IF(Assumptions!$B$61=1,BJ17-BI17,BJ17-BH17))</f>
        <v/>
      </c>
    </row>
    <row r="33">
      <c r="A33" s="4" t="inlineStr">
        <is>
          <t>Founding Member launch window open: Ghana</t>
        </is>
      </c>
      <c r="B33" s="17" t="inlineStr">
        <is>
          <t>flag</t>
        </is>
      </c>
      <c r="C33" s="10">
        <f>IF(Assumptions!$B$61=0,0,IF(Assumptions!$B$61=1,C19-0,C19-0))</f>
        <v/>
      </c>
      <c r="D33" s="10">
        <f>IF(Assumptions!$B$61=0,0,IF(Assumptions!$B$61=1,D19-C19,D19-0))</f>
        <v/>
      </c>
      <c r="E33" s="10">
        <f>IF(Assumptions!$B$61=0,0,IF(Assumptions!$B$61=1,E19-D19,E19-C19))</f>
        <v/>
      </c>
      <c r="F33" s="10">
        <f>IF(Assumptions!$B$61=0,0,IF(Assumptions!$B$61=1,F19-E19,F19-D19))</f>
        <v/>
      </c>
      <c r="G33" s="10">
        <f>IF(Assumptions!$B$61=0,0,IF(Assumptions!$B$61=1,G19-F19,G19-E19))</f>
        <v/>
      </c>
      <c r="H33" s="10">
        <f>IF(Assumptions!$B$61=0,0,IF(Assumptions!$B$61=1,H19-G19,H19-F19))</f>
        <v/>
      </c>
      <c r="I33" s="10">
        <f>IF(Assumptions!$B$61=0,0,IF(Assumptions!$B$61=1,I19-H19,I19-G19))</f>
        <v/>
      </c>
      <c r="J33" s="10">
        <f>IF(Assumptions!$B$61=0,0,IF(Assumptions!$B$61=1,J19-I19,J19-H19))</f>
        <v/>
      </c>
      <c r="K33" s="10">
        <f>IF(Assumptions!$B$61=0,0,IF(Assumptions!$B$61=1,K19-J19,K19-I19))</f>
        <v/>
      </c>
      <c r="L33" s="10">
        <f>IF(Assumptions!$B$61=0,0,IF(Assumptions!$B$61=1,L19-K19,L19-J19))</f>
        <v/>
      </c>
      <c r="M33" s="10">
        <f>IF(Assumptions!$B$61=0,0,IF(Assumptions!$B$61=1,M19-L19,M19-K19))</f>
        <v/>
      </c>
      <c r="N33" s="10">
        <f>IF(Assumptions!$B$61=0,0,IF(Assumptions!$B$61=1,N19-M19,N19-L19))</f>
        <v/>
      </c>
      <c r="O33" s="10">
        <f>IF(Assumptions!$B$61=0,0,IF(Assumptions!$B$61=1,O19-N19,O19-M19))</f>
        <v/>
      </c>
      <c r="P33" s="10">
        <f>IF(Assumptions!$B$61=0,0,IF(Assumptions!$B$61=1,P19-O19,P19-N19))</f>
        <v/>
      </c>
      <c r="Q33" s="10">
        <f>IF(Assumptions!$B$61=0,0,IF(Assumptions!$B$61=1,Q19-P19,Q19-O19))</f>
        <v/>
      </c>
      <c r="R33" s="10">
        <f>IF(Assumptions!$B$61=0,0,IF(Assumptions!$B$61=1,R19-Q19,R19-P19))</f>
        <v/>
      </c>
      <c r="S33" s="10">
        <f>IF(Assumptions!$B$61=0,0,IF(Assumptions!$B$61=1,S19-R19,S19-Q19))</f>
        <v/>
      </c>
      <c r="T33" s="10">
        <f>IF(Assumptions!$B$61=0,0,IF(Assumptions!$B$61=1,T19-S19,T19-R19))</f>
        <v/>
      </c>
      <c r="U33" s="10">
        <f>IF(Assumptions!$B$61=0,0,IF(Assumptions!$B$61=1,U19-T19,U19-S19))</f>
        <v/>
      </c>
      <c r="V33" s="10">
        <f>IF(Assumptions!$B$61=0,0,IF(Assumptions!$B$61=1,V19-U19,V19-T19))</f>
        <v/>
      </c>
      <c r="W33" s="10">
        <f>IF(Assumptions!$B$61=0,0,IF(Assumptions!$B$61=1,W19-V19,W19-U19))</f>
        <v/>
      </c>
      <c r="X33" s="10">
        <f>IF(Assumptions!$B$61=0,0,IF(Assumptions!$B$61=1,X19-W19,X19-V19))</f>
        <v/>
      </c>
      <c r="Y33" s="10">
        <f>IF(Assumptions!$B$61=0,0,IF(Assumptions!$B$61=1,Y19-X19,Y19-W19))</f>
        <v/>
      </c>
      <c r="Z33" s="10">
        <f>IF(Assumptions!$B$61=0,0,IF(Assumptions!$B$61=1,Z19-Y19,Z19-X19))</f>
        <v/>
      </c>
      <c r="AA33" s="10">
        <f>IF(Assumptions!$B$61=0,0,IF(Assumptions!$B$61=1,AA19-Z19,AA19-Y19))</f>
        <v/>
      </c>
      <c r="AB33" s="10">
        <f>IF(Assumptions!$B$61=0,0,IF(Assumptions!$B$61=1,AB19-AA19,AB19-Z19))</f>
        <v/>
      </c>
      <c r="AC33" s="10">
        <f>IF(Assumptions!$B$61=0,0,IF(Assumptions!$B$61=1,AC19-AB19,AC19-AA19))</f>
        <v/>
      </c>
      <c r="AD33" s="10">
        <f>IF(Assumptions!$B$61=0,0,IF(Assumptions!$B$61=1,AD19-AC19,AD19-AB19))</f>
        <v/>
      </c>
      <c r="AE33" s="10">
        <f>IF(Assumptions!$B$61=0,0,IF(Assumptions!$B$61=1,AE19-AD19,AE19-AC19))</f>
        <v/>
      </c>
      <c r="AF33" s="10">
        <f>IF(Assumptions!$B$61=0,0,IF(Assumptions!$B$61=1,AF19-AE19,AF19-AD19))</f>
        <v/>
      </c>
      <c r="AG33" s="10">
        <f>IF(Assumptions!$B$61=0,0,IF(Assumptions!$B$61=1,AG19-AF19,AG19-AE19))</f>
        <v/>
      </c>
      <c r="AH33" s="10">
        <f>IF(Assumptions!$B$61=0,0,IF(Assumptions!$B$61=1,AH19-AG19,AH19-AF19))</f>
        <v/>
      </c>
      <c r="AI33" s="10">
        <f>IF(Assumptions!$B$61=0,0,IF(Assumptions!$B$61=1,AI19-AH19,AI19-AG19))</f>
        <v/>
      </c>
      <c r="AJ33" s="10">
        <f>IF(Assumptions!$B$61=0,0,IF(Assumptions!$B$61=1,AJ19-AI19,AJ19-AH19))</f>
        <v/>
      </c>
      <c r="AK33" s="10">
        <f>IF(Assumptions!$B$61=0,0,IF(Assumptions!$B$61=1,AK19-AJ19,AK19-AI19))</f>
        <v/>
      </c>
      <c r="AL33" s="10">
        <f>IF(Assumptions!$B$61=0,0,IF(Assumptions!$B$61=1,AL19-AK19,AL19-AJ19))</f>
        <v/>
      </c>
      <c r="AM33" s="10">
        <f>IF(Assumptions!$B$61=0,0,IF(Assumptions!$B$61=1,AM19-AL19,AM19-AK19))</f>
        <v/>
      </c>
      <c r="AN33" s="10">
        <f>IF(Assumptions!$B$61=0,0,IF(Assumptions!$B$61=1,AN19-AM19,AN19-AL19))</f>
        <v/>
      </c>
      <c r="AO33" s="10">
        <f>IF(Assumptions!$B$61=0,0,IF(Assumptions!$B$61=1,AO19-AN19,AO19-AM19))</f>
        <v/>
      </c>
      <c r="AP33" s="10">
        <f>IF(Assumptions!$B$61=0,0,IF(Assumptions!$B$61=1,AP19-AO19,AP19-AN19))</f>
        <v/>
      </c>
      <c r="AQ33" s="10">
        <f>IF(Assumptions!$B$61=0,0,IF(Assumptions!$B$61=1,AQ19-AP19,AQ19-AO19))</f>
        <v/>
      </c>
      <c r="AR33" s="10">
        <f>IF(Assumptions!$B$61=0,0,IF(Assumptions!$B$61=1,AR19-AQ19,AR19-AP19))</f>
        <v/>
      </c>
      <c r="AS33" s="10">
        <f>IF(Assumptions!$B$61=0,0,IF(Assumptions!$B$61=1,AS19-AR19,AS19-AQ19))</f>
        <v/>
      </c>
      <c r="AT33" s="10">
        <f>IF(Assumptions!$B$61=0,0,IF(Assumptions!$B$61=1,AT19-AS19,AT19-AR19))</f>
        <v/>
      </c>
      <c r="AU33" s="10">
        <f>IF(Assumptions!$B$61=0,0,IF(Assumptions!$B$61=1,AU19-AT19,AU19-AS19))</f>
        <v/>
      </c>
      <c r="AV33" s="10">
        <f>IF(Assumptions!$B$61=0,0,IF(Assumptions!$B$61=1,AV19-AU19,AV19-AT19))</f>
        <v/>
      </c>
      <c r="AW33" s="10">
        <f>IF(Assumptions!$B$61=0,0,IF(Assumptions!$B$61=1,AW19-AV19,AW19-AU19))</f>
        <v/>
      </c>
      <c r="AX33" s="10">
        <f>IF(Assumptions!$B$61=0,0,IF(Assumptions!$B$61=1,AX19-AW19,AX19-AV19))</f>
        <v/>
      </c>
      <c r="AY33" s="10">
        <f>IF(Assumptions!$B$61=0,0,IF(Assumptions!$B$61=1,AY19-AX19,AY19-AW19))</f>
        <v/>
      </c>
      <c r="AZ33" s="10">
        <f>IF(Assumptions!$B$61=0,0,IF(Assumptions!$B$61=1,AZ19-AY19,AZ19-AX19))</f>
        <v/>
      </c>
      <c r="BA33" s="10">
        <f>IF(Assumptions!$B$61=0,0,IF(Assumptions!$B$61=1,BA19-AZ19,BA19-AY19))</f>
        <v/>
      </c>
      <c r="BB33" s="10">
        <f>IF(Assumptions!$B$61=0,0,IF(Assumptions!$B$61=1,BB19-BA19,BB19-AZ19))</f>
        <v/>
      </c>
      <c r="BC33" s="10">
        <f>IF(Assumptions!$B$61=0,0,IF(Assumptions!$B$61=1,BC19-BB19,BC19-BA19))</f>
        <v/>
      </c>
      <c r="BD33" s="10">
        <f>IF(Assumptions!$B$61=0,0,IF(Assumptions!$B$61=1,BD19-BC19,BD19-BB19))</f>
        <v/>
      </c>
      <c r="BE33" s="10">
        <f>IF(Assumptions!$B$61=0,0,IF(Assumptions!$B$61=1,BE19-BD19,BE19-BC19))</f>
        <v/>
      </c>
      <c r="BF33" s="10">
        <f>IF(Assumptions!$B$61=0,0,IF(Assumptions!$B$61=1,BF19-BE19,BF19-BD19))</f>
        <v/>
      </c>
      <c r="BG33" s="10">
        <f>IF(Assumptions!$B$61=0,0,IF(Assumptions!$B$61=1,BG19-BF19,BG19-BE19))</f>
        <v/>
      </c>
      <c r="BH33" s="10">
        <f>IF(Assumptions!$B$61=0,0,IF(Assumptions!$B$61=1,BH19-BG19,BH19-BF19))</f>
        <v/>
      </c>
      <c r="BI33" s="10">
        <f>IF(Assumptions!$B$61=0,0,IF(Assumptions!$B$61=1,BI19-BH19,BI19-BG19))</f>
        <v/>
      </c>
      <c r="BJ33" s="10">
        <f>IF(Assumptions!$B$61=0,0,IF(Assumptions!$B$61=1,BJ19-BI19,BJ19-BH19))</f>
        <v/>
      </c>
    </row>
    <row r="34"/>
    <row r="35">
      <c r="A35" s="19" t="inlineStr">
        <is>
          <t>FX drift &amp; quarterly repricing (ZAR value of fixed local / USD price points; 1.000 = parity at Sept 2026 rates)</t>
        </is>
      </c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19" t="n"/>
      <c r="AS35" s="19" t="n"/>
      <c r="AT35" s="19" t="n"/>
      <c r="AU35" s="19" t="n"/>
      <c r="AV35" s="19" t="n"/>
      <c r="AW35" s="19" t="n"/>
      <c r="AX35" s="19" t="n"/>
      <c r="AY35" s="19" t="n"/>
      <c r="AZ35" s="19" t="n"/>
      <c r="BA35" s="19" t="n"/>
      <c r="BB35" s="19" t="n"/>
      <c r="BC35" s="19" t="n"/>
      <c r="BD35" s="19" t="n"/>
      <c r="BE35" s="19" t="n"/>
      <c r="BF35" s="19" t="n"/>
      <c r="BG35" s="19" t="n"/>
      <c r="BH35" s="19" t="n"/>
      <c r="BI35" s="19" t="n"/>
      <c r="BJ35" s="19" t="n"/>
    </row>
    <row r="36">
      <c r="A36" s="4" t="inlineStr">
        <is>
          <t>ZAR value of 1 unit of Nigeria currency (index)</t>
        </is>
      </c>
      <c r="B36" s="17" t="inlineStr">
        <is>
          <t>x</t>
        </is>
      </c>
      <c r="C36" s="36">
        <f>(1+Pricing!$B$22)^((C$3-1)/12)*IF(C$3&gt;=Assumptions!$B$42,1/(1+Assumptions!$B$41),1)</f>
        <v/>
      </c>
      <c r="D36" s="36">
        <f>(1+Pricing!$B$22)^((D$3-1)/12)*IF(D$3&gt;=Assumptions!$B$42,1/(1+Assumptions!$B$41),1)</f>
        <v/>
      </c>
      <c r="E36" s="36">
        <f>(1+Pricing!$B$22)^((E$3-1)/12)*IF(E$3&gt;=Assumptions!$B$42,1/(1+Assumptions!$B$41),1)</f>
        <v/>
      </c>
      <c r="F36" s="36">
        <f>(1+Pricing!$B$22)^((F$3-1)/12)*IF(F$3&gt;=Assumptions!$B$42,1/(1+Assumptions!$B$41),1)</f>
        <v/>
      </c>
      <c r="G36" s="36">
        <f>(1+Pricing!$B$22)^((G$3-1)/12)*IF(G$3&gt;=Assumptions!$B$42,1/(1+Assumptions!$B$41),1)</f>
        <v/>
      </c>
      <c r="H36" s="36">
        <f>(1+Pricing!$B$22)^((H$3-1)/12)*IF(H$3&gt;=Assumptions!$B$42,1/(1+Assumptions!$B$41),1)</f>
        <v/>
      </c>
      <c r="I36" s="36">
        <f>(1+Pricing!$B$22)^((I$3-1)/12)*IF(I$3&gt;=Assumptions!$B$42,1/(1+Assumptions!$B$41),1)</f>
        <v/>
      </c>
      <c r="J36" s="36">
        <f>(1+Pricing!$B$22)^((J$3-1)/12)*IF(J$3&gt;=Assumptions!$B$42,1/(1+Assumptions!$B$41),1)</f>
        <v/>
      </c>
      <c r="K36" s="36">
        <f>(1+Pricing!$B$22)^((K$3-1)/12)*IF(K$3&gt;=Assumptions!$B$42,1/(1+Assumptions!$B$41),1)</f>
        <v/>
      </c>
      <c r="L36" s="36">
        <f>(1+Pricing!$B$22)^((L$3-1)/12)*IF(L$3&gt;=Assumptions!$B$42,1/(1+Assumptions!$B$41),1)</f>
        <v/>
      </c>
      <c r="M36" s="36">
        <f>(1+Pricing!$B$22)^((M$3-1)/12)*IF(M$3&gt;=Assumptions!$B$42,1/(1+Assumptions!$B$41),1)</f>
        <v/>
      </c>
      <c r="N36" s="36">
        <f>(1+Pricing!$B$22)^((N$3-1)/12)*IF(N$3&gt;=Assumptions!$B$42,1/(1+Assumptions!$B$41),1)</f>
        <v/>
      </c>
      <c r="O36" s="36">
        <f>(1+Pricing!$B$22)^((O$3-1)/12)*IF(O$3&gt;=Assumptions!$B$42,1/(1+Assumptions!$B$41),1)</f>
        <v/>
      </c>
      <c r="P36" s="36">
        <f>(1+Pricing!$B$22)^((P$3-1)/12)*IF(P$3&gt;=Assumptions!$B$42,1/(1+Assumptions!$B$41),1)</f>
        <v/>
      </c>
      <c r="Q36" s="36">
        <f>(1+Pricing!$B$22)^((Q$3-1)/12)*IF(Q$3&gt;=Assumptions!$B$42,1/(1+Assumptions!$B$41),1)</f>
        <v/>
      </c>
      <c r="R36" s="36">
        <f>(1+Pricing!$B$22)^((R$3-1)/12)*IF(R$3&gt;=Assumptions!$B$42,1/(1+Assumptions!$B$41),1)</f>
        <v/>
      </c>
      <c r="S36" s="36">
        <f>(1+Pricing!$B$22)^((S$3-1)/12)*IF(S$3&gt;=Assumptions!$B$42,1/(1+Assumptions!$B$41),1)</f>
        <v/>
      </c>
      <c r="T36" s="36">
        <f>(1+Pricing!$B$22)^((T$3-1)/12)*IF(T$3&gt;=Assumptions!$B$42,1/(1+Assumptions!$B$41),1)</f>
        <v/>
      </c>
      <c r="U36" s="36">
        <f>(1+Pricing!$B$22)^((U$3-1)/12)*IF(U$3&gt;=Assumptions!$B$42,1/(1+Assumptions!$B$41),1)</f>
        <v/>
      </c>
      <c r="V36" s="36">
        <f>(1+Pricing!$B$22)^((V$3-1)/12)*IF(V$3&gt;=Assumptions!$B$42,1/(1+Assumptions!$B$41),1)</f>
        <v/>
      </c>
      <c r="W36" s="36">
        <f>(1+Pricing!$B$22)^((W$3-1)/12)*IF(W$3&gt;=Assumptions!$B$42,1/(1+Assumptions!$B$41),1)</f>
        <v/>
      </c>
      <c r="X36" s="36">
        <f>(1+Pricing!$B$22)^((X$3-1)/12)*IF(X$3&gt;=Assumptions!$B$42,1/(1+Assumptions!$B$41),1)</f>
        <v/>
      </c>
      <c r="Y36" s="36">
        <f>(1+Pricing!$B$22)^((Y$3-1)/12)*IF(Y$3&gt;=Assumptions!$B$42,1/(1+Assumptions!$B$41),1)</f>
        <v/>
      </c>
      <c r="Z36" s="36">
        <f>(1+Pricing!$B$22)^((Z$3-1)/12)*IF(Z$3&gt;=Assumptions!$B$42,1/(1+Assumptions!$B$41),1)</f>
        <v/>
      </c>
      <c r="AA36" s="36">
        <f>(1+Pricing!$B$22)^((AA$3-1)/12)*IF(AA$3&gt;=Assumptions!$B$42,1/(1+Assumptions!$B$41),1)</f>
        <v/>
      </c>
      <c r="AB36" s="36">
        <f>(1+Pricing!$B$22)^((AB$3-1)/12)*IF(AB$3&gt;=Assumptions!$B$42,1/(1+Assumptions!$B$41),1)</f>
        <v/>
      </c>
      <c r="AC36" s="36">
        <f>(1+Pricing!$B$22)^((AC$3-1)/12)*IF(AC$3&gt;=Assumptions!$B$42,1/(1+Assumptions!$B$41),1)</f>
        <v/>
      </c>
      <c r="AD36" s="36">
        <f>(1+Pricing!$B$22)^((AD$3-1)/12)*IF(AD$3&gt;=Assumptions!$B$42,1/(1+Assumptions!$B$41),1)</f>
        <v/>
      </c>
      <c r="AE36" s="36">
        <f>(1+Pricing!$B$22)^((AE$3-1)/12)*IF(AE$3&gt;=Assumptions!$B$42,1/(1+Assumptions!$B$41),1)</f>
        <v/>
      </c>
      <c r="AF36" s="36">
        <f>(1+Pricing!$B$22)^((AF$3-1)/12)*IF(AF$3&gt;=Assumptions!$B$42,1/(1+Assumptions!$B$41),1)</f>
        <v/>
      </c>
      <c r="AG36" s="36">
        <f>(1+Pricing!$B$22)^((AG$3-1)/12)*IF(AG$3&gt;=Assumptions!$B$42,1/(1+Assumptions!$B$41),1)</f>
        <v/>
      </c>
      <c r="AH36" s="36">
        <f>(1+Pricing!$B$22)^((AH$3-1)/12)*IF(AH$3&gt;=Assumptions!$B$42,1/(1+Assumptions!$B$41),1)</f>
        <v/>
      </c>
      <c r="AI36" s="36">
        <f>(1+Pricing!$B$22)^((AI$3-1)/12)*IF(AI$3&gt;=Assumptions!$B$42,1/(1+Assumptions!$B$41),1)</f>
        <v/>
      </c>
      <c r="AJ36" s="36">
        <f>(1+Pricing!$B$22)^((AJ$3-1)/12)*IF(AJ$3&gt;=Assumptions!$B$42,1/(1+Assumptions!$B$41),1)</f>
        <v/>
      </c>
      <c r="AK36" s="36">
        <f>(1+Pricing!$B$22)^((AK$3-1)/12)*IF(AK$3&gt;=Assumptions!$B$42,1/(1+Assumptions!$B$41),1)</f>
        <v/>
      </c>
      <c r="AL36" s="36">
        <f>(1+Pricing!$B$22)^((AL$3-1)/12)*IF(AL$3&gt;=Assumptions!$B$42,1/(1+Assumptions!$B$41),1)</f>
        <v/>
      </c>
      <c r="AM36" s="36">
        <f>(1+Pricing!$B$22)^((AM$3-1)/12)*IF(AM$3&gt;=Assumptions!$B$42,1/(1+Assumptions!$B$41),1)</f>
        <v/>
      </c>
      <c r="AN36" s="36">
        <f>(1+Pricing!$B$22)^((AN$3-1)/12)*IF(AN$3&gt;=Assumptions!$B$42,1/(1+Assumptions!$B$41),1)</f>
        <v/>
      </c>
      <c r="AO36" s="36">
        <f>(1+Pricing!$B$22)^((AO$3-1)/12)*IF(AO$3&gt;=Assumptions!$B$42,1/(1+Assumptions!$B$41),1)</f>
        <v/>
      </c>
      <c r="AP36" s="36">
        <f>(1+Pricing!$B$22)^((AP$3-1)/12)*IF(AP$3&gt;=Assumptions!$B$42,1/(1+Assumptions!$B$41),1)</f>
        <v/>
      </c>
      <c r="AQ36" s="36">
        <f>(1+Pricing!$B$22)^((AQ$3-1)/12)*IF(AQ$3&gt;=Assumptions!$B$42,1/(1+Assumptions!$B$41),1)</f>
        <v/>
      </c>
      <c r="AR36" s="36">
        <f>(1+Pricing!$B$22)^((AR$3-1)/12)*IF(AR$3&gt;=Assumptions!$B$42,1/(1+Assumptions!$B$41),1)</f>
        <v/>
      </c>
      <c r="AS36" s="36">
        <f>(1+Pricing!$B$22)^((AS$3-1)/12)*IF(AS$3&gt;=Assumptions!$B$42,1/(1+Assumptions!$B$41),1)</f>
        <v/>
      </c>
      <c r="AT36" s="36">
        <f>(1+Pricing!$B$22)^((AT$3-1)/12)*IF(AT$3&gt;=Assumptions!$B$42,1/(1+Assumptions!$B$41),1)</f>
        <v/>
      </c>
      <c r="AU36" s="36">
        <f>(1+Pricing!$B$22)^((AU$3-1)/12)*IF(AU$3&gt;=Assumptions!$B$42,1/(1+Assumptions!$B$41),1)</f>
        <v/>
      </c>
      <c r="AV36" s="36">
        <f>(1+Pricing!$B$22)^((AV$3-1)/12)*IF(AV$3&gt;=Assumptions!$B$42,1/(1+Assumptions!$B$41),1)</f>
        <v/>
      </c>
      <c r="AW36" s="36">
        <f>(1+Pricing!$B$22)^((AW$3-1)/12)*IF(AW$3&gt;=Assumptions!$B$42,1/(1+Assumptions!$B$41),1)</f>
        <v/>
      </c>
      <c r="AX36" s="36">
        <f>(1+Pricing!$B$22)^((AX$3-1)/12)*IF(AX$3&gt;=Assumptions!$B$42,1/(1+Assumptions!$B$41),1)</f>
        <v/>
      </c>
      <c r="AY36" s="36">
        <f>(1+Pricing!$B$22)^((AY$3-1)/12)*IF(AY$3&gt;=Assumptions!$B$42,1/(1+Assumptions!$B$41),1)</f>
        <v/>
      </c>
      <c r="AZ36" s="36">
        <f>(1+Pricing!$B$22)^((AZ$3-1)/12)*IF(AZ$3&gt;=Assumptions!$B$42,1/(1+Assumptions!$B$41),1)</f>
        <v/>
      </c>
      <c r="BA36" s="36">
        <f>(1+Pricing!$B$22)^((BA$3-1)/12)*IF(BA$3&gt;=Assumptions!$B$42,1/(1+Assumptions!$B$41),1)</f>
        <v/>
      </c>
      <c r="BB36" s="36">
        <f>(1+Pricing!$B$22)^((BB$3-1)/12)*IF(BB$3&gt;=Assumptions!$B$42,1/(1+Assumptions!$B$41),1)</f>
        <v/>
      </c>
      <c r="BC36" s="36">
        <f>(1+Pricing!$B$22)^((BC$3-1)/12)*IF(BC$3&gt;=Assumptions!$B$42,1/(1+Assumptions!$B$41),1)</f>
        <v/>
      </c>
      <c r="BD36" s="36">
        <f>(1+Pricing!$B$22)^((BD$3-1)/12)*IF(BD$3&gt;=Assumptions!$B$42,1/(1+Assumptions!$B$41),1)</f>
        <v/>
      </c>
      <c r="BE36" s="36">
        <f>(1+Pricing!$B$22)^((BE$3-1)/12)*IF(BE$3&gt;=Assumptions!$B$42,1/(1+Assumptions!$B$41),1)</f>
        <v/>
      </c>
      <c r="BF36" s="36">
        <f>(1+Pricing!$B$22)^((BF$3-1)/12)*IF(BF$3&gt;=Assumptions!$B$42,1/(1+Assumptions!$B$41),1)</f>
        <v/>
      </c>
      <c r="BG36" s="36">
        <f>(1+Pricing!$B$22)^((BG$3-1)/12)*IF(BG$3&gt;=Assumptions!$B$42,1/(1+Assumptions!$B$41),1)</f>
        <v/>
      </c>
      <c r="BH36" s="36">
        <f>(1+Pricing!$B$22)^((BH$3-1)/12)*IF(BH$3&gt;=Assumptions!$B$42,1/(1+Assumptions!$B$41),1)</f>
        <v/>
      </c>
      <c r="BI36" s="36">
        <f>(1+Pricing!$B$22)^((BI$3-1)/12)*IF(BI$3&gt;=Assumptions!$B$42,1/(1+Assumptions!$B$41),1)</f>
        <v/>
      </c>
      <c r="BJ36" s="36">
        <f>(1+Pricing!$B$22)^((BJ$3-1)/12)*IF(BJ$3&gt;=Assumptions!$B$42,1/(1+Assumptions!$B$41),1)</f>
        <v/>
      </c>
    </row>
    <row r="37">
      <c r="A37" s="4" t="inlineStr">
        <is>
          <t>Local price level after repricing: Nigeria</t>
        </is>
      </c>
      <c r="B37" s="17" t="inlineStr">
        <is>
          <t>x</t>
        </is>
      </c>
      <c r="C37" s="36">
        <f>1</f>
        <v/>
      </c>
      <c r="D37" s="36">
        <f>C37</f>
        <v/>
      </c>
      <c r="E37" s="36">
        <f>D37</f>
        <v/>
      </c>
      <c r="F37" s="36">
        <f>IF(AND(Pricing!$B$27=1,MOD(F$3-1,3)=0,ABS(E37*C36-1)&gt;Pricing!$B$26),1/C36,E37)</f>
        <v/>
      </c>
      <c r="G37" s="36">
        <f>IF(AND(Pricing!$B$27=1,MOD(G$3-1,3)=0,ABS(F37*D36-1)&gt;Pricing!$B$26),1/D36,F37)</f>
        <v/>
      </c>
      <c r="H37" s="36">
        <f>IF(AND(Pricing!$B$27=1,MOD(H$3-1,3)=0,ABS(G37*E36-1)&gt;Pricing!$B$26),1/E36,G37)</f>
        <v/>
      </c>
      <c r="I37" s="36">
        <f>IF(AND(Pricing!$B$27=1,MOD(I$3-1,3)=0,ABS(H37*F36-1)&gt;Pricing!$B$26),1/F36,H37)</f>
        <v/>
      </c>
      <c r="J37" s="36">
        <f>IF(AND(Pricing!$B$27=1,MOD(J$3-1,3)=0,ABS(I37*G36-1)&gt;Pricing!$B$26),1/G36,I37)</f>
        <v/>
      </c>
      <c r="K37" s="36">
        <f>IF(AND(Pricing!$B$27=1,MOD(K$3-1,3)=0,ABS(J37*H36-1)&gt;Pricing!$B$26),1/H36,J37)</f>
        <v/>
      </c>
      <c r="L37" s="36">
        <f>IF(AND(Pricing!$B$27=1,MOD(L$3-1,3)=0,ABS(K37*I36-1)&gt;Pricing!$B$26),1/I36,K37)</f>
        <v/>
      </c>
      <c r="M37" s="36">
        <f>IF(AND(Pricing!$B$27=1,MOD(M$3-1,3)=0,ABS(L37*J36-1)&gt;Pricing!$B$26),1/J36,L37)</f>
        <v/>
      </c>
      <c r="N37" s="36">
        <f>IF(AND(Pricing!$B$27=1,MOD(N$3-1,3)=0,ABS(M37*K36-1)&gt;Pricing!$B$26),1/K36,M37)</f>
        <v/>
      </c>
      <c r="O37" s="36">
        <f>IF(AND(Pricing!$B$27=1,MOD(O$3-1,3)=0,ABS(N37*L36-1)&gt;Pricing!$B$26),1/L36,N37)</f>
        <v/>
      </c>
      <c r="P37" s="36">
        <f>IF(AND(Pricing!$B$27=1,MOD(P$3-1,3)=0,ABS(O37*M36-1)&gt;Pricing!$B$26),1/M36,O37)</f>
        <v/>
      </c>
      <c r="Q37" s="36">
        <f>IF(AND(Pricing!$B$27=1,MOD(Q$3-1,3)=0,ABS(P37*N36-1)&gt;Pricing!$B$26),1/N36,P37)</f>
        <v/>
      </c>
      <c r="R37" s="36">
        <f>IF(AND(Pricing!$B$27=1,MOD(R$3-1,3)=0,ABS(Q37*O36-1)&gt;Pricing!$B$26),1/O36,Q37)</f>
        <v/>
      </c>
      <c r="S37" s="36">
        <f>IF(AND(Pricing!$B$27=1,MOD(S$3-1,3)=0,ABS(R37*P36-1)&gt;Pricing!$B$26),1/P36,R37)</f>
        <v/>
      </c>
      <c r="T37" s="36">
        <f>IF(AND(Pricing!$B$27=1,MOD(T$3-1,3)=0,ABS(S37*Q36-1)&gt;Pricing!$B$26),1/Q36,S37)</f>
        <v/>
      </c>
      <c r="U37" s="36">
        <f>IF(AND(Pricing!$B$27=1,MOD(U$3-1,3)=0,ABS(T37*R36-1)&gt;Pricing!$B$26),1/R36,T37)</f>
        <v/>
      </c>
      <c r="V37" s="36">
        <f>IF(AND(Pricing!$B$27=1,MOD(V$3-1,3)=0,ABS(U37*S36-1)&gt;Pricing!$B$26),1/S36,U37)</f>
        <v/>
      </c>
      <c r="W37" s="36">
        <f>IF(AND(Pricing!$B$27=1,MOD(W$3-1,3)=0,ABS(V37*T36-1)&gt;Pricing!$B$26),1/T36,V37)</f>
        <v/>
      </c>
      <c r="X37" s="36">
        <f>IF(AND(Pricing!$B$27=1,MOD(X$3-1,3)=0,ABS(W37*U36-1)&gt;Pricing!$B$26),1/U36,W37)</f>
        <v/>
      </c>
      <c r="Y37" s="36">
        <f>IF(AND(Pricing!$B$27=1,MOD(Y$3-1,3)=0,ABS(X37*V36-1)&gt;Pricing!$B$26),1/V36,X37)</f>
        <v/>
      </c>
      <c r="Z37" s="36">
        <f>IF(AND(Pricing!$B$27=1,MOD(Z$3-1,3)=0,ABS(Y37*W36-1)&gt;Pricing!$B$26),1/W36,Y37)</f>
        <v/>
      </c>
      <c r="AA37" s="36">
        <f>IF(AND(Pricing!$B$27=1,MOD(AA$3-1,3)=0,ABS(Z37*X36-1)&gt;Pricing!$B$26),1/X36,Z37)</f>
        <v/>
      </c>
      <c r="AB37" s="36">
        <f>IF(AND(Pricing!$B$27=1,MOD(AB$3-1,3)=0,ABS(AA37*Y36-1)&gt;Pricing!$B$26),1/Y36,AA37)</f>
        <v/>
      </c>
      <c r="AC37" s="36">
        <f>IF(AND(Pricing!$B$27=1,MOD(AC$3-1,3)=0,ABS(AB37*Z36-1)&gt;Pricing!$B$26),1/Z36,AB37)</f>
        <v/>
      </c>
      <c r="AD37" s="36">
        <f>IF(AND(Pricing!$B$27=1,MOD(AD$3-1,3)=0,ABS(AC37*AA36-1)&gt;Pricing!$B$26),1/AA36,AC37)</f>
        <v/>
      </c>
      <c r="AE37" s="36">
        <f>IF(AND(Pricing!$B$27=1,MOD(AE$3-1,3)=0,ABS(AD37*AB36-1)&gt;Pricing!$B$26),1/AB36,AD37)</f>
        <v/>
      </c>
      <c r="AF37" s="36">
        <f>IF(AND(Pricing!$B$27=1,MOD(AF$3-1,3)=0,ABS(AE37*AC36-1)&gt;Pricing!$B$26),1/AC36,AE37)</f>
        <v/>
      </c>
      <c r="AG37" s="36">
        <f>IF(AND(Pricing!$B$27=1,MOD(AG$3-1,3)=0,ABS(AF37*AD36-1)&gt;Pricing!$B$26),1/AD36,AF37)</f>
        <v/>
      </c>
      <c r="AH37" s="36">
        <f>IF(AND(Pricing!$B$27=1,MOD(AH$3-1,3)=0,ABS(AG37*AE36-1)&gt;Pricing!$B$26),1/AE36,AG37)</f>
        <v/>
      </c>
      <c r="AI37" s="36">
        <f>IF(AND(Pricing!$B$27=1,MOD(AI$3-1,3)=0,ABS(AH37*AF36-1)&gt;Pricing!$B$26),1/AF36,AH37)</f>
        <v/>
      </c>
      <c r="AJ37" s="36">
        <f>IF(AND(Pricing!$B$27=1,MOD(AJ$3-1,3)=0,ABS(AI37*AG36-1)&gt;Pricing!$B$26),1/AG36,AI37)</f>
        <v/>
      </c>
      <c r="AK37" s="36">
        <f>IF(AND(Pricing!$B$27=1,MOD(AK$3-1,3)=0,ABS(AJ37*AH36-1)&gt;Pricing!$B$26),1/AH36,AJ37)</f>
        <v/>
      </c>
      <c r="AL37" s="36">
        <f>IF(AND(Pricing!$B$27=1,MOD(AL$3-1,3)=0,ABS(AK37*AI36-1)&gt;Pricing!$B$26),1/AI36,AK37)</f>
        <v/>
      </c>
      <c r="AM37" s="36">
        <f>IF(AND(Pricing!$B$27=1,MOD(AM$3-1,3)=0,ABS(AL37*AJ36-1)&gt;Pricing!$B$26),1/AJ36,AL37)</f>
        <v/>
      </c>
      <c r="AN37" s="36">
        <f>IF(AND(Pricing!$B$27=1,MOD(AN$3-1,3)=0,ABS(AM37*AK36-1)&gt;Pricing!$B$26),1/AK36,AM37)</f>
        <v/>
      </c>
      <c r="AO37" s="36">
        <f>IF(AND(Pricing!$B$27=1,MOD(AO$3-1,3)=0,ABS(AN37*AL36-1)&gt;Pricing!$B$26),1/AL36,AN37)</f>
        <v/>
      </c>
      <c r="AP37" s="36">
        <f>IF(AND(Pricing!$B$27=1,MOD(AP$3-1,3)=0,ABS(AO37*AM36-1)&gt;Pricing!$B$26),1/AM36,AO37)</f>
        <v/>
      </c>
      <c r="AQ37" s="36">
        <f>IF(AND(Pricing!$B$27=1,MOD(AQ$3-1,3)=0,ABS(AP37*AN36-1)&gt;Pricing!$B$26),1/AN36,AP37)</f>
        <v/>
      </c>
      <c r="AR37" s="36">
        <f>IF(AND(Pricing!$B$27=1,MOD(AR$3-1,3)=0,ABS(AQ37*AO36-1)&gt;Pricing!$B$26),1/AO36,AQ37)</f>
        <v/>
      </c>
      <c r="AS37" s="36">
        <f>IF(AND(Pricing!$B$27=1,MOD(AS$3-1,3)=0,ABS(AR37*AP36-1)&gt;Pricing!$B$26),1/AP36,AR37)</f>
        <v/>
      </c>
      <c r="AT37" s="36">
        <f>IF(AND(Pricing!$B$27=1,MOD(AT$3-1,3)=0,ABS(AS37*AQ36-1)&gt;Pricing!$B$26),1/AQ36,AS37)</f>
        <v/>
      </c>
      <c r="AU37" s="36">
        <f>IF(AND(Pricing!$B$27=1,MOD(AU$3-1,3)=0,ABS(AT37*AR36-1)&gt;Pricing!$B$26),1/AR36,AT37)</f>
        <v/>
      </c>
      <c r="AV37" s="36">
        <f>IF(AND(Pricing!$B$27=1,MOD(AV$3-1,3)=0,ABS(AU37*AS36-1)&gt;Pricing!$B$26),1/AS36,AU37)</f>
        <v/>
      </c>
      <c r="AW37" s="36">
        <f>IF(AND(Pricing!$B$27=1,MOD(AW$3-1,3)=0,ABS(AV37*AT36-1)&gt;Pricing!$B$26),1/AT36,AV37)</f>
        <v/>
      </c>
      <c r="AX37" s="36">
        <f>IF(AND(Pricing!$B$27=1,MOD(AX$3-1,3)=0,ABS(AW37*AU36-1)&gt;Pricing!$B$26),1/AU36,AW37)</f>
        <v/>
      </c>
      <c r="AY37" s="36">
        <f>IF(AND(Pricing!$B$27=1,MOD(AY$3-1,3)=0,ABS(AX37*AV36-1)&gt;Pricing!$B$26),1/AV36,AX37)</f>
        <v/>
      </c>
      <c r="AZ37" s="36">
        <f>IF(AND(Pricing!$B$27=1,MOD(AZ$3-1,3)=0,ABS(AY37*AW36-1)&gt;Pricing!$B$26),1/AW36,AY37)</f>
        <v/>
      </c>
      <c r="BA37" s="36">
        <f>IF(AND(Pricing!$B$27=1,MOD(BA$3-1,3)=0,ABS(AZ37*AX36-1)&gt;Pricing!$B$26),1/AX36,AZ37)</f>
        <v/>
      </c>
      <c r="BB37" s="36">
        <f>IF(AND(Pricing!$B$27=1,MOD(BB$3-1,3)=0,ABS(BA37*AY36-1)&gt;Pricing!$B$26),1/AY36,BA37)</f>
        <v/>
      </c>
      <c r="BC37" s="36">
        <f>IF(AND(Pricing!$B$27=1,MOD(BC$3-1,3)=0,ABS(BB37*AZ36-1)&gt;Pricing!$B$26),1/AZ36,BB37)</f>
        <v/>
      </c>
      <c r="BD37" s="36">
        <f>IF(AND(Pricing!$B$27=1,MOD(BD$3-1,3)=0,ABS(BC37*BA36-1)&gt;Pricing!$B$26),1/BA36,BC37)</f>
        <v/>
      </c>
      <c r="BE37" s="36">
        <f>IF(AND(Pricing!$B$27=1,MOD(BE$3-1,3)=0,ABS(BD37*BB36-1)&gt;Pricing!$B$26),1/BB36,BD37)</f>
        <v/>
      </c>
      <c r="BF37" s="36">
        <f>IF(AND(Pricing!$B$27=1,MOD(BF$3-1,3)=0,ABS(BE37*BC36-1)&gt;Pricing!$B$26),1/BC36,BE37)</f>
        <v/>
      </c>
      <c r="BG37" s="36">
        <f>IF(AND(Pricing!$B$27=1,MOD(BG$3-1,3)=0,ABS(BF37*BD36-1)&gt;Pricing!$B$26),1/BD36,BF37)</f>
        <v/>
      </c>
      <c r="BH37" s="36">
        <f>IF(AND(Pricing!$B$27=1,MOD(BH$3-1,3)=0,ABS(BG37*BE36-1)&gt;Pricing!$B$26),1/BE36,BG37)</f>
        <v/>
      </c>
      <c r="BI37" s="36">
        <f>IF(AND(Pricing!$B$27=1,MOD(BI$3-1,3)=0,ABS(BH37*BF36-1)&gt;Pricing!$B$26),1/BF36,BH37)</f>
        <v/>
      </c>
      <c r="BJ37" s="36">
        <f>IF(AND(Pricing!$B$27=1,MOD(BJ$3-1,3)=0,ABS(BI37*BG36-1)&gt;Pricing!$B$26),1/BG36,BI37)</f>
        <v/>
      </c>
    </row>
    <row r="38">
      <c r="A38" s="4" t="inlineStr">
        <is>
          <t>ZAR value factor of local prices: Nigeria</t>
        </is>
      </c>
      <c r="B38" s="17" t="inlineStr">
        <is>
          <t>x</t>
        </is>
      </c>
      <c r="C38" s="36">
        <f>C37*C36</f>
        <v/>
      </c>
      <c r="D38" s="36">
        <f>D37*D36</f>
        <v/>
      </c>
      <c r="E38" s="36">
        <f>E37*E36</f>
        <v/>
      </c>
      <c r="F38" s="36">
        <f>F37*F36</f>
        <v/>
      </c>
      <c r="G38" s="36">
        <f>G37*G36</f>
        <v/>
      </c>
      <c r="H38" s="36">
        <f>H37*H36</f>
        <v/>
      </c>
      <c r="I38" s="36">
        <f>I37*I36</f>
        <v/>
      </c>
      <c r="J38" s="36">
        <f>J37*J36</f>
        <v/>
      </c>
      <c r="K38" s="36">
        <f>K37*K36</f>
        <v/>
      </c>
      <c r="L38" s="36">
        <f>L37*L36</f>
        <v/>
      </c>
      <c r="M38" s="36">
        <f>M37*M36</f>
        <v/>
      </c>
      <c r="N38" s="36">
        <f>N37*N36</f>
        <v/>
      </c>
      <c r="O38" s="36">
        <f>O37*O36</f>
        <v/>
      </c>
      <c r="P38" s="36">
        <f>P37*P36</f>
        <v/>
      </c>
      <c r="Q38" s="36">
        <f>Q37*Q36</f>
        <v/>
      </c>
      <c r="R38" s="36">
        <f>R37*R36</f>
        <v/>
      </c>
      <c r="S38" s="36">
        <f>S37*S36</f>
        <v/>
      </c>
      <c r="T38" s="36">
        <f>T37*T36</f>
        <v/>
      </c>
      <c r="U38" s="36">
        <f>U37*U36</f>
        <v/>
      </c>
      <c r="V38" s="36">
        <f>V37*V36</f>
        <v/>
      </c>
      <c r="W38" s="36">
        <f>W37*W36</f>
        <v/>
      </c>
      <c r="X38" s="36">
        <f>X37*X36</f>
        <v/>
      </c>
      <c r="Y38" s="36">
        <f>Y37*Y36</f>
        <v/>
      </c>
      <c r="Z38" s="36">
        <f>Z37*Z36</f>
        <v/>
      </c>
      <c r="AA38" s="36">
        <f>AA37*AA36</f>
        <v/>
      </c>
      <c r="AB38" s="36">
        <f>AB37*AB36</f>
        <v/>
      </c>
      <c r="AC38" s="36">
        <f>AC37*AC36</f>
        <v/>
      </c>
      <c r="AD38" s="36">
        <f>AD37*AD36</f>
        <v/>
      </c>
      <c r="AE38" s="36">
        <f>AE37*AE36</f>
        <v/>
      </c>
      <c r="AF38" s="36">
        <f>AF37*AF36</f>
        <v/>
      </c>
      <c r="AG38" s="36">
        <f>AG37*AG36</f>
        <v/>
      </c>
      <c r="AH38" s="36">
        <f>AH37*AH36</f>
        <v/>
      </c>
      <c r="AI38" s="36">
        <f>AI37*AI36</f>
        <v/>
      </c>
      <c r="AJ38" s="36">
        <f>AJ37*AJ36</f>
        <v/>
      </c>
      <c r="AK38" s="36">
        <f>AK37*AK36</f>
        <v/>
      </c>
      <c r="AL38" s="36">
        <f>AL37*AL36</f>
        <v/>
      </c>
      <c r="AM38" s="36">
        <f>AM37*AM36</f>
        <v/>
      </c>
      <c r="AN38" s="36">
        <f>AN37*AN36</f>
        <v/>
      </c>
      <c r="AO38" s="36">
        <f>AO37*AO36</f>
        <v/>
      </c>
      <c r="AP38" s="36">
        <f>AP37*AP36</f>
        <v/>
      </c>
      <c r="AQ38" s="36">
        <f>AQ37*AQ36</f>
        <v/>
      </c>
      <c r="AR38" s="36">
        <f>AR37*AR36</f>
        <v/>
      </c>
      <c r="AS38" s="36">
        <f>AS37*AS36</f>
        <v/>
      </c>
      <c r="AT38" s="36">
        <f>AT37*AT36</f>
        <v/>
      </c>
      <c r="AU38" s="36">
        <f>AU37*AU36</f>
        <v/>
      </c>
      <c r="AV38" s="36">
        <f>AV37*AV36</f>
        <v/>
      </c>
      <c r="AW38" s="36">
        <f>AW37*AW36</f>
        <v/>
      </c>
      <c r="AX38" s="36">
        <f>AX37*AX36</f>
        <v/>
      </c>
      <c r="AY38" s="36">
        <f>AY37*AY36</f>
        <v/>
      </c>
      <c r="AZ38" s="36">
        <f>AZ37*AZ36</f>
        <v/>
      </c>
      <c r="BA38" s="36">
        <f>BA37*BA36</f>
        <v/>
      </c>
      <c r="BB38" s="36">
        <f>BB37*BB36</f>
        <v/>
      </c>
      <c r="BC38" s="36">
        <f>BC37*BC36</f>
        <v/>
      </c>
      <c r="BD38" s="36">
        <f>BD37*BD36</f>
        <v/>
      </c>
      <c r="BE38" s="36">
        <f>BE37*BE36</f>
        <v/>
      </c>
      <c r="BF38" s="36">
        <f>BF37*BF36</f>
        <v/>
      </c>
      <c r="BG38" s="36">
        <f>BG37*BG36</f>
        <v/>
      </c>
      <c r="BH38" s="36">
        <f>BH37*BH36</f>
        <v/>
      </c>
      <c r="BI38" s="36">
        <f>BI37*BI36</f>
        <v/>
      </c>
      <c r="BJ38" s="36">
        <f>BJ37*BJ36</f>
        <v/>
      </c>
    </row>
    <row r="39">
      <c r="A39" s="4" t="inlineStr">
        <is>
          <t>ZAR value of 1 unit of Kenya currency (index)</t>
        </is>
      </c>
      <c r="B39" s="17" t="inlineStr">
        <is>
          <t>x</t>
        </is>
      </c>
      <c r="C39" s="36">
        <f>(1+Pricing!$B$23)^((C$3-1)/12)*IF(C$3&gt;=Assumptions!$B$42,1/(1+Assumptions!$B$41),1)</f>
        <v/>
      </c>
      <c r="D39" s="36">
        <f>(1+Pricing!$B$23)^((D$3-1)/12)*IF(D$3&gt;=Assumptions!$B$42,1/(1+Assumptions!$B$41),1)</f>
        <v/>
      </c>
      <c r="E39" s="36">
        <f>(1+Pricing!$B$23)^((E$3-1)/12)*IF(E$3&gt;=Assumptions!$B$42,1/(1+Assumptions!$B$41),1)</f>
        <v/>
      </c>
      <c r="F39" s="36">
        <f>(1+Pricing!$B$23)^((F$3-1)/12)*IF(F$3&gt;=Assumptions!$B$42,1/(1+Assumptions!$B$41),1)</f>
        <v/>
      </c>
      <c r="G39" s="36">
        <f>(1+Pricing!$B$23)^((G$3-1)/12)*IF(G$3&gt;=Assumptions!$B$42,1/(1+Assumptions!$B$41),1)</f>
        <v/>
      </c>
      <c r="H39" s="36">
        <f>(1+Pricing!$B$23)^((H$3-1)/12)*IF(H$3&gt;=Assumptions!$B$42,1/(1+Assumptions!$B$41),1)</f>
        <v/>
      </c>
      <c r="I39" s="36">
        <f>(1+Pricing!$B$23)^((I$3-1)/12)*IF(I$3&gt;=Assumptions!$B$42,1/(1+Assumptions!$B$41),1)</f>
        <v/>
      </c>
      <c r="J39" s="36">
        <f>(1+Pricing!$B$23)^((J$3-1)/12)*IF(J$3&gt;=Assumptions!$B$42,1/(1+Assumptions!$B$41),1)</f>
        <v/>
      </c>
      <c r="K39" s="36">
        <f>(1+Pricing!$B$23)^((K$3-1)/12)*IF(K$3&gt;=Assumptions!$B$42,1/(1+Assumptions!$B$41),1)</f>
        <v/>
      </c>
      <c r="L39" s="36">
        <f>(1+Pricing!$B$23)^((L$3-1)/12)*IF(L$3&gt;=Assumptions!$B$42,1/(1+Assumptions!$B$41),1)</f>
        <v/>
      </c>
      <c r="M39" s="36">
        <f>(1+Pricing!$B$23)^((M$3-1)/12)*IF(M$3&gt;=Assumptions!$B$42,1/(1+Assumptions!$B$41),1)</f>
        <v/>
      </c>
      <c r="N39" s="36">
        <f>(1+Pricing!$B$23)^((N$3-1)/12)*IF(N$3&gt;=Assumptions!$B$42,1/(1+Assumptions!$B$41),1)</f>
        <v/>
      </c>
      <c r="O39" s="36">
        <f>(1+Pricing!$B$23)^((O$3-1)/12)*IF(O$3&gt;=Assumptions!$B$42,1/(1+Assumptions!$B$41),1)</f>
        <v/>
      </c>
      <c r="P39" s="36">
        <f>(1+Pricing!$B$23)^((P$3-1)/12)*IF(P$3&gt;=Assumptions!$B$42,1/(1+Assumptions!$B$41),1)</f>
        <v/>
      </c>
      <c r="Q39" s="36">
        <f>(1+Pricing!$B$23)^((Q$3-1)/12)*IF(Q$3&gt;=Assumptions!$B$42,1/(1+Assumptions!$B$41),1)</f>
        <v/>
      </c>
      <c r="R39" s="36">
        <f>(1+Pricing!$B$23)^((R$3-1)/12)*IF(R$3&gt;=Assumptions!$B$42,1/(1+Assumptions!$B$41),1)</f>
        <v/>
      </c>
      <c r="S39" s="36">
        <f>(1+Pricing!$B$23)^((S$3-1)/12)*IF(S$3&gt;=Assumptions!$B$42,1/(1+Assumptions!$B$41),1)</f>
        <v/>
      </c>
      <c r="T39" s="36">
        <f>(1+Pricing!$B$23)^((T$3-1)/12)*IF(T$3&gt;=Assumptions!$B$42,1/(1+Assumptions!$B$41),1)</f>
        <v/>
      </c>
      <c r="U39" s="36">
        <f>(1+Pricing!$B$23)^((U$3-1)/12)*IF(U$3&gt;=Assumptions!$B$42,1/(1+Assumptions!$B$41),1)</f>
        <v/>
      </c>
      <c r="V39" s="36">
        <f>(1+Pricing!$B$23)^((V$3-1)/12)*IF(V$3&gt;=Assumptions!$B$42,1/(1+Assumptions!$B$41),1)</f>
        <v/>
      </c>
      <c r="W39" s="36">
        <f>(1+Pricing!$B$23)^((W$3-1)/12)*IF(W$3&gt;=Assumptions!$B$42,1/(1+Assumptions!$B$41),1)</f>
        <v/>
      </c>
      <c r="X39" s="36">
        <f>(1+Pricing!$B$23)^((X$3-1)/12)*IF(X$3&gt;=Assumptions!$B$42,1/(1+Assumptions!$B$41),1)</f>
        <v/>
      </c>
      <c r="Y39" s="36">
        <f>(1+Pricing!$B$23)^((Y$3-1)/12)*IF(Y$3&gt;=Assumptions!$B$42,1/(1+Assumptions!$B$41),1)</f>
        <v/>
      </c>
      <c r="Z39" s="36">
        <f>(1+Pricing!$B$23)^((Z$3-1)/12)*IF(Z$3&gt;=Assumptions!$B$42,1/(1+Assumptions!$B$41),1)</f>
        <v/>
      </c>
      <c r="AA39" s="36">
        <f>(1+Pricing!$B$23)^((AA$3-1)/12)*IF(AA$3&gt;=Assumptions!$B$42,1/(1+Assumptions!$B$41),1)</f>
        <v/>
      </c>
      <c r="AB39" s="36">
        <f>(1+Pricing!$B$23)^((AB$3-1)/12)*IF(AB$3&gt;=Assumptions!$B$42,1/(1+Assumptions!$B$41),1)</f>
        <v/>
      </c>
      <c r="AC39" s="36">
        <f>(1+Pricing!$B$23)^((AC$3-1)/12)*IF(AC$3&gt;=Assumptions!$B$42,1/(1+Assumptions!$B$41),1)</f>
        <v/>
      </c>
      <c r="AD39" s="36">
        <f>(1+Pricing!$B$23)^((AD$3-1)/12)*IF(AD$3&gt;=Assumptions!$B$42,1/(1+Assumptions!$B$41),1)</f>
        <v/>
      </c>
      <c r="AE39" s="36">
        <f>(1+Pricing!$B$23)^((AE$3-1)/12)*IF(AE$3&gt;=Assumptions!$B$42,1/(1+Assumptions!$B$41),1)</f>
        <v/>
      </c>
      <c r="AF39" s="36">
        <f>(1+Pricing!$B$23)^((AF$3-1)/12)*IF(AF$3&gt;=Assumptions!$B$42,1/(1+Assumptions!$B$41),1)</f>
        <v/>
      </c>
      <c r="AG39" s="36">
        <f>(1+Pricing!$B$23)^((AG$3-1)/12)*IF(AG$3&gt;=Assumptions!$B$42,1/(1+Assumptions!$B$41),1)</f>
        <v/>
      </c>
      <c r="AH39" s="36">
        <f>(1+Pricing!$B$23)^((AH$3-1)/12)*IF(AH$3&gt;=Assumptions!$B$42,1/(1+Assumptions!$B$41),1)</f>
        <v/>
      </c>
      <c r="AI39" s="36">
        <f>(1+Pricing!$B$23)^((AI$3-1)/12)*IF(AI$3&gt;=Assumptions!$B$42,1/(1+Assumptions!$B$41),1)</f>
        <v/>
      </c>
      <c r="AJ39" s="36">
        <f>(1+Pricing!$B$23)^((AJ$3-1)/12)*IF(AJ$3&gt;=Assumptions!$B$42,1/(1+Assumptions!$B$41),1)</f>
        <v/>
      </c>
      <c r="AK39" s="36">
        <f>(1+Pricing!$B$23)^((AK$3-1)/12)*IF(AK$3&gt;=Assumptions!$B$42,1/(1+Assumptions!$B$41),1)</f>
        <v/>
      </c>
      <c r="AL39" s="36">
        <f>(1+Pricing!$B$23)^((AL$3-1)/12)*IF(AL$3&gt;=Assumptions!$B$42,1/(1+Assumptions!$B$41),1)</f>
        <v/>
      </c>
      <c r="AM39" s="36">
        <f>(1+Pricing!$B$23)^((AM$3-1)/12)*IF(AM$3&gt;=Assumptions!$B$42,1/(1+Assumptions!$B$41),1)</f>
        <v/>
      </c>
      <c r="AN39" s="36">
        <f>(1+Pricing!$B$23)^((AN$3-1)/12)*IF(AN$3&gt;=Assumptions!$B$42,1/(1+Assumptions!$B$41),1)</f>
        <v/>
      </c>
      <c r="AO39" s="36">
        <f>(1+Pricing!$B$23)^((AO$3-1)/12)*IF(AO$3&gt;=Assumptions!$B$42,1/(1+Assumptions!$B$41),1)</f>
        <v/>
      </c>
      <c r="AP39" s="36">
        <f>(1+Pricing!$B$23)^((AP$3-1)/12)*IF(AP$3&gt;=Assumptions!$B$42,1/(1+Assumptions!$B$41),1)</f>
        <v/>
      </c>
      <c r="AQ39" s="36">
        <f>(1+Pricing!$B$23)^((AQ$3-1)/12)*IF(AQ$3&gt;=Assumptions!$B$42,1/(1+Assumptions!$B$41),1)</f>
        <v/>
      </c>
      <c r="AR39" s="36">
        <f>(1+Pricing!$B$23)^((AR$3-1)/12)*IF(AR$3&gt;=Assumptions!$B$42,1/(1+Assumptions!$B$41),1)</f>
        <v/>
      </c>
      <c r="AS39" s="36">
        <f>(1+Pricing!$B$23)^((AS$3-1)/12)*IF(AS$3&gt;=Assumptions!$B$42,1/(1+Assumptions!$B$41),1)</f>
        <v/>
      </c>
      <c r="AT39" s="36">
        <f>(1+Pricing!$B$23)^((AT$3-1)/12)*IF(AT$3&gt;=Assumptions!$B$42,1/(1+Assumptions!$B$41),1)</f>
        <v/>
      </c>
      <c r="AU39" s="36">
        <f>(1+Pricing!$B$23)^((AU$3-1)/12)*IF(AU$3&gt;=Assumptions!$B$42,1/(1+Assumptions!$B$41),1)</f>
        <v/>
      </c>
      <c r="AV39" s="36">
        <f>(1+Pricing!$B$23)^((AV$3-1)/12)*IF(AV$3&gt;=Assumptions!$B$42,1/(1+Assumptions!$B$41),1)</f>
        <v/>
      </c>
      <c r="AW39" s="36">
        <f>(1+Pricing!$B$23)^((AW$3-1)/12)*IF(AW$3&gt;=Assumptions!$B$42,1/(1+Assumptions!$B$41),1)</f>
        <v/>
      </c>
      <c r="AX39" s="36">
        <f>(1+Pricing!$B$23)^((AX$3-1)/12)*IF(AX$3&gt;=Assumptions!$B$42,1/(1+Assumptions!$B$41),1)</f>
        <v/>
      </c>
      <c r="AY39" s="36">
        <f>(1+Pricing!$B$23)^((AY$3-1)/12)*IF(AY$3&gt;=Assumptions!$B$42,1/(1+Assumptions!$B$41),1)</f>
        <v/>
      </c>
      <c r="AZ39" s="36">
        <f>(1+Pricing!$B$23)^((AZ$3-1)/12)*IF(AZ$3&gt;=Assumptions!$B$42,1/(1+Assumptions!$B$41),1)</f>
        <v/>
      </c>
      <c r="BA39" s="36">
        <f>(1+Pricing!$B$23)^((BA$3-1)/12)*IF(BA$3&gt;=Assumptions!$B$42,1/(1+Assumptions!$B$41),1)</f>
        <v/>
      </c>
      <c r="BB39" s="36">
        <f>(1+Pricing!$B$23)^((BB$3-1)/12)*IF(BB$3&gt;=Assumptions!$B$42,1/(1+Assumptions!$B$41),1)</f>
        <v/>
      </c>
      <c r="BC39" s="36">
        <f>(1+Pricing!$B$23)^((BC$3-1)/12)*IF(BC$3&gt;=Assumptions!$B$42,1/(1+Assumptions!$B$41),1)</f>
        <v/>
      </c>
      <c r="BD39" s="36">
        <f>(1+Pricing!$B$23)^((BD$3-1)/12)*IF(BD$3&gt;=Assumptions!$B$42,1/(1+Assumptions!$B$41),1)</f>
        <v/>
      </c>
      <c r="BE39" s="36">
        <f>(1+Pricing!$B$23)^((BE$3-1)/12)*IF(BE$3&gt;=Assumptions!$B$42,1/(1+Assumptions!$B$41),1)</f>
        <v/>
      </c>
      <c r="BF39" s="36">
        <f>(1+Pricing!$B$23)^((BF$3-1)/12)*IF(BF$3&gt;=Assumptions!$B$42,1/(1+Assumptions!$B$41),1)</f>
        <v/>
      </c>
      <c r="BG39" s="36">
        <f>(1+Pricing!$B$23)^((BG$3-1)/12)*IF(BG$3&gt;=Assumptions!$B$42,1/(1+Assumptions!$B$41),1)</f>
        <v/>
      </c>
      <c r="BH39" s="36">
        <f>(1+Pricing!$B$23)^((BH$3-1)/12)*IF(BH$3&gt;=Assumptions!$B$42,1/(1+Assumptions!$B$41),1)</f>
        <v/>
      </c>
      <c r="BI39" s="36">
        <f>(1+Pricing!$B$23)^((BI$3-1)/12)*IF(BI$3&gt;=Assumptions!$B$42,1/(1+Assumptions!$B$41),1)</f>
        <v/>
      </c>
      <c r="BJ39" s="36">
        <f>(1+Pricing!$B$23)^((BJ$3-1)/12)*IF(BJ$3&gt;=Assumptions!$B$42,1/(1+Assumptions!$B$41),1)</f>
        <v/>
      </c>
    </row>
    <row r="40">
      <c r="A40" s="4" t="inlineStr">
        <is>
          <t>Local price level after repricing: Kenya</t>
        </is>
      </c>
      <c r="B40" s="17" t="inlineStr">
        <is>
          <t>x</t>
        </is>
      </c>
      <c r="C40" s="36">
        <f>1</f>
        <v/>
      </c>
      <c r="D40" s="36">
        <f>C40</f>
        <v/>
      </c>
      <c r="E40" s="36">
        <f>D40</f>
        <v/>
      </c>
      <c r="F40" s="36">
        <f>IF(AND(Pricing!$B$27=1,MOD(F$3-1,3)=0,ABS(E40*C39-1)&gt;Pricing!$B$26),1/C39,E40)</f>
        <v/>
      </c>
      <c r="G40" s="36">
        <f>IF(AND(Pricing!$B$27=1,MOD(G$3-1,3)=0,ABS(F40*D39-1)&gt;Pricing!$B$26),1/D39,F40)</f>
        <v/>
      </c>
      <c r="H40" s="36">
        <f>IF(AND(Pricing!$B$27=1,MOD(H$3-1,3)=0,ABS(G40*E39-1)&gt;Pricing!$B$26),1/E39,G40)</f>
        <v/>
      </c>
      <c r="I40" s="36">
        <f>IF(AND(Pricing!$B$27=1,MOD(I$3-1,3)=0,ABS(H40*F39-1)&gt;Pricing!$B$26),1/F39,H40)</f>
        <v/>
      </c>
      <c r="J40" s="36">
        <f>IF(AND(Pricing!$B$27=1,MOD(J$3-1,3)=0,ABS(I40*G39-1)&gt;Pricing!$B$26),1/G39,I40)</f>
        <v/>
      </c>
      <c r="K40" s="36">
        <f>IF(AND(Pricing!$B$27=1,MOD(K$3-1,3)=0,ABS(J40*H39-1)&gt;Pricing!$B$26),1/H39,J40)</f>
        <v/>
      </c>
      <c r="L40" s="36">
        <f>IF(AND(Pricing!$B$27=1,MOD(L$3-1,3)=0,ABS(K40*I39-1)&gt;Pricing!$B$26),1/I39,K40)</f>
        <v/>
      </c>
      <c r="M40" s="36">
        <f>IF(AND(Pricing!$B$27=1,MOD(M$3-1,3)=0,ABS(L40*J39-1)&gt;Pricing!$B$26),1/J39,L40)</f>
        <v/>
      </c>
      <c r="N40" s="36">
        <f>IF(AND(Pricing!$B$27=1,MOD(N$3-1,3)=0,ABS(M40*K39-1)&gt;Pricing!$B$26),1/K39,M40)</f>
        <v/>
      </c>
      <c r="O40" s="36">
        <f>IF(AND(Pricing!$B$27=1,MOD(O$3-1,3)=0,ABS(N40*L39-1)&gt;Pricing!$B$26),1/L39,N40)</f>
        <v/>
      </c>
      <c r="P40" s="36">
        <f>IF(AND(Pricing!$B$27=1,MOD(P$3-1,3)=0,ABS(O40*M39-1)&gt;Pricing!$B$26),1/M39,O40)</f>
        <v/>
      </c>
      <c r="Q40" s="36">
        <f>IF(AND(Pricing!$B$27=1,MOD(Q$3-1,3)=0,ABS(P40*N39-1)&gt;Pricing!$B$26),1/N39,P40)</f>
        <v/>
      </c>
      <c r="R40" s="36">
        <f>IF(AND(Pricing!$B$27=1,MOD(R$3-1,3)=0,ABS(Q40*O39-1)&gt;Pricing!$B$26),1/O39,Q40)</f>
        <v/>
      </c>
      <c r="S40" s="36">
        <f>IF(AND(Pricing!$B$27=1,MOD(S$3-1,3)=0,ABS(R40*P39-1)&gt;Pricing!$B$26),1/P39,R40)</f>
        <v/>
      </c>
      <c r="T40" s="36">
        <f>IF(AND(Pricing!$B$27=1,MOD(T$3-1,3)=0,ABS(S40*Q39-1)&gt;Pricing!$B$26),1/Q39,S40)</f>
        <v/>
      </c>
      <c r="U40" s="36">
        <f>IF(AND(Pricing!$B$27=1,MOD(U$3-1,3)=0,ABS(T40*R39-1)&gt;Pricing!$B$26),1/R39,T40)</f>
        <v/>
      </c>
      <c r="V40" s="36">
        <f>IF(AND(Pricing!$B$27=1,MOD(V$3-1,3)=0,ABS(U40*S39-1)&gt;Pricing!$B$26),1/S39,U40)</f>
        <v/>
      </c>
      <c r="W40" s="36">
        <f>IF(AND(Pricing!$B$27=1,MOD(W$3-1,3)=0,ABS(V40*T39-1)&gt;Pricing!$B$26),1/T39,V40)</f>
        <v/>
      </c>
      <c r="X40" s="36">
        <f>IF(AND(Pricing!$B$27=1,MOD(X$3-1,3)=0,ABS(W40*U39-1)&gt;Pricing!$B$26),1/U39,W40)</f>
        <v/>
      </c>
      <c r="Y40" s="36">
        <f>IF(AND(Pricing!$B$27=1,MOD(Y$3-1,3)=0,ABS(X40*V39-1)&gt;Pricing!$B$26),1/V39,X40)</f>
        <v/>
      </c>
      <c r="Z40" s="36">
        <f>IF(AND(Pricing!$B$27=1,MOD(Z$3-1,3)=0,ABS(Y40*W39-1)&gt;Pricing!$B$26),1/W39,Y40)</f>
        <v/>
      </c>
      <c r="AA40" s="36">
        <f>IF(AND(Pricing!$B$27=1,MOD(AA$3-1,3)=0,ABS(Z40*X39-1)&gt;Pricing!$B$26),1/X39,Z40)</f>
        <v/>
      </c>
      <c r="AB40" s="36">
        <f>IF(AND(Pricing!$B$27=1,MOD(AB$3-1,3)=0,ABS(AA40*Y39-1)&gt;Pricing!$B$26),1/Y39,AA40)</f>
        <v/>
      </c>
      <c r="AC40" s="36">
        <f>IF(AND(Pricing!$B$27=1,MOD(AC$3-1,3)=0,ABS(AB40*Z39-1)&gt;Pricing!$B$26),1/Z39,AB40)</f>
        <v/>
      </c>
      <c r="AD40" s="36">
        <f>IF(AND(Pricing!$B$27=1,MOD(AD$3-1,3)=0,ABS(AC40*AA39-1)&gt;Pricing!$B$26),1/AA39,AC40)</f>
        <v/>
      </c>
      <c r="AE40" s="36">
        <f>IF(AND(Pricing!$B$27=1,MOD(AE$3-1,3)=0,ABS(AD40*AB39-1)&gt;Pricing!$B$26),1/AB39,AD40)</f>
        <v/>
      </c>
      <c r="AF40" s="36">
        <f>IF(AND(Pricing!$B$27=1,MOD(AF$3-1,3)=0,ABS(AE40*AC39-1)&gt;Pricing!$B$26),1/AC39,AE40)</f>
        <v/>
      </c>
      <c r="AG40" s="36">
        <f>IF(AND(Pricing!$B$27=1,MOD(AG$3-1,3)=0,ABS(AF40*AD39-1)&gt;Pricing!$B$26),1/AD39,AF40)</f>
        <v/>
      </c>
      <c r="AH40" s="36">
        <f>IF(AND(Pricing!$B$27=1,MOD(AH$3-1,3)=0,ABS(AG40*AE39-1)&gt;Pricing!$B$26),1/AE39,AG40)</f>
        <v/>
      </c>
      <c r="AI40" s="36">
        <f>IF(AND(Pricing!$B$27=1,MOD(AI$3-1,3)=0,ABS(AH40*AF39-1)&gt;Pricing!$B$26),1/AF39,AH40)</f>
        <v/>
      </c>
      <c r="AJ40" s="36">
        <f>IF(AND(Pricing!$B$27=1,MOD(AJ$3-1,3)=0,ABS(AI40*AG39-1)&gt;Pricing!$B$26),1/AG39,AI40)</f>
        <v/>
      </c>
      <c r="AK40" s="36">
        <f>IF(AND(Pricing!$B$27=1,MOD(AK$3-1,3)=0,ABS(AJ40*AH39-1)&gt;Pricing!$B$26),1/AH39,AJ40)</f>
        <v/>
      </c>
      <c r="AL40" s="36">
        <f>IF(AND(Pricing!$B$27=1,MOD(AL$3-1,3)=0,ABS(AK40*AI39-1)&gt;Pricing!$B$26),1/AI39,AK40)</f>
        <v/>
      </c>
      <c r="AM40" s="36">
        <f>IF(AND(Pricing!$B$27=1,MOD(AM$3-1,3)=0,ABS(AL40*AJ39-1)&gt;Pricing!$B$26),1/AJ39,AL40)</f>
        <v/>
      </c>
      <c r="AN40" s="36">
        <f>IF(AND(Pricing!$B$27=1,MOD(AN$3-1,3)=0,ABS(AM40*AK39-1)&gt;Pricing!$B$26),1/AK39,AM40)</f>
        <v/>
      </c>
      <c r="AO40" s="36">
        <f>IF(AND(Pricing!$B$27=1,MOD(AO$3-1,3)=0,ABS(AN40*AL39-1)&gt;Pricing!$B$26),1/AL39,AN40)</f>
        <v/>
      </c>
      <c r="AP40" s="36">
        <f>IF(AND(Pricing!$B$27=1,MOD(AP$3-1,3)=0,ABS(AO40*AM39-1)&gt;Pricing!$B$26),1/AM39,AO40)</f>
        <v/>
      </c>
      <c r="AQ40" s="36">
        <f>IF(AND(Pricing!$B$27=1,MOD(AQ$3-1,3)=0,ABS(AP40*AN39-1)&gt;Pricing!$B$26),1/AN39,AP40)</f>
        <v/>
      </c>
      <c r="AR40" s="36">
        <f>IF(AND(Pricing!$B$27=1,MOD(AR$3-1,3)=0,ABS(AQ40*AO39-1)&gt;Pricing!$B$26),1/AO39,AQ40)</f>
        <v/>
      </c>
      <c r="AS40" s="36">
        <f>IF(AND(Pricing!$B$27=1,MOD(AS$3-1,3)=0,ABS(AR40*AP39-1)&gt;Pricing!$B$26),1/AP39,AR40)</f>
        <v/>
      </c>
      <c r="AT40" s="36">
        <f>IF(AND(Pricing!$B$27=1,MOD(AT$3-1,3)=0,ABS(AS40*AQ39-1)&gt;Pricing!$B$26),1/AQ39,AS40)</f>
        <v/>
      </c>
      <c r="AU40" s="36">
        <f>IF(AND(Pricing!$B$27=1,MOD(AU$3-1,3)=0,ABS(AT40*AR39-1)&gt;Pricing!$B$26),1/AR39,AT40)</f>
        <v/>
      </c>
      <c r="AV40" s="36">
        <f>IF(AND(Pricing!$B$27=1,MOD(AV$3-1,3)=0,ABS(AU40*AS39-1)&gt;Pricing!$B$26),1/AS39,AU40)</f>
        <v/>
      </c>
      <c r="AW40" s="36">
        <f>IF(AND(Pricing!$B$27=1,MOD(AW$3-1,3)=0,ABS(AV40*AT39-1)&gt;Pricing!$B$26),1/AT39,AV40)</f>
        <v/>
      </c>
      <c r="AX40" s="36">
        <f>IF(AND(Pricing!$B$27=1,MOD(AX$3-1,3)=0,ABS(AW40*AU39-1)&gt;Pricing!$B$26),1/AU39,AW40)</f>
        <v/>
      </c>
      <c r="AY40" s="36">
        <f>IF(AND(Pricing!$B$27=1,MOD(AY$3-1,3)=0,ABS(AX40*AV39-1)&gt;Pricing!$B$26),1/AV39,AX40)</f>
        <v/>
      </c>
      <c r="AZ40" s="36">
        <f>IF(AND(Pricing!$B$27=1,MOD(AZ$3-1,3)=0,ABS(AY40*AW39-1)&gt;Pricing!$B$26),1/AW39,AY40)</f>
        <v/>
      </c>
      <c r="BA40" s="36">
        <f>IF(AND(Pricing!$B$27=1,MOD(BA$3-1,3)=0,ABS(AZ40*AX39-1)&gt;Pricing!$B$26),1/AX39,AZ40)</f>
        <v/>
      </c>
      <c r="BB40" s="36">
        <f>IF(AND(Pricing!$B$27=1,MOD(BB$3-1,3)=0,ABS(BA40*AY39-1)&gt;Pricing!$B$26),1/AY39,BA40)</f>
        <v/>
      </c>
      <c r="BC40" s="36">
        <f>IF(AND(Pricing!$B$27=1,MOD(BC$3-1,3)=0,ABS(BB40*AZ39-1)&gt;Pricing!$B$26),1/AZ39,BB40)</f>
        <v/>
      </c>
      <c r="BD40" s="36">
        <f>IF(AND(Pricing!$B$27=1,MOD(BD$3-1,3)=0,ABS(BC40*BA39-1)&gt;Pricing!$B$26),1/BA39,BC40)</f>
        <v/>
      </c>
      <c r="BE40" s="36">
        <f>IF(AND(Pricing!$B$27=1,MOD(BE$3-1,3)=0,ABS(BD40*BB39-1)&gt;Pricing!$B$26),1/BB39,BD40)</f>
        <v/>
      </c>
      <c r="BF40" s="36">
        <f>IF(AND(Pricing!$B$27=1,MOD(BF$3-1,3)=0,ABS(BE40*BC39-1)&gt;Pricing!$B$26),1/BC39,BE40)</f>
        <v/>
      </c>
      <c r="BG40" s="36">
        <f>IF(AND(Pricing!$B$27=1,MOD(BG$3-1,3)=0,ABS(BF40*BD39-1)&gt;Pricing!$B$26),1/BD39,BF40)</f>
        <v/>
      </c>
      <c r="BH40" s="36">
        <f>IF(AND(Pricing!$B$27=1,MOD(BH$3-1,3)=0,ABS(BG40*BE39-1)&gt;Pricing!$B$26),1/BE39,BG40)</f>
        <v/>
      </c>
      <c r="BI40" s="36">
        <f>IF(AND(Pricing!$B$27=1,MOD(BI$3-1,3)=0,ABS(BH40*BF39-1)&gt;Pricing!$B$26),1/BF39,BH40)</f>
        <v/>
      </c>
      <c r="BJ40" s="36">
        <f>IF(AND(Pricing!$B$27=1,MOD(BJ$3-1,3)=0,ABS(BI40*BG39-1)&gt;Pricing!$B$26),1/BG39,BI40)</f>
        <v/>
      </c>
    </row>
    <row r="41">
      <c r="A41" s="4" t="inlineStr">
        <is>
          <t>ZAR value factor of local prices: Kenya</t>
        </is>
      </c>
      <c r="B41" s="17" t="inlineStr">
        <is>
          <t>x</t>
        </is>
      </c>
      <c r="C41" s="36">
        <f>C40*C39</f>
        <v/>
      </c>
      <c r="D41" s="36">
        <f>D40*D39</f>
        <v/>
      </c>
      <c r="E41" s="36">
        <f>E40*E39</f>
        <v/>
      </c>
      <c r="F41" s="36">
        <f>F40*F39</f>
        <v/>
      </c>
      <c r="G41" s="36">
        <f>G40*G39</f>
        <v/>
      </c>
      <c r="H41" s="36">
        <f>H40*H39</f>
        <v/>
      </c>
      <c r="I41" s="36">
        <f>I40*I39</f>
        <v/>
      </c>
      <c r="J41" s="36">
        <f>J40*J39</f>
        <v/>
      </c>
      <c r="K41" s="36">
        <f>K40*K39</f>
        <v/>
      </c>
      <c r="L41" s="36">
        <f>L40*L39</f>
        <v/>
      </c>
      <c r="M41" s="36">
        <f>M40*M39</f>
        <v/>
      </c>
      <c r="N41" s="36">
        <f>N40*N39</f>
        <v/>
      </c>
      <c r="O41" s="36">
        <f>O40*O39</f>
        <v/>
      </c>
      <c r="P41" s="36">
        <f>P40*P39</f>
        <v/>
      </c>
      <c r="Q41" s="36">
        <f>Q40*Q39</f>
        <v/>
      </c>
      <c r="R41" s="36">
        <f>R40*R39</f>
        <v/>
      </c>
      <c r="S41" s="36">
        <f>S40*S39</f>
        <v/>
      </c>
      <c r="T41" s="36">
        <f>T40*T39</f>
        <v/>
      </c>
      <c r="U41" s="36">
        <f>U40*U39</f>
        <v/>
      </c>
      <c r="V41" s="36">
        <f>V40*V39</f>
        <v/>
      </c>
      <c r="W41" s="36">
        <f>W40*W39</f>
        <v/>
      </c>
      <c r="X41" s="36">
        <f>X40*X39</f>
        <v/>
      </c>
      <c r="Y41" s="36">
        <f>Y40*Y39</f>
        <v/>
      </c>
      <c r="Z41" s="36">
        <f>Z40*Z39</f>
        <v/>
      </c>
      <c r="AA41" s="36">
        <f>AA40*AA39</f>
        <v/>
      </c>
      <c r="AB41" s="36">
        <f>AB40*AB39</f>
        <v/>
      </c>
      <c r="AC41" s="36">
        <f>AC40*AC39</f>
        <v/>
      </c>
      <c r="AD41" s="36">
        <f>AD40*AD39</f>
        <v/>
      </c>
      <c r="AE41" s="36">
        <f>AE40*AE39</f>
        <v/>
      </c>
      <c r="AF41" s="36">
        <f>AF40*AF39</f>
        <v/>
      </c>
      <c r="AG41" s="36">
        <f>AG40*AG39</f>
        <v/>
      </c>
      <c r="AH41" s="36">
        <f>AH40*AH39</f>
        <v/>
      </c>
      <c r="AI41" s="36">
        <f>AI40*AI39</f>
        <v/>
      </c>
      <c r="AJ41" s="36">
        <f>AJ40*AJ39</f>
        <v/>
      </c>
      <c r="AK41" s="36">
        <f>AK40*AK39</f>
        <v/>
      </c>
      <c r="AL41" s="36">
        <f>AL40*AL39</f>
        <v/>
      </c>
      <c r="AM41" s="36">
        <f>AM40*AM39</f>
        <v/>
      </c>
      <c r="AN41" s="36">
        <f>AN40*AN39</f>
        <v/>
      </c>
      <c r="AO41" s="36">
        <f>AO40*AO39</f>
        <v/>
      </c>
      <c r="AP41" s="36">
        <f>AP40*AP39</f>
        <v/>
      </c>
      <c r="AQ41" s="36">
        <f>AQ40*AQ39</f>
        <v/>
      </c>
      <c r="AR41" s="36">
        <f>AR40*AR39</f>
        <v/>
      </c>
      <c r="AS41" s="36">
        <f>AS40*AS39</f>
        <v/>
      </c>
      <c r="AT41" s="36">
        <f>AT40*AT39</f>
        <v/>
      </c>
      <c r="AU41" s="36">
        <f>AU40*AU39</f>
        <v/>
      </c>
      <c r="AV41" s="36">
        <f>AV40*AV39</f>
        <v/>
      </c>
      <c r="AW41" s="36">
        <f>AW40*AW39</f>
        <v/>
      </c>
      <c r="AX41" s="36">
        <f>AX40*AX39</f>
        <v/>
      </c>
      <c r="AY41" s="36">
        <f>AY40*AY39</f>
        <v/>
      </c>
      <c r="AZ41" s="36">
        <f>AZ40*AZ39</f>
        <v/>
      </c>
      <c r="BA41" s="36">
        <f>BA40*BA39</f>
        <v/>
      </c>
      <c r="BB41" s="36">
        <f>BB40*BB39</f>
        <v/>
      </c>
      <c r="BC41" s="36">
        <f>BC40*BC39</f>
        <v/>
      </c>
      <c r="BD41" s="36">
        <f>BD40*BD39</f>
        <v/>
      </c>
      <c r="BE41" s="36">
        <f>BE40*BE39</f>
        <v/>
      </c>
      <c r="BF41" s="36">
        <f>BF40*BF39</f>
        <v/>
      </c>
      <c r="BG41" s="36">
        <f>BG40*BG39</f>
        <v/>
      </c>
      <c r="BH41" s="36">
        <f>BH40*BH39</f>
        <v/>
      </c>
      <c r="BI41" s="36">
        <f>BI40*BI39</f>
        <v/>
      </c>
      <c r="BJ41" s="36">
        <f>BJ40*BJ39</f>
        <v/>
      </c>
    </row>
    <row r="42">
      <c r="A42" s="4" t="inlineStr">
        <is>
          <t>ZAR value of 1 unit of Ghana currency (index)</t>
        </is>
      </c>
      <c r="B42" s="17" t="inlineStr">
        <is>
          <t>x</t>
        </is>
      </c>
      <c r="C42" s="36">
        <f>(1+Pricing!$B$24)^((C$3-1)/12)*IF(C$3&gt;=Assumptions!$B$42,1/(1+Assumptions!$B$41),1)</f>
        <v/>
      </c>
      <c r="D42" s="36">
        <f>(1+Pricing!$B$24)^((D$3-1)/12)*IF(D$3&gt;=Assumptions!$B$42,1/(1+Assumptions!$B$41),1)</f>
        <v/>
      </c>
      <c r="E42" s="36">
        <f>(1+Pricing!$B$24)^((E$3-1)/12)*IF(E$3&gt;=Assumptions!$B$42,1/(1+Assumptions!$B$41),1)</f>
        <v/>
      </c>
      <c r="F42" s="36">
        <f>(1+Pricing!$B$24)^((F$3-1)/12)*IF(F$3&gt;=Assumptions!$B$42,1/(1+Assumptions!$B$41),1)</f>
        <v/>
      </c>
      <c r="G42" s="36">
        <f>(1+Pricing!$B$24)^((G$3-1)/12)*IF(G$3&gt;=Assumptions!$B$42,1/(1+Assumptions!$B$41),1)</f>
        <v/>
      </c>
      <c r="H42" s="36">
        <f>(1+Pricing!$B$24)^((H$3-1)/12)*IF(H$3&gt;=Assumptions!$B$42,1/(1+Assumptions!$B$41),1)</f>
        <v/>
      </c>
      <c r="I42" s="36">
        <f>(1+Pricing!$B$24)^((I$3-1)/12)*IF(I$3&gt;=Assumptions!$B$42,1/(1+Assumptions!$B$41),1)</f>
        <v/>
      </c>
      <c r="J42" s="36">
        <f>(1+Pricing!$B$24)^((J$3-1)/12)*IF(J$3&gt;=Assumptions!$B$42,1/(1+Assumptions!$B$41),1)</f>
        <v/>
      </c>
      <c r="K42" s="36">
        <f>(1+Pricing!$B$24)^((K$3-1)/12)*IF(K$3&gt;=Assumptions!$B$42,1/(1+Assumptions!$B$41),1)</f>
        <v/>
      </c>
      <c r="L42" s="36">
        <f>(1+Pricing!$B$24)^((L$3-1)/12)*IF(L$3&gt;=Assumptions!$B$42,1/(1+Assumptions!$B$41),1)</f>
        <v/>
      </c>
      <c r="M42" s="36">
        <f>(1+Pricing!$B$24)^((M$3-1)/12)*IF(M$3&gt;=Assumptions!$B$42,1/(1+Assumptions!$B$41),1)</f>
        <v/>
      </c>
      <c r="N42" s="36">
        <f>(1+Pricing!$B$24)^((N$3-1)/12)*IF(N$3&gt;=Assumptions!$B$42,1/(1+Assumptions!$B$41),1)</f>
        <v/>
      </c>
      <c r="O42" s="36">
        <f>(1+Pricing!$B$24)^((O$3-1)/12)*IF(O$3&gt;=Assumptions!$B$42,1/(1+Assumptions!$B$41),1)</f>
        <v/>
      </c>
      <c r="P42" s="36">
        <f>(1+Pricing!$B$24)^((P$3-1)/12)*IF(P$3&gt;=Assumptions!$B$42,1/(1+Assumptions!$B$41),1)</f>
        <v/>
      </c>
      <c r="Q42" s="36">
        <f>(1+Pricing!$B$24)^((Q$3-1)/12)*IF(Q$3&gt;=Assumptions!$B$42,1/(1+Assumptions!$B$41),1)</f>
        <v/>
      </c>
      <c r="R42" s="36">
        <f>(1+Pricing!$B$24)^((R$3-1)/12)*IF(R$3&gt;=Assumptions!$B$42,1/(1+Assumptions!$B$41),1)</f>
        <v/>
      </c>
      <c r="S42" s="36">
        <f>(1+Pricing!$B$24)^((S$3-1)/12)*IF(S$3&gt;=Assumptions!$B$42,1/(1+Assumptions!$B$41),1)</f>
        <v/>
      </c>
      <c r="T42" s="36">
        <f>(1+Pricing!$B$24)^((T$3-1)/12)*IF(T$3&gt;=Assumptions!$B$42,1/(1+Assumptions!$B$41),1)</f>
        <v/>
      </c>
      <c r="U42" s="36">
        <f>(1+Pricing!$B$24)^((U$3-1)/12)*IF(U$3&gt;=Assumptions!$B$42,1/(1+Assumptions!$B$41),1)</f>
        <v/>
      </c>
      <c r="V42" s="36">
        <f>(1+Pricing!$B$24)^((V$3-1)/12)*IF(V$3&gt;=Assumptions!$B$42,1/(1+Assumptions!$B$41),1)</f>
        <v/>
      </c>
      <c r="W42" s="36">
        <f>(1+Pricing!$B$24)^((W$3-1)/12)*IF(W$3&gt;=Assumptions!$B$42,1/(1+Assumptions!$B$41),1)</f>
        <v/>
      </c>
      <c r="X42" s="36">
        <f>(1+Pricing!$B$24)^((X$3-1)/12)*IF(X$3&gt;=Assumptions!$B$42,1/(1+Assumptions!$B$41),1)</f>
        <v/>
      </c>
      <c r="Y42" s="36">
        <f>(1+Pricing!$B$24)^((Y$3-1)/12)*IF(Y$3&gt;=Assumptions!$B$42,1/(1+Assumptions!$B$41),1)</f>
        <v/>
      </c>
      <c r="Z42" s="36">
        <f>(1+Pricing!$B$24)^((Z$3-1)/12)*IF(Z$3&gt;=Assumptions!$B$42,1/(1+Assumptions!$B$41),1)</f>
        <v/>
      </c>
      <c r="AA42" s="36">
        <f>(1+Pricing!$B$24)^((AA$3-1)/12)*IF(AA$3&gt;=Assumptions!$B$42,1/(1+Assumptions!$B$41),1)</f>
        <v/>
      </c>
      <c r="AB42" s="36">
        <f>(1+Pricing!$B$24)^((AB$3-1)/12)*IF(AB$3&gt;=Assumptions!$B$42,1/(1+Assumptions!$B$41),1)</f>
        <v/>
      </c>
      <c r="AC42" s="36">
        <f>(1+Pricing!$B$24)^((AC$3-1)/12)*IF(AC$3&gt;=Assumptions!$B$42,1/(1+Assumptions!$B$41),1)</f>
        <v/>
      </c>
      <c r="AD42" s="36">
        <f>(1+Pricing!$B$24)^((AD$3-1)/12)*IF(AD$3&gt;=Assumptions!$B$42,1/(1+Assumptions!$B$41),1)</f>
        <v/>
      </c>
      <c r="AE42" s="36">
        <f>(1+Pricing!$B$24)^((AE$3-1)/12)*IF(AE$3&gt;=Assumptions!$B$42,1/(1+Assumptions!$B$41),1)</f>
        <v/>
      </c>
      <c r="AF42" s="36">
        <f>(1+Pricing!$B$24)^((AF$3-1)/12)*IF(AF$3&gt;=Assumptions!$B$42,1/(1+Assumptions!$B$41),1)</f>
        <v/>
      </c>
      <c r="AG42" s="36">
        <f>(1+Pricing!$B$24)^((AG$3-1)/12)*IF(AG$3&gt;=Assumptions!$B$42,1/(1+Assumptions!$B$41),1)</f>
        <v/>
      </c>
      <c r="AH42" s="36">
        <f>(1+Pricing!$B$24)^((AH$3-1)/12)*IF(AH$3&gt;=Assumptions!$B$42,1/(1+Assumptions!$B$41),1)</f>
        <v/>
      </c>
      <c r="AI42" s="36">
        <f>(1+Pricing!$B$24)^((AI$3-1)/12)*IF(AI$3&gt;=Assumptions!$B$42,1/(1+Assumptions!$B$41),1)</f>
        <v/>
      </c>
      <c r="AJ42" s="36">
        <f>(1+Pricing!$B$24)^((AJ$3-1)/12)*IF(AJ$3&gt;=Assumptions!$B$42,1/(1+Assumptions!$B$41),1)</f>
        <v/>
      </c>
      <c r="AK42" s="36">
        <f>(1+Pricing!$B$24)^((AK$3-1)/12)*IF(AK$3&gt;=Assumptions!$B$42,1/(1+Assumptions!$B$41),1)</f>
        <v/>
      </c>
      <c r="AL42" s="36">
        <f>(1+Pricing!$B$24)^((AL$3-1)/12)*IF(AL$3&gt;=Assumptions!$B$42,1/(1+Assumptions!$B$41),1)</f>
        <v/>
      </c>
      <c r="AM42" s="36">
        <f>(1+Pricing!$B$24)^((AM$3-1)/12)*IF(AM$3&gt;=Assumptions!$B$42,1/(1+Assumptions!$B$41),1)</f>
        <v/>
      </c>
      <c r="AN42" s="36">
        <f>(1+Pricing!$B$24)^((AN$3-1)/12)*IF(AN$3&gt;=Assumptions!$B$42,1/(1+Assumptions!$B$41),1)</f>
        <v/>
      </c>
      <c r="AO42" s="36">
        <f>(1+Pricing!$B$24)^((AO$3-1)/12)*IF(AO$3&gt;=Assumptions!$B$42,1/(1+Assumptions!$B$41),1)</f>
        <v/>
      </c>
      <c r="AP42" s="36">
        <f>(1+Pricing!$B$24)^((AP$3-1)/12)*IF(AP$3&gt;=Assumptions!$B$42,1/(1+Assumptions!$B$41),1)</f>
        <v/>
      </c>
      <c r="AQ42" s="36">
        <f>(1+Pricing!$B$24)^((AQ$3-1)/12)*IF(AQ$3&gt;=Assumptions!$B$42,1/(1+Assumptions!$B$41),1)</f>
        <v/>
      </c>
      <c r="AR42" s="36">
        <f>(1+Pricing!$B$24)^((AR$3-1)/12)*IF(AR$3&gt;=Assumptions!$B$42,1/(1+Assumptions!$B$41),1)</f>
        <v/>
      </c>
      <c r="AS42" s="36">
        <f>(1+Pricing!$B$24)^((AS$3-1)/12)*IF(AS$3&gt;=Assumptions!$B$42,1/(1+Assumptions!$B$41),1)</f>
        <v/>
      </c>
      <c r="AT42" s="36">
        <f>(1+Pricing!$B$24)^((AT$3-1)/12)*IF(AT$3&gt;=Assumptions!$B$42,1/(1+Assumptions!$B$41),1)</f>
        <v/>
      </c>
      <c r="AU42" s="36">
        <f>(1+Pricing!$B$24)^((AU$3-1)/12)*IF(AU$3&gt;=Assumptions!$B$42,1/(1+Assumptions!$B$41),1)</f>
        <v/>
      </c>
      <c r="AV42" s="36">
        <f>(1+Pricing!$B$24)^((AV$3-1)/12)*IF(AV$3&gt;=Assumptions!$B$42,1/(1+Assumptions!$B$41),1)</f>
        <v/>
      </c>
      <c r="AW42" s="36">
        <f>(1+Pricing!$B$24)^((AW$3-1)/12)*IF(AW$3&gt;=Assumptions!$B$42,1/(1+Assumptions!$B$41),1)</f>
        <v/>
      </c>
      <c r="AX42" s="36">
        <f>(1+Pricing!$B$24)^((AX$3-1)/12)*IF(AX$3&gt;=Assumptions!$B$42,1/(1+Assumptions!$B$41),1)</f>
        <v/>
      </c>
      <c r="AY42" s="36">
        <f>(1+Pricing!$B$24)^((AY$3-1)/12)*IF(AY$3&gt;=Assumptions!$B$42,1/(1+Assumptions!$B$41),1)</f>
        <v/>
      </c>
      <c r="AZ42" s="36">
        <f>(1+Pricing!$B$24)^((AZ$3-1)/12)*IF(AZ$3&gt;=Assumptions!$B$42,1/(1+Assumptions!$B$41),1)</f>
        <v/>
      </c>
      <c r="BA42" s="36">
        <f>(1+Pricing!$B$24)^((BA$3-1)/12)*IF(BA$3&gt;=Assumptions!$B$42,1/(1+Assumptions!$B$41),1)</f>
        <v/>
      </c>
      <c r="BB42" s="36">
        <f>(1+Pricing!$B$24)^((BB$3-1)/12)*IF(BB$3&gt;=Assumptions!$B$42,1/(1+Assumptions!$B$41),1)</f>
        <v/>
      </c>
      <c r="BC42" s="36">
        <f>(1+Pricing!$B$24)^((BC$3-1)/12)*IF(BC$3&gt;=Assumptions!$B$42,1/(1+Assumptions!$B$41),1)</f>
        <v/>
      </c>
      <c r="BD42" s="36">
        <f>(1+Pricing!$B$24)^((BD$3-1)/12)*IF(BD$3&gt;=Assumptions!$B$42,1/(1+Assumptions!$B$41),1)</f>
        <v/>
      </c>
      <c r="BE42" s="36">
        <f>(1+Pricing!$B$24)^((BE$3-1)/12)*IF(BE$3&gt;=Assumptions!$B$42,1/(1+Assumptions!$B$41),1)</f>
        <v/>
      </c>
      <c r="BF42" s="36">
        <f>(1+Pricing!$B$24)^((BF$3-1)/12)*IF(BF$3&gt;=Assumptions!$B$42,1/(1+Assumptions!$B$41),1)</f>
        <v/>
      </c>
      <c r="BG42" s="36">
        <f>(1+Pricing!$B$24)^((BG$3-1)/12)*IF(BG$3&gt;=Assumptions!$B$42,1/(1+Assumptions!$B$41),1)</f>
        <v/>
      </c>
      <c r="BH42" s="36">
        <f>(1+Pricing!$B$24)^((BH$3-1)/12)*IF(BH$3&gt;=Assumptions!$B$42,1/(1+Assumptions!$B$41),1)</f>
        <v/>
      </c>
      <c r="BI42" s="36">
        <f>(1+Pricing!$B$24)^((BI$3-1)/12)*IF(BI$3&gt;=Assumptions!$B$42,1/(1+Assumptions!$B$41),1)</f>
        <v/>
      </c>
      <c r="BJ42" s="36">
        <f>(1+Pricing!$B$24)^((BJ$3-1)/12)*IF(BJ$3&gt;=Assumptions!$B$42,1/(1+Assumptions!$B$41),1)</f>
        <v/>
      </c>
    </row>
    <row r="43">
      <c r="A43" s="4" t="inlineStr">
        <is>
          <t>Local price level after repricing: Ghana</t>
        </is>
      </c>
      <c r="B43" s="17" t="inlineStr">
        <is>
          <t>x</t>
        </is>
      </c>
      <c r="C43" s="36">
        <f>1</f>
        <v/>
      </c>
      <c r="D43" s="36">
        <f>C43</f>
        <v/>
      </c>
      <c r="E43" s="36">
        <f>D43</f>
        <v/>
      </c>
      <c r="F43" s="36">
        <f>IF(AND(Pricing!$B$27=1,MOD(F$3-1,3)=0,ABS(E43*C42-1)&gt;Pricing!$B$26),1/C42,E43)</f>
        <v/>
      </c>
      <c r="G43" s="36">
        <f>IF(AND(Pricing!$B$27=1,MOD(G$3-1,3)=0,ABS(F43*D42-1)&gt;Pricing!$B$26),1/D42,F43)</f>
        <v/>
      </c>
      <c r="H43" s="36">
        <f>IF(AND(Pricing!$B$27=1,MOD(H$3-1,3)=0,ABS(G43*E42-1)&gt;Pricing!$B$26),1/E42,G43)</f>
        <v/>
      </c>
      <c r="I43" s="36">
        <f>IF(AND(Pricing!$B$27=1,MOD(I$3-1,3)=0,ABS(H43*F42-1)&gt;Pricing!$B$26),1/F42,H43)</f>
        <v/>
      </c>
      <c r="J43" s="36">
        <f>IF(AND(Pricing!$B$27=1,MOD(J$3-1,3)=0,ABS(I43*G42-1)&gt;Pricing!$B$26),1/G42,I43)</f>
        <v/>
      </c>
      <c r="K43" s="36">
        <f>IF(AND(Pricing!$B$27=1,MOD(K$3-1,3)=0,ABS(J43*H42-1)&gt;Pricing!$B$26),1/H42,J43)</f>
        <v/>
      </c>
      <c r="L43" s="36">
        <f>IF(AND(Pricing!$B$27=1,MOD(L$3-1,3)=0,ABS(K43*I42-1)&gt;Pricing!$B$26),1/I42,K43)</f>
        <v/>
      </c>
      <c r="M43" s="36">
        <f>IF(AND(Pricing!$B$27=1,MOD(M$3-1,3)=0,ABS(L43*J42-1)&gt;Pricing!$B$26),1/J42,L43)</f>
        <v/>
      </c>
      <c r="N43" s="36">
        <f>IF(AND(Pricing!$B$27=1,MOD(N$3-1,3)=0,ABS(M43*K42-1)&gt;Pricing!$B$26),1/K42,M43)</f>
        <v/>
      </c>
      <c r="O43" s="36">
        <f>IF(AND(Pricing!$B$27=1,MOD(O$3-1,3)=0,ABS(N43*L42-1)&gt;Pricing!$B$26),1/L42,N43)</f>
        <v/>
      </c>
      <c r="P43" s="36">
        <f>IF(AND(Pricing!$B$27=1,MOD(P$3-1,3)=0,ABS(O43*M42-1)&gt;Pricing!$B$26),1/M42,O43)</f>
        <v/>
      </c>
      <c r="Q43" s="36">
        <f>IF(AND(Pricing!$B$27=1,MOD(Q$3-1,3)=0,ABS(P43*N42-1)&gt;Pricing!$B$26),1/N42,P43)</f>
        <v/>
      </c>
      <c r="R43" s="36">
        <f>IF(AND(Pricing!$B$27=1,MOD(R$3-1,3)=0,ABS(Q43*O42-1)&gt;Pricing!$B$26),1/O42,Q43)</f>
        <v/>
      </c>
      <c r="S43" s="36">
        <f>IF(AND(Pricing!$B$27=1,MOD(S$3-1,3)=0,ABS(R43*P42-1)&gt;Pricing!$B$26),1/P42,R43)</f>
        <v/>
      </c>
      <c r="T43" s="36">
        <f>IF(AND(Pricing!$B$27=1,MOD(T$3-1,3)=0,ABS(S43*Q42-1)&gt;Pricing!$B$26),1/Q42,S43)</f>
        <v/>
      </c>
      <c r="U43" s="36">
        <f>IF(AND(Pricing!$B$27=1,MOD(U$3-1,3)=0,ABS(T43*R42-1)&gt;Pricing!$B$26),1/R42,T43)</f>
        <v/>
      </c>
      <c r="V43" s="36">
        <f>IF(AND(Pricing!$B$27=1,MOD(V$3-1,3)=0,ABS(U43*S42-1)&gt;Pricing!$B$26),1/S42,U43)</f>
        <v/>
      </c>
      <c r="W43" s="36">
        <f>IF(AND(Pricing!$B$27=1,MOD(W$3-1,3)=0,ABS(V43*T42-1)&gt;Pricing!$B$26),1/T42,V43)</f>
        <v/>
      </c>
      <c r="X43" s="36">
        <f>IF(AND(Pricing!$B$27=1,MOD(X$3-1,3)=0,ABS(W43*U42-1)&gt;Pricing!$B$26),1/U42,W43)</f>
        <v/>
      </c>
      <c r="Y43" s="36">
        <f>IF(AND(Pricing!$B$27=1,MOD(Y$3-1,3)=0,ABS(X43*V42-1)&gt;Pricing!$B$26),1/V42,X43)</f>
        <v/>
      </c>
      <c r="Z43" s="36">
        <f>IF(AND(Pricing!$B$27=1,MOD(Z$3-1,3)=0,ABS(Y43*W42-1)&gt;Pricing!$B$26),1/W42,Y43)</f>
        <v/>
      </c>
      <c r="AA43" s="36">
        <f>IF(AND(Pricing!$B$27=1,MOD(AA$3-1,3)=0,ABS(Z43*X42-1)&gt;Pricing!$B$26),1/X42,Z43)</f>
        <v/>
      </c>
      <c r="AB43" s="36">
        <f>IF(AND(Pricing!$B$27=1,MOD(AB$3-1,3)=0,ABS(AA43*Y42-1)&gt;Pricing!$B$26),1/Y42,AA43)</f>
        <v/>
      </c>
      <c r="AC43" s="36">
        <f>IF(AND(Pricing!$B$27=1,MOD(AC$3-1,3)=0,ABS(AB43*Z42-1)&gt;Pricing!$B$26),1/Z42,AB43)</f>
        <v/>
      </c>
      <c r="AD43" s="36">
        <f>IF(AND(Pricing!$B$27=1,MOD(AD$3-1,3)=0,ABS(AC43*AA42-1)&gt;Pricing!$B$26),1/AA42,AC43)</f>
        <v/>
      </c>
      <c r="AE43" s="36">
        <f>IF(AND(Pricing!$B$27=1,MOD(AE$3-1,3)=0,ABS(AD43*AB42-1)&gt;Pricing!$B$26),1/AB42,AD43)</f>
        <v/>
      </c>
      <c r="AF43" s="36">
        <f>IF(AND(Pricing!$B$27=1,MOD(AF$3-1,3)=0,ABS(AE43*AC42-1)&gt;Pricing!$B$26),1/AC42,AE43)</f>
        <v/>
      </c>
      <c r="AG43" s="36">
        <f>IF(AND(Pricing!$B$27=1,MOD(AG$3-1,3)=0,ABS(AF43*AD42-1)&gt;Pricing!$B$26),1/AD42,AF43)</f>
        <v/>
      </c>
      <c r="AH43" s="36">
        <f>IF(AND(Pricing!$B$27=1,MOD(AH$3-1,3)=0,ABS(AG43*AE42-1)&gt;Pricing!$B$26),1/AE42,AG43)</f>
        <v/>
      </c>
      <c r="AI43" s="36">
        <f>IF(AND(Pricing!$B$27=1,MOD(AI$3-1,3)=0,ABS(AH43*AF42-1)&gt;Pricing!$B$26),1/AF42,AH43)</f>
        <v/>
      </c>
      <c r="AJ43" s="36">
        <f>IF(AND(Pricing!$B$27=1,MOD(AJ$3-1,3)=0,ABS(AI43*AG42-1)&gt;Pricing!$B$26),1/AG42,AI43)</f>
        <v/>
      </c>
      <c r="AK43" s="36">
        <f>IF(AND(Pricing!$B$27=1,MOD(AK$3-1,3)=0,ABS(AJ43*AH42-1)&gt;Pricing!$B$26),1/AH42,AJ43)</f>
        <v/>
      </c>
      <c r="AL43" s="36">
        <f>IF(AND(Pricing!$B$27=1,MOD(AL$3-1,3)=0,ABS(AK43*AI42-1)&gt;Pricing!$B$26),1/AI42,AK43)</f>
        <v/>
      </c>
      <c r="AM43" s="36">
        <f>IF(AND(Pricing!$B$27=1,MOD(AM$3-1,3)=0,ABS(AL43*AJ42-1)&gt;Pricing!$B$26),1/AJ42,AL43)</f>
        <v/>
      </c>
      <c r="AN43" s="36">
        <f>IF(AND(Pricing!$B$27=1,MOD(AN$3-1,3)=0,ABS(AM43*AK42-1)&gt;Pricing!$B$26),1/AK42,AM43)</f>
        <v/>
      </c>
      <c r="AO43" s="36">
        <f>IF(AND(Pricing!$B$27=1,MOD(AO$3-1,3)=0,ABS(AN43*AL42-1)&gt;Pricing!$B$26),1/AL42,AN43)</f>
        <v/>
      </c>
      <c r="AP43" s="36">
        <f>IF(AND(Pricing!$B$27=1,MOD(AP$3-1,3)=0,ABS(AO43*AM42-1)&gt;Pricing!$B$26),1/AM42,AO43)</f>
        <v/>
      </c>
      <c r="AQ43" s="36">
        <f>IF(AND(Pricing!$B$27=1,MOD(AQ$3-1,3)=0,ABS(AP43*AN42-1)&gt;Pricing!$B$26),1/AN42,AP43)</f>
        <v/>
      </c>
      <c r="AR43" s="36">
        <f>IF(AND(Pricing!$B$27=1,MOD(AR$3-1,3)=0,ABS(AQ43*AO42-1)&gt;Pricing!$B$26),1/AO42,AQ43)</f>
        <v/>
      </c>
      <c r="AS43" s="36">
        <f>IF(AND(Pricing!$B$27=1,MOD(AS$3-1,3)=0,ABS(AR43*AP42-1)&gt;Pricing!$B$26),1/AP42,AR43)</f>
        <v/>
      </c>
      <c r="AT43" s="36">
        <f>IF(AND(Pricing!$B$27=1,MOD(AT$3-1,3)=0,ABS(AS43*AQ42-1)&gt;Pricing!$B$26),1/AQ42,AS43)</f>
        <v/>
      </c>
      <c r="AU43" s="36">
        <f>IF(AND(Pricing!$B$27=1,MOD(AU$3-1,3)=0,ABS(AT43*AR42-1)&gt;Pricing!$B$26),1/AR42,AT43)</f>
        <v/>
      </c>
      <c r="AV43" s="36">
        <f>IF(AND(Pricing!$B$27=1,MOD(AV$3-1,3)=0,ABS(AU43*AS42-1)&gt;Pricing!$B$26),1/AS42,AU43)</f>
        <v/>
      </c>
      <c r="AW43" s="36">
        <f>IF(AND(Pricing!$B$27=1,MOD(AW$3-1,3)=0,ABS(AV43*AT42-1)&gt;Pricing!$B$26),1/AT42,AV43)</f>
        <v/>
      </c>
      <c r="AX43" s="36">
        <f>IF(AND(Pricing!$B$27=1,MOD(AX$3-1,3)=0,ABS(AW43*AU42-1)&gt;Pricing!$B$26),1/AU42,AW43)</f>
        <v/>
      </c>
      <c r="AY43" s="36">
        <f>IF(AND(Pricing!$B$27=1,MOD(AY$3-1,3)=0,ABS(AX43*AV42-1)&gt;Pricing!$B$26),1/AV42,AX43)</f>
        <v/>
      </c>
      <c r="AZ43" s="36">
        <f>IF(AND(Pricing!$B$27=1,MOD(AZ$3-1,3)=0,ABS(AY43*AW42-1)&gt;Pricing!$B$26),1/AW42,AY43)</f>
        <v/>
      </c>
      <c r="BA43" s="36">
        <f>IF(AND(Pricing!$B$27=1,MOD(BA$3-1,3)=0,ABS(AZ43*AX42-1)&gt;Pricing!$B$26),1/AX42,AZ43)</f>
        <v/>
      </c>
      <c r="BB43" s="36">
        <f>IF(AND(Pricing!$B$27=1,MOD(BB$3-1,3)=0,ABS(BA43*AY42-1)&gt;Pricing!$B$26),1/AY42,BA43)</f>
        <v/>
      </c>
      <c r="BC43" s="36">
        <f>IF(AND(Pricing!$B$27=1,MOD(BC$3-1,3)=0,ABS(BB43*AZ42-1)&gt;Pricing!$B$26),1/AZ42,BB43)</f>
        <v/>
      </c>
      <c r="BD43" s="36">
        <f>IF(AND(Pricing!$B$27=1,MOD(BD$3-1,3)=0,ABS(BC43*BA42-1)&gt;Pricing!$B$26),1/BA42,BC43)</f>
        <v/>
      </c>
      <c r="BE43" s="36">
        <f>IF(AND(Pricing!$B$27=1,MOD(BE$3-1,3)=0,ABS(BD43*BB42-1)&gt;Pricing!$B$26),1/BB42,BD43)</f>
        <v/>
      </c>
      <c r="BF43" s="36">
        <f>IF(AND(Pricing!$B$27=1,MOD(BF$3-1,3)=0,ABS(BE43*BC42-1)&gt;Pricing!$B$26),1/BC42,BE43)</f>
        <v/>
      </c>
      <c r="BG43" s="36">
        <f>IF(AND(Pricing!$B$27=1,MOD(BG$3-1,3)=0,ABS(BF43*BD42-1)&gt;Pricing!$B$26),1/BD42,BF43)</f>
        <v/>
      </c>
      <c r="BH43" s="36">
        <f>IF(AND(Pricing!$B$27=1,MOD(BH$3-1,3)=0,ABS(BG43*BE42-1)&gt;Pricing!$B$26),1/BE42,BG43)</f>
        <v/>
      </c>
      <c r="BI43" s="36">
        <f>IF(AND(Pricing!$B$27=1,MOD(BI$3-1,3)=0,ABS(BH43*BF42-1)&gt;Pricing!$B$26),1/BF42,BH43)</f>
        <v/>
      </c>
      <c r="BJ43" s="36">
        <f>IF(AND(Pricing!$B$27=1,MOD(BJ$3-1,3)=0,ABS(BI43*BG42-1)&gt;Pricing!$B$26),1/BG42,BI43)</f>
        <v/>
      </c>
    </row>
    <row r="44">
      <c r="A44" s="4" t="inlineStr">
        <is>
          <t>ZAR value factor of local prices: Ghana</t>
        </is>
      </c>
      <c r="B44" s="17" t="inlineStr">
        <is>
          <t>x</t>
        </is>
      </c>
      <c r="C44" s="36">
        <f>C43*C42</f>
        <v/>
      </c>
      <c r="D44" s="36">
        <f>D43*D42</f>
        <v/>
      </c>
      <c r="E44" s="36">
        <f>E43*E42</f>
        <v/>
      </c>
      <c r="F44" s="36">
        <f>F43*F42</f>
        <v/>
      </c>
      <c r="G44" s="36">
        <f>G43*G42</f>
        <v/>
      </c>
      <c r="H44" s="36">
        <f>H43*H42</f>
        <v/>
      </c>
      <c r="I44" s="36">
        <f>I43*I42</f>
        <v/>
      </c>
      <c r="J44" s="36">
        <f>J43*J42</f>
        <v/>
      </c>
      <c r="K44" s="36">
        <f>K43*K42</f>
        <v/>
      </c>
      <c r="L44" s="36">
        <f>L43*L42</f>
        <v/>
      </c>
      <c r="M44" s="36">
        <f>M43*M42</f>
        <v/>
      </c>
      <c r="N44" s="36">
        <f>N43*N42</f>
        <v/>
      </c>
      <c r="O44" s="36">
        <f>O43*O42</f>
        <v/>
      </c>
      <c r="P44" s="36">
        <f>P43*P42</f>
        <v/>
      </c>
      <c r="Q44" s="36">
        <f>Q43*Q42</f>
        <v/>
      </c>
      <c r="R44" s="36">
        <f>R43*R42</f>
        <v/>
      </c>
      <c r="S44" s="36">
        <f>S43*S42</f>
        <v/>
      </c>
      <c r="T44" s="36">
        <f>T43*T42</f>
        <v/>
      </c>
      <c r="U44" s="36">
        <f>U43*U42</f>
        <v/>
      </c>
      <c r="V44" s="36">
        <f>V43*V42</f>
        <v/>
      </c>
      <c r="W44" s="36">
        <f>W43*W42</f>
        <v/>
      </c>
      <c r="X44" s="36">
        <f>X43*X42</f>
        <v/>
      </c>
      <c r="Y44" s="36">
        <f>Y43*Y42</f>
        <v/>
      </c>
      <c r="Z44" s="36">
        <f>Z43*Z42</f>
        <v/>
      </c>
      <c r="AA44" s="36">
        <f>AA43*AA42</f>
        <v/>
      </c>
      <c r="AB44" s="36">
        <f>AB43*AB42</f>
        <v/>
      </c>
      <c r="AC44" s="36">
        <f>AC43*AC42</f>
        <v/>
      </c>
      <c r="AD44" s="36">
        <f>AD43*AD42</f>
        <v/>
      </c>
      <c r="AE44" s="36">
        <f>AE43*AE42</f>
        <v/>
      </c>
      <c r="AF44" s="36">
        <f>AF43*AF42</f>
        <v/>
      </c>
      <c r="AG44" s="36">
        <f>AG43*AG42</f>
        <v/>
      </c>
      <c r="AH44" s="36">
        <f>AH43*AH42</f>
        <v/>
      </c>
      <c r="AI44" s="36">
        <f>AI43*AI42</f>
        <v/>
      </c>
      <c r="AJ44" s="36">
        <f>AJ43*AJ42</f>
        <v/>
      </c>
      <c r="AK44" s="36">
        <f>AK43*AK42</f>
        <v/>
      </c>
      <c r="AL44" s="36">
        <f>AL43*AL42</f>
        <v/>
      </c>
      <c r="AM44" s="36">
        <f>AM43*AM42</f>
        <v/>
      </c>
      <c r="AN44" s="36">
        <f>AN43*AN42</f>
        <v/>
      </c>
      <c r="AO44" s="36">
        <f>AO43*AO42</f>
        <v/>
      </c>
      <c r="AP44" s="36">
        <f>AP43*AP42</f>
        <v/>
      </c>
      <c r="AQ44" s="36">
        <f>AQ43*AQ42</f>
        <v/>
      </c>
      <c r="AR44" s="36">
        <f>AR43*AR42</f>
        <v/>
      </c>
      <c r="AS44" s="36">
        <f>AS43*AS42</f>
        <v/>
      </c>
      <c r="AT44" s="36">
        <f>AT43*AT42</f>
        <v/>
      </c>
      <c r="AU44" s="36">
        <f>AU43*AU42</f>
        <v/>
      </c>
      <c r="AV44" s="36">
        <f>AV43*AV42</f>
        <v/>
      </c>
      <c r="AW44" s="36">
        <f>AW43*AW42</f>
        <v/>
      </c>
      <c r="AX44" s="36">
        <f>AX43*AX42</f>
        <v/>
      </c>
      <c r="AY44" s="36">
        <f>AY43*AY42</f>
        <v/>
      </c>
      <c r="AZ44" s="36">
        <f>AZ43*AZ42</f>
        <v/>
      </c>
      <c r="BA44" s="36">
        <f>BA43*BA42</f>
        <v/>
      </c>
      <c r="BB44" s="36">
        <f>BB43*BB42</f>
        <v/>
      </c>
      <c r="BC44" s="36">
        <f>BC43*BC42</f>
        <v/>
      </c>
      <c r="BD44" s="36">
        <f>BD43*BD42</f>
        <v/>
      </c>
      <c r="BE44" s="36">
        <f>BE43*BE42</f>
        <v/>
      </c>
      <c r="BF44" s="36">
        <f>BF43*BF42</f>
        <v/>
      </c>
      <c r="BG44" s="36">
        <f>BG43*BG42</f>
        <v/>
      </c>
      <c r="BH44" s="36">
        <f>BH43*BH42</f>
        <v/>
      </c>
      <c r="BI44" s="36">
        <f>BI43*BI42</f>
        <v/>
      </c>
      <c r="BJ44" s="36">
        <f>BJ43*BJ42</f>
        <v/>
      </c>
    </row>
    <row r="45">
      <c r="A45" s="4" t="inlineStr">
        <is>
          <t>ZAR value of 1 unit of Rest of Africa (USD) currency (index)</t>
        </is>
      </c>
      <c r="B45" s="17" t="inlineStr">
        <is>
          <t>x</t>
        </is>
      </c>
      <c r="C45" s="36">
        <f>(1+Pricing!$B$25)^((C$3-1)/12)*IF(C$3&gt;=Assumptions!$B$42,1/(1+Assumptions!$B$41),1)</f>
        <v/>
      </c>
      <c r="D45" s="36">
        <f>(1+Pricing!$B$25)^((D$3-1)/12)*IF(D$3&gt;=Assumptions!$B$42,1/(1+Assumptions!$B$41),1)</f>
        <v/>
      </c>
      <c r="E45" s="36">
        <f>(1+Pricing!$B$25)^((E$3-1)/12)*IF(E$3&gt;=Assumptions!$B$42,1/(1+Assumptions!$B$41),1)</f>
        <v/>
      </c>
      <c r="F45" s="36">
        <f>(1+Pricing!$B$25)^((F$3-1)/12)*IF(F$3&gt;=Assumptions!$B$42,1/(1+Assumptions!$B$41),1)</f>
        <v/>
      </c>
      <c r="G45" s="36">
        <f>(1+Pricing!$B$25)^((G$3-1)/12)*IF(G$3&gt;=Assumptions!$B$42,1/(1+Assumptions!$B$41),1)</f>
        <v/>
      </c>
      <c r="H45" s="36">
        <f>(1+Pricing!$B$25)^((H$3-1)/12)*IF(H$3&gt;=Assumptions!$B$42,1/(1+Assumptions!$B$41),1)</f>
        <v/>
      </c>
      <c r="I45" s="36">
        <f>(1+Pricing!$B$25)^((I$3-1)/12)*IF(I$3&gt;=Assumptions!$B$42,1/(1+Assumptions!$B$41),1)</f>
        <v/>
      </c>
      <c r="J45" s="36">
        <f>(1+Pricing!$B$25)^((J$3-1)/12)*IF(J$3&gt;=Assumptions!$B$42,1/(1+Assumptions!$B$41),1)</f>
        <v/>
      </c>
      <c r="K45" s="36">
        <f>(1+Pricing!$B$25)^((K$3-1)/12)*IF(K$3&gt;=Assumptions!$B$42,1/(1+Assumptions!$B$41),1)</f>
        <v/>
      </c>
      <c r="L45" s="36">
        <f>(1+Pricing!$B$25)^((L$3-1)/12)*IF(L$3&gt;=Assumptions!$B$42,1/(1+Assumptions!$B$41),1)</f>
        <v/>
      </c>
      <c r="M45" s="36">
        <f>(1+Pricing!$B$25)^((M$3-1)/12)*IF(M$3&gt;=Assumptions!$B$42,1/(1+Assumptions!$B$41),1)</f>
        <v/>
      </c>
      <c r="N45" s="36">
        <f>(1+Pricing!$B$25)^((N$3-1)/12)*IF(N$3&gt;=Assumptions!$B$42,1/(1+Assumptions!$B$41),1)</f>
        <v/>
      </c>
      <c r="O45" s="36">
        <f>(1+Pricing!$B$25)^((O$3-1)/12)*IF(O$3&gt;=Assumptions!$B$42,1/(1+Assumptions!$B$41),1)</f>
        <v/>
      </c>
      <c r="P45" s="36">
        <f>(1+Pricing!$B$25)^((P$3-1)/12)*IF(P$3&gt;=Assumptions!$B$42,1/(1+Assumptions!$B$41),1)</f>
        <v/>
      </c>
      <c r="Q45" s="36">
        <f>(1+Pricing!$B$25)^((Q$3-1)/12)*IF(Q$3&gt;=Assumptions!$B$42,1/(1+Assumptions!$B$41),1)</f>
        <v/>
      </c>
      <c r="R45" s="36">
        <f>(1+Pricing!$B$25)^((R$3-1)/12)*IF(R$3&gt;=Assumptions!$B$42,1/(1+Assumptions!$B$41),1)</f>
        <v/>
      </c>
      <c r="S45" s="36">
        <f>(1+Pricing!$B$25)^((S$3-1)/12)*IF(S$3&gt;=Assumptions!$B$42,1/(1+Assumptions!$B$41),1)</f>
        <v/>
      </c>
      <c r="T45" s="36">
        <f>(1+Pricing!$B$25)^((T$3-1)/12)*IF(T$3&gt;=Assumptions!$B$42,1/(1+Assumptions!$B$41),1)</f>
        <v/>
      </c>
      <c r="U45" s="36">
        <f>(1+Pricing!$B$25)^((U$3-1)/12)*IF(U$3&gt;=Assumptions!$B$42,1/(1+Assumptions!$B$41),1)</f>
        <v/>
      </c>
      <c r="V45" s="36">
        <f>(1+Pricing!$B$25)^((V$3-1)/12)*IF(V$3&gt;=Assumptions!$B$42,1/(1+Assumptions!$B$41),1)</f>
        <v/>
      </c>
      <c r="W45" s="36">
        <f>(1+Pricing!$B$25)^((W$3-1)/12)*IF(W$3&gt;=Assumptions!$B$42,1/(1+Assumptions!$B$41),1)</f>
        <v/>
      </c>
      <c r="X45" s="36">
        <f>(1+Pricing!$B$25)^((X$3-1)/12)*IF(X$3&gt;=Assumptions!$B$42,1/(1+Assumptions!$B$41),1)</f>
        <v/>
      </c>
      <c r="Y45" s="36">
        <f>(1+Pricing!$B$25)^((Y$3-1)/12)*IF(Y$3&gt;=Assumptions!$B$42,1/(1+Assumptions!$B$41),1)</f>
        <v/>
      </c>
      <c r="Z45" s="36">
        <f>(1+Pricing!$B$25)^((Z$3-1)/12)*IF(Z$3&gt;=Assumptions!$B$42,1/(1+Assumptions!$B$41),1)</f>
        <v/>
      </c>
      <c r="AA45" s="36">
        <f>(1+Pricing!$B$25)^((AA$3-1)/12)*IF(AA$3&gt;=Assumptions!$B$42,1/(1+Assumptions!$B$41),1)</f>
        <v/>
      </c>
      <c r="AB45" s="36">
        <f>(1+Pricing!$B$25)^((AB$3-1)/12)*IF(AB$3&gt;=Assumptions!$B$42,1/(1+Assumptions!$B$41),1)</f>
        <v/>
      </c>
      <c r="AC45" s="36">
        <f>(1+Pricing!$B$25)^((AC$3-1)/12)*IF(AC$3&gt;=Assumptions!$B$42,1/(1+Assumptions!$B$41),1)</f>
        <v/>
      </c>
      <c r="AD45" s="36">
        <f>(1+Pricing!$B$25)^((AD$3-1)/12)*IF(AD$3&gt;=Assumptions!$B$42,1/(1+Assumptions!$B$41),1)</f>
        <v/>
      </c>
      <c r="AE45" s="36">
        <f>(1+Pricing!$B$25)^((AE$3-1)/12)*IF(AE$3&gt;=Assumptions!$B$42,1/(1+Assumptions!$B$41),1)</f>
        <v/>
      </c>
      <c r="AF45" s="36">
        <f>(1+Pricing!$B$25)^((AF$3-1)/12)*IF(AF$3&gt;=Assumptions!$B$42,1/(1+Assumptions!$B$41),1)</f>
        <v/>
      </c>
      <c r="AG45" s="36">
        <f>(1+Pricing!$B$25)^((AG$3-1)/12)*IF(AG$3&gt;=Assumptions!$B$42,1/(1+Assumptions!$B$41),1)</f>
        <v/>
      </c>
      <c r="AH45" s="36">
        <f>(1+Pricing!$B$25)^((AH$3-1)/12)*IF(AH$3&gt;=Assumptions!$B$42,1/(1+Assumptions!$B$41),1)</f>
        <v/>
      </c>
      <c r="AI45" s="36">
        <f>(1+Pricing!$B$25)^((AI$3-1)/12)*IF(AI$3&gt;=Assumptions!$B$42,1/(1+Assumptions!$B$41),1)</f>
        <v/>
      </c>
      <c r="AJ45" s="36">
        <f>(1+Pricing!$B$25)^((AJ$3-1)/12)*IF(AJ$3&gt;=Assumptions!$B$42,1/(1+Assumptions!$B$41),1)</f>
        <v/>
      </c>
      <c r="AK45" s="36">
        <f>(1+Pricing!$B$25)^((AK$3-1)/12)*IF(AK$3&gt;=Assumptions!$B$42,1/(1+Assumptions!$B$41),1)</f>
        <v/>
      </c>
      <c r="AL45" s="36">
        <f>(1+Pricing!$B$25)^((AL$3-1)/12)*IF(AL$3&gt;=Assumptions!$B$42,1/(1+Assumptions!$B$41),1)</f>
        <v/>
      </c>
      <c r="AM45" s="36">
        <f>(1+Pricing!$B$25)^((AM$3-1)/12)*IF(AM$3&gt;=Assumptions!$B$42,1/(1+Assumptions!$B$41),1)</f>
        <v/>
      </c>
      <c r="AN45" s="36">
        <f>(1+Pricing!$B$25)^((AN$3-1)/12)*IF(AN$3&gt;=Assumptions!$B$42,1/(1+Assumptions!$B$41),1)</f>
        <v/>
      </c>
      <c r="AO45" s="36">
        <f>(1+Pricing!$B$25)^((AO$3-1)/12)*IF(AO$3&gt;=Assumptions!$B$42,1/(1+Assumptions!$B$41),1)</f>
        <v/>
      </c>
      <c r="AP45" s="36">
        <f>(1+Pricing!$B$25)^((AP$3-1)/12)*IF(AP$3&gt;=Assumptions!$B$42,1/(1+Assumptions!$B$41),1)</f>
        <v/>
      </c>
      <c r="AQ45" s="36">
        <f>(1+Pricing!$B$25)^((AQ$3-1)/12)*IF(AQ$3&gt;=Assumptions!$B$42,1/(1+Assumptions!$B$41),1)</f>
        <v/>
      </c>
      <c r="AR45" s="36">
        <f>(1+Pricing!$B$25)^((AR$3-1)/12)*IF(AR$3&gt;=Assumptions!$B$42,1/(1+Assumptions!$B$41),1)</f>
        <v/>
      </c>
      <c r="AS45" s="36">
        <f>(1+Pricing!$B$25)^((AS$3-1)/12)*IF(AS$3&gt;=Assumptions!$B$42,1/(1+Assumptions!$B$41),1)</f>
        <v/>
      </c>
      <c r="AT45" s="36">
        <f>(1+Pricing!$B$25)^((AT$3-1)/12)*IF(AT$3&gt;=Assumptions!$B$42,1/(1+Assumptions!$B$41),1)</f>
        <v/>
      </c>
      <c r="AU45" s="36">
        <f>(1+Pricing!$B$25)^((AU$3-1)/12)*IF(AU$3&gt;=Assumptions!$B$42,1/(1+Assumptions!$B$41),1)</f>
        <v/>
      </c>
      <c r="AV45" s="36">
        <f>(1+Pricing!$B$25)^((AV$3-1)/12)*IF(AV$3&gt;=Assumptions!$B$42,1/(1+Assumptions!$B$41),1)</f>
        <v/>
      </c>
      <c r="AW45" s="36">
        <f>(1+Pricing!$B$25)^((AW$3-1)/12)*IF(AW$3&gt;=Assumptions!$B$42,1/(1+Assumptions!$B$41),1)</f>
        <v/>
      </c>
      <c r="AX45" s="36">
        <f>(1+Pricing!$B$25)^((AX$3-1)/12)*IF(AX$3&gt;=Assumptions!$B$42,1/(1+Assumptions!$B$41),1)</f>
        <v/>
      </c>
      <c r="AY45" s="36">
        <f>(1+Pricing!$B$25)^((AY$3-1)/12)*IF(AY$3&gt;=Assumptions!$B$42,1/(1+Assumptions!$B$41),1)</f>
        <v/>
      </c>
      <c r="AZ45" s="36">
        <f>(1+Pricing!$B$25)^((AZ$3-1)/12)*IF(AZ$3&gt;=Assumptions!$B$42,1/(1+Assumptions!$B$41),1)</f>
        <v/>
      </c>
      <c r="BA45" s="36">
        <f>(1+Pricing!$B$25)^((BA$3-1)/12)*IF(BA$3&gt;=Assumptions!$B$42,1/(1+Assumptions!$B$41),1)</f>
        <v/>
      </c>
      <c r="BB45" s="36">
        <f>(1+Pricing!$B$25)^((BB$3-1)/12)*IF(BB$3&gt;=Assumptions!$B$42,1/(1+Assumptions!$B$41),1)</f>
        <v/>
      </c>
      <c r="BC45" s="36">
        <f>(1+Pricing!$B$25)^((BC$3-1)/12)*IF(BC$3&gt;=Assumptions!$B$42,1/(1+Assumptions!$B$41),1)</f>
        <v/>
      </c>
      <c r="BD45" s="36">
        <f>(1+Pricing!$B$25)^((BD$3-1)/12)*IF(BD$3&gt;=Assumptions!$B$42,1/(1+Assumptions!$B$41),1)</f>
        <v/>
      </c>
      <c r="BE45" s="36">
        <f>(1+Pricing!$B$25)^((BE$3-1)/12)*IF(BE$3&gt;=Assumptions!$B$42,1/(1+Assumptions!$B$41),1)</f>
        <v/>
      </c>
      <c r="BF45" s="36">
        <f>(1+Pricing!$B$25)^((BF$3-1)/12)*IF(BF$3&gt;=Assumptions!$B$42,1/(1+Assumptions!$B$41),1)</f>
        <v/>
      </c>
      <c r="BG45" s="36">
        <f>(1+Pricing!$B$25)^((BG$3-1)/12)*IF(BG$3&gt;=Assumptions!$B$42,1/(1+Assumptions!$B$41),1)</f>
        <v/>
      </c>
      <c r="BH45" s="36">
        <f>(1+Pricing!$B$25)^((BH$3-1)/12)*IF(BH$3&gt;=Assumptions!$B$42,1/(1+Assumptions!$B$41),1)</f>
        <v/>
      </c>
      <c r="BI45" s="36">
        <f>(1+Pricing!$B$25)^((BI$3-1)/12)*IF(BI$3&gt;=Assumptions!$B$42,1/(1+Assumptions!$B$41),1)</f>
        <v/>
      </c>
      <c r="BJ45" s="36">
        <f>(1+Pricing!$B$25)^((BJ$3-1)/12)*IF(BJ$3&gt;=Assumptions!$B$42,1/(1+Assumptions!$B$41),1)</f>
        <v/>
      </c>
    </row>
    <row r="46">
      <c r="A46" s="4" t="inlineStr">
        <is>
          <t>Local price level after repricing: Rest of Africa (USD)</t>
        </is>
      </c>
      <c r="B46" s="17" t="inlineStr">
        <is>
          <t>x</t>
        </is>
      </c>
      <c r="C46" s="36">
        <f>1</f>
        <v/>
      </c>
      <c r="D46" s="36">
        <f>C46</f>
        <v/>
      </c>
      <c r="E46" s="36">
        <f>D46</f>
        <v/>
      </c>
      <c r="F46" s="36">
        <f>IF(AND(Pricing!$B$27=1,MOD(F$3-1,3)=0,ABS(E46*C45-1)&gt;Pricing!$B$26),1/C45,E46)</f>
        <v/>
      </c>
      <c r="G46" s="36">
        <f>IF(AND(Pricing!$B$27=1,MOD(G$3-1,3)=0,ABS(F46*D45-1)&gt;Pricing!$B$26),1/D45,F46)</f>
        <v/>
      </c>
      <c r="H46" s="36">
        <f>IF(AND(Pricing!$B$27=1,MOD(H$3-1,3)=0,ABS(G46*E45-1)&gt;Pricing!$B$26),1/E45,G46)</f>
        <v/>
      </c>
      <c r="I46" s="36">
        <f>IF(AND(Pricing!$B$27=1,MOD(I$3-1,3)=0,ABS(H46*F45-1)&gt;Pricing!$B$26),1/F45,H46)</f>
        <v/>
      </c>
      <c r="J46" s="36">
        <f>IF(AND(Pricing!$B$27=1,MOD(J$3-1,3)=0,ABS(I46*G45-1)&gt;Pricing!$B$26),1/G45,I46)</f>
        <v/>
      </c>
      <c r="K46" s="36">
        <f>IF(AND(Pricing!$B$27=1,MOD(K$3-1,3)=0,ABS(J46*H45-1)&gt;Pricing!$B$26),1/H45,J46)</f>
        <v/>
      </c>
      <c r="L46" s="36">
        <f>IF(AND(Pricing!$B$27=1,MOD(L$3-1,3)=0,ABS(K46*I45-1)&gt;Pricing!$B$26),1/I45,K46)</f>
        <v/>
      </c>
      <c r="M46" s="36">
        <f>IF(AND(Pricing!$B$27=1,MOD(M$3-1,3)=0,ABS(L46*J45-1)&gt;Pricing!$B$26),1/J45,L46)</f>
        <v/>
      </c>
      <c r="N46" s="36">
        <f>IF(AND(Pricing!$B$27=1,MOD(N$3-1,3)=0,ABS(M46*K45-1)&gt;Pricing!$B$26),1/K45,M46)</f>
        <v/>
      </c>
      <c r="O46" s="36">
        <f>IF(AND(Pricing!$B$27=1,MOD(O$3-1,3)=0,ABS(N46*L45-1)&gt;Pricing!$B$26),1/L45,N46)</f>
        <v/>
      </c>
      <c r="P46" s="36">
        <f>IF(AND(Pricing!$B$27=1,MOD(P$3-1,3)=0,ABS(O46*M45-1)&gt;Pricing!$B$26),1/M45,O46)</f>
        <v/>
      </c>
      <c r="Q46" s="36">
        <f>IF(AND(Pricing!$B$27=1,MOD(Q$3-1,3)=0,ABS(P46*N45-1)&gt;Pricing!$B$26),1/N45,P46)</f>
        <v/>
      </c>
      <c r="R46" s="36">
        <f>IF(AND(Pricing!$B$27=1,MOD(R$3-1,3)=0,ABS(Q46*O45-1)&gt;Pricing!$B$26),1/O45,Q46)</f>
        <v/>
      </c>
      <c r="S46" s="36">
        <f>IF(AND(Pricing!$B$27=1,MOD(S$3-1,3)=0,ABS(R46*P45-1)&gt;Pricing!$B$26),1/P45,R46)</f>
        <v/>
      </c>
      <c r="T46" s="36">
        <f>IF(AND(Pricing!$B$27=1,MOD(T$3-1,3)=0,ABS(S46*Q45-1)&gt;Pricing!$B$26),1/Q45,S46)</f>
        <v/>
      </c>
      <c r="U46" s="36">
        <f>IF(AND(Pricing!$B$27=1,MOD(U$3-1,3)=0,ABS(T46*R45-1)&gt;Pricing!$B$26),1/R45,T46)</f>
        <v/>
      </c>
      <c r="V46" s="36">
        <f>IF(AND(Pricing!$B$27=1,MOD(V$3-1,3)=0,ABS(U46*S45-1)&gt;Pricing!$B$26),1/S45,U46)</f>
        <v/>
      </c>
      <c r="W46" s="36">
        <f>IF(AND(Pricing!$B$27=1,MOD(W$3-1,3)=0,ABS(V46*T45-1)&gt;Pricing!$B$26),1/T45,V46)</f>
        <v/>
      </c>
      <c r="X46" s="36">
        <f>IF(AND(Pricing!$B$27=1,MOD(X$3-1,3)=0,ABS(W46*U45-1)&gt;Pricing!$B$26),1/U45,W46)</f>
        <v/>
      </c>
      <c r="Y46" s="36">
        <f>IF(AND(Pricing!$B$27=1,MOD(Y$3-1,3)=0,ABS(X46*V45-1)&gt;Pricing!$B$26),1/V45,X46)</f>
        <v/>
      </c>
      <c r="Z46" s="36">
        <f>IF(AND(Pricing!$B$27=1,MOD(Z$3-1,3)=0,ABS(Y46*W45-1)&gt;Pricing!$B$26),1/W45,Y46)</f>
        <v/>
      </c>
      <c r="AA46" s="36">
        <f>IF(AND(Pricing!$B$27=1,MOD(AA$3-1,3)=0,ABS(Z46*X45-1)&gt;Pricing!$B$26),1/X45,Z46)</f>
        <v/>
      </c>
      <c r="AB46" s="36">
        <f>IF(AND(Pricing!$B$27=1,MOD(AB$3-1,3)=0,ABS(AA46*Y45-1)&gt;Pricing!$B$26),1/Y45,AA46)</f>
        <v/>
      </c>
      <c r="AC46" s="36">
        <f>IF(AND(Pricing!$B$27=1,MOD(AC$3-1,3)=0,ABS(AB46*Z45-1)&gt;Pricing!$B$26),1/Z45,AB46)</f>
        <v/>
      </c>
      <c r="AD46" s="36">
        <f>IF(AND(Pricing!$B$27=1,MOD(AD$3-1,3)=0,ABS(AC46*AA45-1)&gt;Pricing!$B$26),1/AA45,AC46)</f>
        <v/>
      </c>
      <c r="AE46" s="36">
        <f>IF(AND(Pricing!$B$27=1,MOD(AE$3-1,3)=0,ABS(AD46*AB45-1)&gt;Pricing!$B$26),1/AB45,AD46)</f>
        <v/>
      </c>
      <c r="AF46" s="36">
        <f>IF(AND(Pricing!$B$27=1,MOD(AF$3-1,3)=0,ABS(AE46*AC45-1)&gt;Pricing!$B$26),1/AC45,AE46)</f>
        <v/>
      </c>
      <c r="AG46" s="36">
        <f>IF(AND(Pricing!$B$27=1,MOD(AG$3-1,3)=0,ABS(AF46*AD45-1)&gt;Pricing!$B$26),1/AD45,AF46)</f>
        <v/>
      </c>
      <c r="AH46" s="36">
        <f>IF(AND(Pricing!$B$27=1,MOD(AH$3-1,3)=0,ABS(AG46*AE45-1)&gt;Pricing!$B$26),1/AE45,AG46)</f>
        <v/>
      </c>
      <c r="AI46" s="36">
        <f>IF(AND(Pricing!$B$27=1,MOD(AI$3-1,3)=0,ABS(AH46*AF45-1)&gt;Pricing!$B$26),1/AF45,AH46)</f>
        <v/>
      </c>
      <c r="AJ46" s="36">
        <f>IF(AND(Pricing!$B$27=1,MOD(AJ$3-1,3)=0,ABS(AI46*AG45-1)&gt;Pricing!$B$26),1/AG45,AI46)</f>
        <v/>
      </c>
      <c r="AK46" s="36">
        <f>IF(AND(Pricing!$B$27=1,MOD(AK$3-1,3)=0,ABS(AJ46*AH45-1)&gt;Pricing!$B$26),1/AH45,AJ46)</f>
        <v/>
      </c>
      <c r="AL46" s="36">
        <f>IF(AND(Pricing!$B$27=1,MOD(AL$3-1,3)=0,ABS(AK46*AI45-1)&gt;Pricing!$B$26),1/AI45,AK46)</f>
        <v/>
      </c>
      <c r="AM46" s="36">
        <f>IF(AND(Pricing!$B$27=1,MOD(AM$3-1,3)=0,ABS(AL46*AJ45-1)&gt;Pricing!$B$26),1/AJ45,AL46)</f>
        <v/>
      </c>
      <c r="AN46" s="36">
        <f>IF(AND(Pricing!$B$27=1,MOD(AN$3-1,3)=0,ABS(AM46*AK45-1)&gt;Pricing!$B$26),1/AK45,AM46)</f>
        <v/>
      </c>
      <c r="AO46" s="36">
        <f>IF(AND(Pricing!$B$27=1,MOD(AO$3-1,3)=0,ABS(AN46*AL45-1)&gt;Pricing!$B$26),1/AL45,AN46)</f>
        <v/>
      </c>
      <c r="AP46" s="36">
        <f>IF(AND(Pricing!$B$27=1,MOD(AP$3-1,3)=0,ABS(AO46*AM45-1)&gt;Pricing!$B$26),1/AM45,AO46)</f>
        <v/>
      </c>
      <c r="AQ46" s="36">
        <f>IF(AND(Pricing!$B$27=1,MOD(AQ$3-1,3)=0,ABS(AP46*AN45-1)&gt;Pricing!$B$26),1/AN45,AP46)</f>
        <v/>
      </c>
      <c r="AR46" s="36">
        <f>IF(AND(Pricing!$B$27=1,MOD(AR$3-1,3)=0,ABS(AQ46*AO45-1)&gt;Pricing!$B$26),1/AO45,AQ46)</f>
        <v/>
      </c>
      <c r="AS46" s="36">
        <f>IF(AND(Pricing!$B$27=1,MOD(AS$3-1,3)=0,ABS(AR46*AP45-1)&gt;Pricing!$B$26),1/AP45,AR46)</f>
        <v/>
      </c>
      <c r="AT46" s="36">
        <f>IF(AND(Pricing!$B$27=1,MOD(AT$3-1,3)=0,ABS(AS46*AQ45-1)&gt;Pricing!$B$26),1/AQ45,AS46)</f>
        <v/>
      </c>
      <c r="AU46" s="36">
        <f>IF(AND(Pricing!$B$27=1,MOD(AU$3-1,3)=0,ABS(AT46*AR45-1)&gt;Pricing!$B$26),1/AR45,AT46)</f>
        <v/>
      </c>
      <c r="AV46" s="36">
        <f>IF(AND(Pricing!$B$27=1,MOD(AV$3-1,3)=0,ABS(AU46*AS45-1)&gt;Pricing!$B$26),1/AS45,AU46)</f>
        <v/>
      </c>
      <c r="AW46" s="36">
        <f>IF(AND(Pricing!$B$27=1,MOD(AW$3-1,3)=0,ABS(AV46*AT45-1)&gt;Pricing!$B$26),1/AT45,AV46)</f>
        <v/>
      </c>
      <c r="AX46" s="36">
        <f>IF(AND(Pricing!$B$27=1,MOD(AX$3-1,3)=0,ABS(AW46*AU45-1)&gt;Pricing!$B$26),1/AU45,AW46)</f>
        <v/>
      </c>
      <c r="AY46" s="36">
        <f>IF(AND(Pricing!$B$27=1,MOD(AY$3-1,3)=0,ABS(AX46*AV45-1)&gt;Pricing!$B$26),1/AV45,AX46)</f>
        <v/>
      </c>
      <c r="AZ46" s="36">
        <f>IF(AND(Pricing!$B$27=1,MOD(AZ$3-1,3)=0,ABS(AY46*AW45-1)&gt;Pricing!$B$26),1/AW45,AY46)</f>
        <v/>
      </c>
      <c r="BA46" s="36">
        <f>IF(AND(Pricing!$B$27=1,MOD(BA$3-1,3)=0,ABS(AZ46*AX45-1)&gt;Pricing!$B$26),1/AX45,AZ46)</f>
        <v/>
      </c>
      <c r="BB46" s="36">
        <f>IF(AND(Pricing!$B$27=1,MOD(BB$3-1,3)=0,ABS(BA46*AY45-1)&gt;Pricing!$B$26),1/AY45,BA46)</f>
        <v/>
      </c>
      <c r="BC46" s="36">
        <f>IF(AND(Pricing!$B$27=1,MOD(BC$3-1,3)=0,ABS(BB46*AZ45-1)&gt;Pricing!$B$26),1/AZ45,BB46)</f>
        <v/>
      </c>
      <c r="BD46" s="36">
        <f>IF(AND(Pricing!$B$27=1,MOD(BD$3-1,3)=0,ABS(BC46*BA45-1)&gt;Pricing!$B$26),1/BA45,BC46)</f>
        <v/>
      </c>
      <c r="BE46" s="36">
        <f>IF(AND(Pricing!$B$27=1,MOD(BE$3-1,3)=0,ABS(BD46*BB45-1)&gt;Pricing!$B$26),1/BB45,BD46)</f>
        <v/>
      </c>
      <c r="BF46" s="36">
        <f>IF(AND(Pricing!$B$27=1,MOD(BF$3-1,3)=0,ABS(BE46*BC45-1)&gt;Pricing!$B$26),1/BC45,BE46)</f>
        <v/>
      </c>
      <c r="BG46" s="36">
        <f>IF(AND(Pricing!$B$27=1,MOD(BG$3-1,3)=0,ABS(BF46*BD45-1)&gt;Pricing!$B$26),1/BD45,BF46)</f>
        <v/>
      </c>
      <c r="BH46" s="36">
        <f>IF(AND(Pricing!$B$27=1,MOD(BH$3-1,3)=0,ABS(BG46*BE45-1)&gt;Pricing!$B$26),1/BE45,BG46)</f>
        <v/>
      </c>
      <c r="BI46" s="36">
        <f>IF(AND(Pricing!$B$27=1,MOD(BI$3-1,3)=0,ABS(BH46*BF45-1)&gt;Pricing!$B$26),1/BF45,BH46)</f>
        <v/>
      </c>
      <c r="BJ46" s="36">
        <f>IF(AND(Pricing!$B$27=1,MOD(BJ$3-1,3)=0,ABS(BI46*BG45-1)&gt;Pricing!$B$26),1/BG45,BI46)</f>
        <v/>
      </c>
    </row>
    <row r="47">
      <c r="A47" s="4" t="inlineStr">
        <is>
          <t>ZAR value factor of local prices: Rest of Africa (USD)</t>
        </is>
      </c>
      <c r="B47" s="17" t="inlineStr">
        <is>
          <t>x</t>
        </is>
      </c>
      <c r="C47" s="36">
        <f>C46*C45</f>
        <v/>
      </c>
      <c r="D47" s="36">
        <f>D46*D45</f>
        <v/>
      </c>
      <c r="E47" s="36">
        <f>E46*E45</f>
        <v/>
      </c>
      <c r="F47" s="36">
        <f>F46*F45</f>
        <v/>
      </c>
      <c r="G47" s="36">
        <f>G46*G45</f>
        <v/>
      </c>
      <c r="H47" s="36">
        <f>H46*H45</f>
        <v/>
      </c>
      <c r="I47" s="36">
        <f>I46*I45</f>
        <v/>
      </c>
      <c r="J47" s="36">
        <f>J46*J45</f>
        <v/>
      </c>
      <c r="K47" s="36">
        <f>K46*K45</f>
        <v/>
      </c>
      <c r="L47" s="36">
        <f>L46*L45</f>
        <v/>
      </c>
      <c r="M47" s="36">
        <f>M46*M45</f>
        <v/>
      </c>
      <c r="N47" s="36">
        <f>N46*N45</f>
        <v/>
      </c>
      <c r="O47" s="36">
        <f>O46*O45</f>
        <v/>
      </c>
      <c r="P47" s="36">
        <f>P46*P45</f>
        <v/>
      </c>
      <c r="Q47" s="36">
        <f>Q46*Q45</f>
        <v/>
      </c>
      <c r="R47" s="36">
        <f>R46*R45</f>
        <v/>
      </c>
      <c r="S47" s="36">
        <f>S46*S45</f>
        <v/>
      </c>
      <c r="T47" s="36">
        <f>T46*T45</f>
        <v/>
      </c>
      <c r="U47" s="36">
        <f>U46*U45</f>
        <v/>
      </c>
      <c r="V47" s="36">
        <f>V46*V45</f>
        <v/>
      </c>
      <c r="W47" s="36">
        <f>W46*W45</f>
        <v/>
      </c>
      <c r="X47" s="36">
        <f>X46*X45</f>
        <v/>
      </c>
      <c r="Y47" s="36">
        <f>Y46*Y45</f>
        <v/>
      </c>
      <c r="Z47" s="36">
        <f>Z46*Z45</f>
        <v/>
      </c>
      <c r="AA47" s="36">
        <f>AA46*AA45</f>
        <v/>
      </c>
      <c r="AB47" s="36">
        <f>AB46*AB45</f>
        <v/>
      </c>
      <c r="AC47" s="36">
        <f>AC46*AC45</f>
        <v/>
      </c>
      <c r="AD47" s="36">
        <f>AD46*AD45</f>
        <v/>
      </c>
      <c r="AE47" s="36">
        <f>AE46*AE45</f>
        <v/>
      </c>
      <c r="AF47" s="36">
        <f>AF46*AF45</f>
        <v/>
      </c>
      <c r="AG47" s="36">
        <f>AG46*AG45</f>
        <v/>
      </c>
      <c r="AH47" s="36">
        <f>AH46*AH45</f>
        <v/>
      </c>
      <c r="AI47" s="36">
        <f>AI46*AI45</f>
        <v/>
      </c>
      <c r="AJ47" s="36">
        <f>AJ46*AJ45</f>
        <v/>
      </c>
      <c r="AK47" s="36">
        <f>AK46*AK45</f>
        <v/>
      </c>
      <c r="AL47" s="36">
        <f>AL46*AL45</f>
        <v/>
      </c>
      <c r="AM47" s="36">
        <f>AM46*AM45</f>
        <v/>
      </c>
      <c r="AN47" s="36">
        <f>AN46*AN45</f>
        <v/>
      </c>
      <c r="AO47" s="36">
        <f>AO46*AO45</f>
        <v/>
      </c>
      <c r="AP47" s="36">
        <f>AP46*AP45</f>
        <v/>
      </c>
      <c r="AQ47" s="36">
        <f>AQ46*AQ45</f>
        <v/>
      </c>
      <c r="AR47" s="36">
        <f>AR46*AR45</f>
        <v/>
      </c>
      <c r="AS47" s="36">
        <f>AS46*AS45</f>
        <v/>
      </c>
      <c r="AT47" s="36">
        <f>AT46*AT45</f>
        <v/>
      </c>
      <c r="AU47" s="36">
        <f>AU46*AU45</f>
        <v/>
      </c>
      <c r="AV47" s="36">
        <f>AV46*AV45</f>
        <v/>
      </c>
      <c r="AW47" s="36">
        <f>AW46*AW45</f>
        <v/>
      </c>
      <c r="AX47" s="36">
        <f>AX46*AX45</f>
        <v/>
      </c>
      <c r="AY47" s="36">
        <f>AY46*AY45</f>
        <v/>
      </c>
      <c r="AZ47" s="36">
        <f>AZ46*AZ45</f>
        <v/>
      </c>
      <c r="BA47" s="36">
        <f>BA46*BA45</f>
        <v/>
      </c>
      <c r="BB47" s="36">
        <f>BB46*BB45</f>
        <v/>
      </c>
      <c r="BC47" s="36">
        <f>BC46*BC45</f>
        <v/>
      </c>
      <c r="BD47" s="36">
        <f>BD46*BD45</f>
        <v/>
      </c>
      <c r="BE47" s="36">
        <f>BE46*BE45</f>
        <v/>
      </c>
      <c r="BF47" s="36">
        <f>BF46*BF45</f>
        <v/>
      </c>
      <c r="BG47" s="36">
        <f>BG46*BG45</f>
        <v/>
      </c>
      <c r="BH47" s="36">
        <f>BH46*BH45</f>
        <v/>
      </c>
      <c r="BI47" s="36">
        <f>BI46*BI45</f>
        <v/>
      </c>
      <c r="BJ47" s="36">
        <f>BJ46*BJ45</f>
        <v/>
      </c>
    </row>
    <row r="48"/>
    <row r="49">
      <c r="A49" s="19" t="inlineStr">
        <is>
          <t>Self-serve trials by market (start in each market's launch month)</t>
        </is>
      </c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  <c r="AP49" s="19" t="n"/>
      <c r="AQ49" s="19" t="n"/>
      <c r="AR49" s="19" t="n"/>
      <c r="AS49" s="19" t="n"/>
      <c r="AT49" s="19" t="n"/>
      <c r="AU49" s="19" t="n"/>
      <c r="AV49" s="19" t="n"/>
      <c r="AW49" s="19" t="n"/>
      <c r="AX49" s="19" t="n"/>
      <c r="AY49" s="19" t="n"/>
      <c r="AZ49" s="19" t="n"/>
      <c r="BA49" s="19" t="n"/>
      <c r="BB49" s="19" t="n"/>
      <c r="BC49" s="19" t="n"/>
      <c r="BD49" s="19" t="n"/>
      <c r="BE49" s="19" t="n"/>
      <c r="BF49" s="19" t="n"/>
      <c r="BG49" s="19" t="n"/>
      <c r="BH49" s="19" t="n"/>
      <c r="BI49" s="19" t="n"/>
      <c r="BJ49" s="19" t="n"/>
    </row>
    <row r="50">
      <c r="A50" s="4" t="inlineStr">
        <is>
          <t>Monthly trial growth rate (scenario, by fiscal year)</t>
        </is>
      </c>
      <c r="B50" s="17" t="inlineStr">
        <is>
          <t>% m/m</t>
        </is>
      </c>
      <c r="C50" s="9">
        <f>CHOOSE(C$5,Assumptions!$B$44,Assumptions!$B$45,Assumptions!$B$46,Assumptions!$B$47,Assumptions!$B$48)</f>
        <v/>
      </c>
      <c r="D50" s="9">
        <f>CHOOSE(D$5,Assumptions!$B$44,Assumptions!$B$45,Assumptions!$B$46,Assumptions!$B$47,Assumptions!$B$48)</f>
        <v/>
      </c>
      <c r="E50" s="9">
        <f>CHOOSE(E$5,Assumptions!$B$44,Assumptions!$B$45,Assumptions!$B$46,Assumptions!$B$47,Assumptions!$B$48)</f>
        <v/>
      </c>
      <c r="F50" s="9">
        <f>CHOOSE(F$5,Assumptions!$B$44,Assumptions!$B$45,Assumptions!$B$46,Assumptions!$B$47,Assumptions!$B$48)</f>
        <v/>
      </c>
      <c r="G50" s="9">
        <f>CHOOSE(G$5,Assumptions!$B$44,Assumptions!$B$45,Assumptions!$B$46,Assumptions!$B$47,Assumptions!$B$48)</f>
        <v/>
      </c>
      <c r="H50" s="9">
        <f>CHOOSE(H$5,Assumptions!$B$44,Assumptions!$B$45,Assumptions!$B$46,Assumptions!$B$47,Assumptions!$B$48)</f>
        <v/>
      </c>
      <c r="I50" s="9">
        <f>CHOOSE(I$5,Assumptions!$B$44,Assumptions!$B$45,Assumptions!$B$46,Assumptions!$B$47,Assumptions!$B$48)</f>
        <v/>
      </c>
      <c r="J50" s="9">
        <f>CHOOSE(J$5,Assumptions!$B$44,Assumptions!$B$45,Assumptions!$B$46,Assumptions!$B$47,Assumptions!$B$48)</f>
        <v/>
      </c>
      <c r="K50" s="9">
        <f>CHOOSE(K$5,Assumptions!$B$44,Assumptions!$B$45,Assumptions!$B$46,Assumptions!$B$47,Assumptions!$B$48)</f>
        <v/>
      </c>
      <c r="L50" s="9">
        <f>CHOOSE(L$5,Assumptions!$B$44,Assumptions!$B$45,Assumptions!$B$46,Assumptions!$B$47,Assumptions!$B$48)</f>
        <v/>
      </c>
      <c r="M50" s="9">
        <f>CHOOSE(M$5,Assumptions!$B$44,Assumptions!$B$45,Assumptions!$B$46,Assumptions!$B$47,Assumptions!$B$48)</f>
        <v/>
      </c>
      <c r="N50" s="9">
        <f>CHOOSE(N$5,Assumptions!$B$44,Assumptions!$B$45,Assumptions!$B$46,Assumptions!$B$47,Assumptions!$B$48)</f>
        <v/>
      </c>
      <c r="O50" s="9">
        <f>CHOOSE(O$5,Assumptions!$B$44,Assumptions!$B$45,Assumptions!$B$46,Assumptions!$B$47,Assumptions!$B$48)</f>
        <v/>
      </c>
      <c r="P50" s="9">
        <f>CHOOSE(P$5,Assumptions!$B$44,Assumptions!$B$45,Assumptions!$B$46,Assumptions!$B$47,Assumptions!$B$48)</f>
        <v/>
      </c>
      <c r="Q50" s="9">
        <f>CHOOSE(Q$5,Assumptions!$B$44,Assumptions!$B$45,Assumptions!$B$46,Assumptions!$B$47,Assumptions!$B$48)</f>
        <v/>
      </c>
      <c r="R50" s="9">
        <f>CHOOSE(R$5,Assumptions!$B$44,Assumptions!$B$45,Assumptions!$B$46,Assumptions!$B$47,Assumptions!$B$48)</f>
        <v/>
      </c>
      <c r="S50" s="9">
        <f>CHOOSE(S$5,Assumptions!$B$44,Assumptions!$B$45,Assumptions!$B$46,Assumptions!$B$47,Assumptions!$B$48)</f>
        <v/>
      </c>
      <c r="T50" s="9">
        <f>CHOOSE(T$5,Assumptions!$B$44,Assumptions!$B$45,Assumptions!$B$46,Assumptions!$B$47,Assumptions!$B$48)</f>
        <v/>
      </c>
      <c r="U50" s="9">
        <f>CHOOSE(U$5,Assumptions!$B$44,Assumptions!$B$45,Assumptions!$B$46,Assumptions!$B$47,Assumptions!$B$48)</f>
        <v/>
      </c>
      <c r="V50" s="9">
        <f>CHOOSE(V$5,Assumptions!$B$44,Assumptions!$B$45,Assumptions!$B$46,Assumptions!$B$47,Assumptions!$B$48)</f>
        <v/>
      </c>
      <c r="W50" s="9">
        <f>CHOOSE(W$5,Assumptions!$B$44,Assumptions!$B$45,Assumptions!$B$46,Assumptions!$B$47,Assumptions!$B$48)</f>
        <v/>
      </c>
      <c r="X50" s="9">
        <f>CHOOSE(X$5,Assumptions!$B$44,Assumptions!$B$45,Assumptions!$B$46,Assumptions!$B$47,Assumptions!$B$48)</f>
        <v/>
      </c>
      <c r="Y50" s="9">
        <f>CHOOSE(Y$5,Assumptions!$B$44,Assumptions!$B$45,Assumptions!$B$46,Assumptions!$B$47,Assumptions!$B$48)</f>
        <v/>
      </c>
      <c r="Z50" s="9">
        <f>CHOOSE(Z$5,Assumptions!$B$44,Assumptions!$B$45,Assumptions!$B$46,Assumptions!$B$47,Assumptions!$B$48)</f>
        <v/>
      </c>
      <c r="AA50" s="9">
        <f>CHOOSE(AA$5,Assumptions!$B$44,Assumptions!$B$45,Assumptions!$B$46,Assumptions!$B$47,Assumptions!$B$48)</f>
        <v/>
      </c>
      <c r="AB50" s="9">
        <f>CHOOSE(AB$5,Assumptions!$B$44,Assumptions!$B$45,Assumptions!$B$46,Assumptions!$B$47,Assumptions!$B$48)</f>
        <v/>
      </c>
      <c r="AC50" s="9">
        <f>CHOOSE(AC$5,Assumptions!$B$44,Assumptions!$B$45,Assumptions!$B$46,Assumptions!$B$47,Assumptions!$B$48)</f>
        <v/>
      </c>
      <c r="AD50" s="9">
        <f>CHOOSE(AD$5,Assumptions!$B$44,Assumptions!$B$45,Assumptions!$B$46,Assumptions!$B$47,Assumptions!$B$48)</f>
        <v/>
      </c>
      <c r="AE50" s="9">
        <f>CHOOSE(AE$5,Assumptions!$B$44,Assumptions!$B$45,Assumptions!$B$46,Assumptions!$B$47,Assumptions!$B$48)</f>
        <v/>
      </c>
      <c r="AF50" s="9">
        <f>CHOOSE(AF$5,Assumptions!$B$44,Assumptions!$B$45,Assumptions!$B$46,Assumptions!$B$47,Assumptions!$B$48)</f>
        <v/>
      </c>
      <c r="AG50" s="9">
        <f>CHOOSE(AG$5,Assumptions!$B$44,Assumptions!$B$45,Assumptions!$B$46,Assumptions!$B$47,Assumptions!$B$48)</f>
        <v/>
      </c>
      <c r="AH50" s="9">
        <f>CHOOSE(AH$5,Assumptions!$B$44,Assumptions!$B$45,Assumptions!$B$46,Assumptions!$B$47,Assumptions!$B$48)</f>
        <v/>
      </c>
      <c r="AI50" s="9">
        <f>CHOOSE(AI$5,Assumptions!$B$44,Assumptions!$B$45,Assumptions!$B$46,Assumptions!$B$47,Assumptions!$B$48)</f>
        <v/>
      </c>
      <c r="AJ50" s="9">
        <f>CHOOSE(AJ$5,Assumptions!$B$44,Assumptions!$B$45,Assumptions!$B$46,Assumptions!$B$47,Assumptions!$B$48)</f>
        <v/>
      </c>
      <c r="AK50" s="9">
        <f>CHOOSE(AK$5,Assumptions!$B$44,Assumptions!$B$45,Assumptions!$B$46,Assumptions!$B$47,Assumptions!$B$48)</f>
        <v/>
      </c>
      <c r="AL50" s="9">
        <f>CHOOSE(AL$5,Assumptions!$B$44,Assumptions!$B$45,Assumptions!$B$46,Assumptions!$B$47,Assumptions!$B$48)</f>
        <v/>
      </c>
      <c r="AM50" s="9">
        <f>CHOOSE(AM$5,Assumptions!$B$44,Assumptions!$B$45,Assumptions!$B$46,Assumptions!$B$47,Assumptions!$B$48)</f>
        <v/>
      </c>
      <c r="AN50" s="9">
        <f>CHOOSE(AN$5,Assumptions!$B$44,Assumptions!$B$45,Assumptions!$B$46,Assumptions!$B$47,Assumptions!$B$48)</f>
        <v/>
      </c>
      <c r="AO50" s="9">
        <f>CHOOSE(AO$5,Assumptions!$B$44,Assumptions!$B$45,Assumptions!$B$46,Assumptions!$B$47,Assumptions!$B$48)</f>
        <v/>
      </c>
      <c r="AP50" s="9">
        <f>CHOOSE(AP$5,Assumptions!$B$44,Assumptions!$B$45,Assumptions!$B$46,Assumptions!$B$47,Assumptions!$B$48)</f>
        <v/>
      </c>
      <c r="AQ50" s="9">
        <f>CHOOSE(AQ$5,Assumptions!$B$44,Assumptions!$B$45,Assumptions!$B$46,Assumptions!$B$47,Assumptions!$B$48)</f>
        <v/>
      </c>
      <c r="AR50" s="9">
        <f>CHOOSE(AR$5,Assumptions!$B$44,Assumptions!$B$45,Assumptions!$B$46,Assumptions!$B$47,Assumptions!$B$48)</f>
        <v/>
      </c>
      <c r="AS50" s="9">
        <f>CHOOSE(AS$5,Assumptions!$B$44,Assumptions!$B$45,Assumptions!$B$46,Assumptions!$B$47,Assumptions!$B$48)</f>
        <v/>
      </c>
      <c r="AT50" s="9">
        <f>CHOOSE(AT$5,Assumptions!$B$44,Assumptions!$B$45,Assumptions!$B$46,Assumptions!$B$47,Assumptions!$B$48)</f>
        <v/>
      </c>
      <c r="AU50" s="9">
        <f>CHOOSE(AU$5,Assumptions!$B$44,Assumptions!$B$45,Assumptions!$B$46,Assumptions!$B$47,Assumptions!$B$48)</f>
        <v/>
      </c>
      <c r="AV50" s="9">
        <f>CHOOSE(AV$5,Assumptions!$B$44,Assumptions!$B$45,Assumptions!$B$46,Assumptions!$B$47,Assumptions!$B$48)</f>
        <v/>
      </c>
      <c r="AW50" s="9">
        <f>CHOOSE(AW$5,Assumptions!$B$44,Assumptions!$B$45,Assumptions!$B$46,Assumptions!$B$47,Assumptions!$B$48)</f>
        <v/>
      </c>
      <c r="AX50" s="9">
        <f>CHOOSE(AX$5,Assumptions!$B$44,Assumptions!$B$45,Assumptions!$B$46,Assumptions!$B$47,Assumptions!$B$48)</f>
        <v/>
      </c>
      <c r="AY50" s="9">
        <f>CHOOSE(AY$5,Assumptions!$B$44,Assumptions!$B$45,Assumptions!$B$46,Assumptions!$B$47,Assumptions!$B$48)</f>
        <v/>
      </c>
      <c r="AZ50" s="9">
        <f>CHOOSE(AZ$5,Assumptions!$B$44,Assumptions!$B$45,Assumptions!$B$46,Assumptions!$B$47,Assumptions!$B$48)</f>
        <v/>
      </c>
      <c r="BA50" s="9">
        <f>CHOOSE(BA$5,Assumptions!$B$44,Assumptions!$B$45,Assumptions!$B$46,Assumptions!$B$47,Assumptions!$B$48)</f>
        <v/>
      </c>
      <c r="BB50" s="9">
        <f>CHOOSE(BB$5,Assumptions!$B$44,Assumptions!$B$45,Assumptions!$B$46,Assumptions!$B$47,Assumptions!$B$48)</f>
        <v/>
      </c>
      <c r="BC50" s="9">
        <f>CHOOSE(BC$5,Assumptions!$B$44,Assumptions!$B$45,Assumptions!$B$46,Assumptions!$B$47,Assumptions!$B$48)</f>
        <v/>
      </c>
      <c r="BD50" s="9">
        <f>CHOOSE(BD$5,Assumptions!$B$44,Assumptions!$B$45,Assumptions!$B$46,Assumptions!$B$47,Assumptions!$B$48)</f>
        <v/>
      </c>
      <c r="BE50" s="9">
        <f>CHOOSE(BE$5,Assumptions!$B$44,Assumptions!$B$45,Assumptions!$B$46,Assumptions!$B$47,Assumptions!$B$48)</f>
        <v/>
      </c>
      <c r="BF50" s="9">
        <f>CHOOSE(BF$5,Assumptions!$B$44,Assumptions!$B$45,Assumptions!$B$46,Assumptions!$B$47,Assumptions!$B$48)</f>
        <v/>
      </c>
      <c r="BG50" s="9">
        <f>CHOOSE(BG$5,Assumptions!$B$44,Assumptions!$B$45,Assumptions!$B$46,Assumptions!$B$47,Assumptions!$B$48)</f>
        <v/>
      </c>
      <c r="BH50" s="9">
        <f>CHOOSE(BH$5,Assumptions!$B$44,Assumptions!$B$45,Assumptions!$B$46,Assumptions!$B$47,Assumptions!$B$48)</f>
        <v/>
      </c>
      <c r="BI50" s="9">
        <f>CHOOSE(BI$5,Assumptions!$B$44,Assumptions!$B$45,Assumptions!$B$46,Assumptions!$B$47,Assumptions!$B$48)</f>
        <v/>
      </c>
      <c r="BJ50" s="9">
        <f>CHOOSE(BJ$5,Assumptions!$B$44,Assumptions!$B$45,Assumptions!$B$46,Assumptions!$B$47,Assumptions!$B$48)</f>
        <v/>
      </c>
    </row>
    <row r="51">
      <c r="A51" s="4" t="inlineStr">
        <is>
          <t>Self-serve trials: South Africa</t>
        </is>
      </c>
      <c r="B51" s="17" t="inlineStr">
        <is>
          <t>trials</t>
        </is>
      </c>
      <c r="C51" s="10">
        <f>IF(C13=0,0,Assumptions!$B$65*Assumptions!$B$34)</f>
        <v/>
      </c>
      <c r="D51" s="10">
        <f>IF(D13=0,0,IF(C13=0,Assumptions!$B$65*Assumptions!$B$34,C51*(1+D50)))</f>
        <v/>
      </c>
      <c r="E51" s="10">
        <f>IF(E13=0,0,IF(D13=0,Assumptions!$B$65*Assumptions!$B$34,D51*(1+E50)))</f>
        <v/>
      </c>
      <c r="F51" s="10">
        <f>IF(F13=0,0,IF(E13=0,Assumptions!$B$65*Assumptions!$B$34,E51*(1+F50)))</f>
        <v/>
      </c>
      <c r="G51" s="10">
        <f>IF(G13=0,0,IF(F13=0,Assumptions!$B$65*Assumptions!$B$34,F51*(1+G50)))</f>
        <v/>
      </c>
      <c r="H51" s="10">
        <f>IF(H13=0,0,IF(G13=0,Assumptions!$B$65*Assumptions!$B$34,G51*(1+H50)))</f>
        <v/>
      </c>
      <c r="I51" s="10">
        <f>IF(I13=0,0,IF(H13=0,Assumptions!$B$65*Assumptions!$B$34,H51*(1+I50)))</f>
        <v/>
      </c>
      <c r="J51" s="10">
        <f>IF(J13=0,0,IF(I13=0,Assumptions!$B$65*Assumptions!$B$34,I51*(1+J50)))</f>
        <v/>
      </c>
      <c r="K51" s="10">
        <f>IF(K13=0,0,IF(J13=0,Assumptions!$B$65*Assumptions!$B$34,J51*(1+K50)))</f>
        <v/>
      </c>
      <c r="L51" s="10">
        <f>IF(L13=0,0,IF(K13=0,Assumptions!$B$65*Assumptions!$B$34,K51*(1+L50)))</f>
        <v/>
      </c>
      <c r="M51" s="10">
        <f>IF(M13=0,0,IF(L13=0,Assumptions!$B$65*Assumptions!$B$34,L51*(1+M50)))</f>
        <v/>
      </c>
      <c r="N51" s="10">
        <f>IF(N13=0,0,IF(M13=0,Assumptions!$B$65*Assumptions!$B$34,M51*(1+N50)))</f>
        <v/>
      </c>
      <c r="O51" s="10">
        <f>IF(O13=0,0,IF(N13=0,Assumptions!$B$65*Assumptions!$B$34,N51*(1+O50)))</f>
        <v/>
      </c>
      <c r="P51" s="10">
        <f>IF(P13=0,0,IF(O13=0,Assumptions!$B$65*Assumptions!$B$34,O51*(1+P50)))</f>
        <v/>
      </c>
      <c r="Q51" s="10">
        <f>IF(Q13=0,0,IF(P13=0,Assumptions!$B$65*Assumptions!$B$34,P51*(1+Q50)))</f>
        <v/>
      </c>
      <c r="R51" s="10">
        <f>IF(R13=0,0,IF(Q13=0,Assumptions!$B$65*Assumptions!$B$34,Q51*(1+R50)))</f>
        <v/>
      </c>
      <c r="S51" s="10">
        <f>IF(S13=0,0,IF(R13=0,Assumptions!$B$65*Assumptions!$B$34,R51*(1+S50)))</f>
        <v/>
      </c>
      <c r="T51" s="10">
        <f>IF(T13=0,0,IF(S13=0,Assumptions!$B$65*Assumptions!$B$34,S51*(1+T50)))</f>
        <v/>
      </c>
      <c r="U51" s="10">
        <f>IF(U13=0,0,IF(T13=0,Assumptions!$B$65*Assumptions!$B$34,T51*(1+U50)))</f>
        <v/>
      </c>
      <c r="V51" s="10">
        <f>IF(V13=0,0,IF(U13=0,Assumptions!$B$65*Assumptions!$B$34,U51*(1+V50)))</f>
        <v/>
      </c>
      <c r="W51" s="10">
        <f>IF(W13=0,0,IF(V13=0,Assumptions!$B$65*Assumptions!$B$34,V51*(1+W50)))</f>
        <v/>
      </c>
      <c r="X51" s="10">
        <f>IF(X13=0,0,IF(W13=0,Assumptions!$B$65*Assumptions!$B$34,W51*(1+X50)))</f>
        <v/>
      </c>
      <c r="Y51" s="10">
        <f>IF(Y13=0,0,IF(X13=0,Assumptions!$B$65*Assumptions!$B$34,X51*(1+Y50)))</f>
        <v/>
      </c>
      <c r="Z51" s="10">
        <f>IF(Z13=0,0,IF(Y13=0,Assumptions!$B$65*Assumptions!$B$34,Y51*(1+Z50)))</f>
        <v/>
      </c>
      <c r="AA51" s="10">
        <f>IF(AA13=0,0,IF(Z13=0,Assumptions!$B$65*Assumptions!$B$34,Z51*(1+AA50)))</f>
        <v/>
      </c>
      <c r="AB51" s="10">
        <f>IF(AB13=0,0,IF(AA13=0,Assumptions!$B$65*Assumptions!$B$34,AA51*(1+AB50)))</f>
        <v/>
      </c>
      <c r="AC51" s="10">
        <f>IF(AC13=0,0,IF(AB13=0,Assumptions!$B$65*Assumptions!$B$34,AB51*(1+AC50)))</f>
        <v/>
      </c>
      <c r="AD51" s="10">
        <f>IF(AD13=0,0,IF(AC13=0,Assumptions!$B$65*Assumptions!$B$34,AC51*(1+AD50)))</f>
        <v/>
      </c>
      <c r="AE51" s="10">
        <f>IF(AE13=0,0,IF(AD13=0,Assumptions!$B$65*Assumptions!$B$34,AD51*(1+AE50)))</f>
        <v/>
      </c>
      <c r="AF51" s="10">
        <f>IF(AF13=0,0,IF(AE13=0,Assumptions!$B$65*Assumptions!$B$34,AE51*(1+AF50)))</f>
        <v/>
      </c>
      <c r="AG51" s="10">
        <f>IF(AG13=0,0,IF(AF13=0,Assumptions!$B$65*Assumptions!$B$34,AF51*(1+AG50)))</f>
        <v/>
      </c>
      <c r="AH51" s="10">
        <f>IF(AH13=0,0,IF(AG13=0,Assumptions!$B$65*Assumptions!$B$34,AG51*(1+AH50)))</f>
        <v/>
      </c>
      <c r="AI51" s="10">
        <f>IF(AI13=0,0,IF(AH13=0,Assumptions!$B$65*Assumptions!$B$34,AH51*(1+AI50)))</f>
        <v/>
      </c>
      <c r="AJ51" s="10">
        <f>IF(AJ13=0,0,IF(AI13=0,Assumptions!$B$65*Assumptions!$B$34,AI51*(1+AJ50)))</f>
        <v/>
      </c>
      <c r="AK51" s="10">
        <f>IF(AK13=0,0,IF(AJ13=0,Assumptions!$B$65*Assumptions!$B$34,AJ51*(1+AK50)))</f>
        <v/>
      </c>
      <c r="AL51" s="10">
        <f>IF(AL13=0,0,IF(AK13=0,Assumptions!$B$65*Assumptions!$B$34,AK51*(1+AL50)))</f>
        <v/>
      </c>
      <c r="AM51" s="10">
        <f>IF(AM13=0,0,IF(AL13=0,Assumptions!$B$65*Assumptions!$B$34,AL51*(1+AM50)))</f>
        <v/>
      </c>
      <c r="AN51" s="10">
        <f>IF(AN13=0,0,IF(AM13=0,Assumptions!$B$65*Assumptions!$B$34,AM51*(1+AN50)))</f>
        <v/>
      </c>
      <c r="AO51" s="10">
        <f>IF(AO13=0,0,IF(AN13=0,Assumptions!$B$65*Assumptions!$B$34,AN51*(1+AO50)))</f>
        <v/>
      </c>
      <c r="AP51" s="10">
        <f>IF(AP13=0,0,IF(AO13=0,Assumptions!$B$65*Assumptions!$B$34,AO51*(1+AP50)))</f>
        <v/>
      </c>
      <c r="AQ51" s="10">
        <f>IF(AQ13=0,0,IF(AP13=0,Assumptions!$B$65*Assumptions!$B$34,AP51*(1+AQ50)))</f>
        <v/>
      </c>
      <c r="AR51" s="10">
        <f>IF(AR13=0,0,IF(AQ13=0,Assumptions!$B$65*Assumptions!$B$34,AQ51*(1+AR50)))</f>
        <v/>
      </c>
      <c r="AS51" s="10">
        <f>IF(AS13=0,0,IF(AR13=0,Assumptions!$B$65*Assumptions!$B$34,AR51*(1+AS50)))</f>
        <v/>
      </c>
      <c r="AT51" s="10">
        <f>IF(AT13=0,0,IF(AS13=0,Assumptions!$B$65*Assumptions!$B$34,AS51*(1+AT50)))</f>
        <v/>
      </c>
      <c r="AU51" s="10">
        <f>IF(AU13=0,0,IF(AT13=0,Assumptions!$B$65*Assumptions!$B$34,AT51*(1+AU50)))</f>
        <v/>
      </c>
      <c r="AV51" s="10">
        <f>IF(AV13=0,0,IF(AU13=0,Assumptions!$B$65*Assumptions!$B$34,AU51*(1+AV50)))</f>
        <v/>
      </c>
      <c r="AW51" s="10">
        <f>IF(AW13=0,0,IF(AV13=0,Assumptions!$B$65*Assumptions!$B$34,AV51*(1+AW50)))</f>
        <v/>
      </c>
      <c r="AX51" s="10">
        <f>IF(AX13=0,0,IF(AW13=0,Assumptions!$B$65*Assumptions!$B$34,AW51*(1+AX50)))</f>
        <v/>
      </c>
      <c r="AY51" s="10">
        <f>IF(AY13=0,0,IF(AX13=0,Assumptions!$B$65*Assumptions!$B$34,AX51*(1+AY50)))</f>
        <v/>
      </c>
      <c r="AZ51" s="10">
        <f>IF(AZ13=0,0,IF(AY13=0,Assumptions!$B$65*Assumptions!$B$34,AY51*(1+AZ50)))</f>
        <v/>
      </c>
      <c r="BA51" s="10">
        <f>IF(BA13=0,0,IF(AZ13=0,Assumptions!$B$65*Assumptions!$B$34,AZ51*(1+BA50)))</f>
        <v/>
      </c>
      <c r="BB51" s="10">
        <f>IF(BB13=0,0,IF(BA13=0,Assumptions!$B$65*Assumptions!$B$34,BA51*(1+BB50)))</f>
        <v/>
      </c>
      <c r="BC51" s="10">
        <f>IF(BC13=0,0,IF(BB13=0,Assumptions!$B$65*Assumptions!$B$34,BB51*(1+BC50)))</f>
        <v/>
      </c>
      <c r="BD51" s="10">
        <f>IF(BD13=0,0,IF(BC13=0,Assumptions!$B$65*Assumptions!$B$34,BC51*(1+BD50)))</f>
        <v/>
      </c>
      <c r="BE51" s="10">
        <f>IF(BE13=0,0,IF(BD13=0,Assumptions!$B$65*Assumptions!$B$34,BD51*(1+BE50)))</f>
        <v/>
      </c>
      <c r="BF51" s="10">
        <f>IF(BF13=0,0,IF(BE13=0,Assumptions!$B$65*Assumptions!$B$34,BE51*(1+BF50)))</f>
        <v/>
      </c>
      <c r="BG51" s="10">
        <f>IF(BG13=0,0,IF(BF13=0,Assumptions!$B$65*Assumptions!$B$34,BF51*(1+BG50)))</f>
        <v/>
      </c>
      <c r="BH51" s="10">
        <f>IF(BH13=0,0,IF(BG13=0,Assumptions!$B$65*Assumptions!$B$34,BG51*(1+BH50)))</f>
        <v/>
      </c>
      <c r="BI51" s="10">
        <f>IF(BI13=0,0,IF(BH13=0,Assumptions!$B$65*Assumptions!$B$34,BH51*(1+BI50)))</f>
        <v/>
      </c>
      <c r="BJ51" s="10">
        <f>IF(BJ13=0,0,IF(BI13=0,Assumptions!$B$65*Assumptions!$B$34,BI51*(1+BJ50)))</f>
        <v/>
      </c>
    </row>
    <row r="52">
      <c r="A52" s="4" t="inlineStr">
        <is>
          <t>Self-serve trials: Nigeria</t>
        </is>
      </c>
      <c r="B52" s="17" t="inlineStr">
        <is>
          <t>trials</t>
        </is>
      </c>
      <c r="C52" s="10">
        <f>IF(C15=0,0,Assumptions!$B$69*Assumptions!$B$34)</f>
        <v/>
      </c>
      <c r="D52" s="10">
        <f>IF(D15=0,0,IF(C15=0,Assumptions!$B$69*Assumptions!$B$34,C52*(1+D50)))</f>
        <v/>
      </c>
      <c r="E52" s="10">
        <f>IF(E15=0,0,IF(D15=0,Assumptions!$B$69*Assumptions!$B$34,D52*(1+E50)))</f>
        <v/>
      </c>
      <c r="F52" s="10">
        <f>IF(F15=0,0,IF(E15=0,Assumptions!$B$69*Assumptions!$B$34,E52*(1+F50)))</f>
        <v/>
      </c>
      <c r="G52" s="10">
        <f>IF(G15=0,0,IF(F15=0,Assumptions!$B$69*Assumptions!$B$34,F52*(1+G50)))</f>
        <v/>
      </c>
      <c r="H52" s="10">
        <f>IF(H15=0,0,IF(G15=0,Assumptions!$B$69*Assumptions!$B$34,G52*(1+H50)))</f>
        <v/>
      </c>
      <c r="I52" s="10">
        <f>IF(I15=0,0,IF(H15=0,Assumptions!$B$69*Assumptions!$B$34,H52*(1+I50)))</f>
        <v/>
      </c>
      <c r="J52" s="10">
        <f>IF(J15=0,0,IF(I15=0,Assumptions!$B$69*Assumptions!$B$34,I52*(1+J50)))</f>
        <v/>
      </c>
      <c r="K52" s="10">
        <f>IF(K15=0,0,IF(J15=0,Assumptions!$B$69*Assumptions!$B$34,J52*(1+K50)))</f>
        <v/>
      </c>
      <c r="L52" s="10">
        <f>IF(L15=0,0,IF(K15=0,Assumptions!$B$69*Assumptions!$B$34,K52*(1+L50)))</f>
        <v/>
      </c>
      <c r="M52" s="10">
        <f>IF(M15=0,0,IF(L15=0,Assumptions!$B$69*Assumptions!$B$34,L52*(1+M50)))</f>
        <v/>
      </c>
      <c r="N52" s="10">
        <f>IF(N15=0,0,IF(M15=0,Assumptions!$B$69*Assumptions!$B$34,M52*(1+N50)))</f>
        <v/>
      </c>
      <c r="O52" s="10">
        <f>IF(O15=0,0,IF(N15=0,Assumptions!$B$69*Assumptions!$B$34,N52*(1+O50)))</f>
        <v/>
      </c>
      <c r="P52" s="10">
        <f>IF(P15=0,0,IF(O15=0,Assumptions!$B$69*Assumptions!$B$34,O52*(1+P50)))</f>
        <v/>
      </c>
      <c r="Q52" s="10">
        <f>IF(Q15=0,0,IF(P15=0,Assumptions!$B$69*Assumptions!$B$34,P52*(1+Q50)))</f>
        <v/>
      </c>
      <c r="R52" s="10">
        <f>IF(R15=0,0,IF(Q15=0,Assumptions!$B$69*Assumptions!$B$34,Q52*(1+R50)))</f>
        <v/>
      </c>
      <c r="S52" s="10">
        <f>IF(S15=0,0,IF(R15=0,Assumptions!$B$69*Assumptions!$B$34,R52*(1+S50)))</f>
        <v/>
      </c>
      <c r="T52" s="10">
        <f>IF(T15=0,0,IF(S15=0,Assumptions!$B$69*Assumptions!$B$34,S52*(1+T50)))</f>
        <v/>
      </c>
      <c r="U52" s="10">
        <f>IF(U15=0,0,IF(T15=0,Assumptions!$B$69*Assumptions!$B$34,T52*(1+U50)))</f>
        <v/>
      </c>
      <c r="V52" s="10">
        <f>IF(V15=0,0,IF(U15=0,Assumptions!$B$69*Assumptions!$B$34,U52*(1+V50)))</f>
        <v/>
      </c>
      <c r="W52" s="10">
        <f>IF(W15=0,0,IF(V15=0,Assumptions!$B$69*Assumptions!$B$34,V52*(1+W50)))</f>
        <v/>
      </c>
      <c r="X52" s="10">
        <f>IF(X15=0,0,IF(W15=0,Assumptions!$B$69*Assumptions!$B$34,W52*(1+X50)))</f>
        <v/>
      </c>
      <c r="Y52" s="10">
        <f>IF(Y15=0,0,IF(X15=0,Assumptions!$B$69*Assumptions!$B$34,X52*(1+Y50)))</f>
        <v/>
      </c>
      <c r="Z52" s="10">
        <f>IF(Z15=0,0,IF(Y15=0,Assumptions!$B$69*Assumptions!$B$34,Y52*(1+Z50)))</f>
        <v/>
      </c>
      <c r="AA52" s="10">
        <f>IF(AA15=0,0,IF(Z15=0,Assumptions!$B$69*Assumptions!$B$34,Z52*(1+AA50)))</f>
        <v/>
      </c>
      <c r="AB52" s="10">
        <f>IF(AB15=0,0,IF(AA15=0,Assumptions!$B$69*Assumptions!$B$34,AA52*(1+AB50)))</f>
        <v/>
      </c>
      <c r="AC52" s="10">
        <f>IF(AC15=0,0,IF(AB15=0,Assumptions!$B$69*Assumptions!$B$34,AB52*(1+AC50)))</f>
        <v/>
      </c>
      <c r="AD52" s="10">
        <f>IF(AD15=0,0,IF(AC15=0,Assumptions!$B$69*Assumptions!$B$34,AC52*(1+AD50)))</f>
        <v/>
      </c>
      <c r="AE52" s="10">
        <f>IF(AE15=0,0,IF(AD15=0,Assumptions!$B$69*Assumptions!$B$34,AD52*(1+AE50)))</f>
        <v/>
      </c>
      <c r="AF52" s="10">
        <f>IF(AF15=0,0,IF(AE15=0,Assumptions!$B$69*Assumptions!$B$34,AE52*(1+AF50)))</f>
        <v/>
      </c>
      <c r="AG52" s="10">
        <f>IF(AG15=0,0,IF(AF15=0,Assumptions!$B$69*Assumptions!$B$34,AF52*(1+AG50)))</f>
        <v/>
      </c>
      <c r="AH52" s="10">
        <f>IF(AH15=0,0,IF(AG15=0,Assumptions!$B$69*Assumptions!$B$34,AG52*(1+AH50)))</f>
        <v/>
      </c>
      <c r="AI52" s="10">
        <f>IF(AI15=0,0,IF(AH15=0,Assumptions!$B$69*Assumptions!$B$34,AH52*(1+AI50)))</f>
        <v/>
      </c>
      <c r="AJ52" s="10">
        <f>IF(AJ15=0,0,IF(AI15=0,Assumptions!$B$69*Assumptions!$B$34,AI52*(1+AJ50)))</f>
        <v/>
      </c>
      <c r="AK52" s="10">
        <f>IF(AK15=0,0,IF(AJ15=0,Assumptions!$B$69*Assumptions!$B$34,AJ52*(1+AK50)))</f>
        <v/>
      </c>
      <c r="AL52" s="10">
        <f>IF(AL15=0,0,IF(AK15=0,Assumptions!$B$69*Assumptions!$B$34,AK52*(1+AL50)))</f>
        <v/>
      </c>
      <c r="AM52" s="10">
        <f>IF(AM15=0,0,IF(AL15=0,Assumptions!$B$69*Assumptions!$B$34,AL52*(1+AM50)))</f>
        <v/>
      </c>
      <c r="AN52" s="10">
        <f>IF(AN15=0,0,IF(AM15=0,Assumptions!$B$69*Assumptions!$B$34,AM52*(1+AN50)))</f>
        <v/>
      </c>
      <c r="AO52" s="10">
        <f>IF(AO15=0,0,IF(AN15=0,Assumptions!$B$69*Assumptions!$B$34,AN52*(1+AO50)))</f>
        <v/>
      </c>
      <c r="AP52" s="10">
        <f>IF(AP15=0,0,IF(AO15=0,Assumptions!$B$69*Assumptions!$B$34,AO52*(1+AP50)))</f>
        <v/>
      </c>
      <c r="AQ52" s="10">
        <f>IF(AQ15=0,0,IF(AP15=0,Assumptions!$B$69*Assumptions!$B$34,AP52*(1+AQ50)))</f>
        <v/>
      </c>
      <c r="AR52" s="10">
        <f>IF(AR15=0,0,IF(AQ15=0,Assumptions!$B$69*Assumptions!$B$34,AQ52*(1+AR50)))</f>
        <v/>
      </c>
      <c r="AS52" s="10">
        <f>IF(AS15=0,0,IF(AR15=0,Assumptions!$B$69*Assumptions!$B$34,AR52*(1+AS50)))</f>
        <v/>
      </c>
      <c r="AT52" s="10">
        <f>IF(AT15=0,0,IF(AS15=0,Assumptions!$B$69*Assumptions!$B$34,AS52*(1+AT50)))</f>
        <v/>
      </c>
      <c r="AU52" s="10">
        <f>IF(AU15=0,0,IF(AT15=0,Assumptions!$B$69*Assumptions!$B$34,AT52*(1+AU50)))</f>
        <v/>
      </c>
      <c r="AV52" s="10">
        <f>IF(AV15=0,0,IF(AU15=0,Assumptions!$B$69*Assumptions!$B$34,AU52*(1+AV50)))</f>
        <v/>
      </c>
      <c r="AW52" s="10">
        <f>IF(AW15=0,0,IF(AV15=0,Assumptions!$B$69*Assumptions!$B$34,AV52*(1+AW50)))</f>
        <v/>
      </c>
      <c r="AX52" s="10">
        <f>IF(AX15=0,0,IF(AW15=0,Assumptions!$B$69*Assumptions!$B$34,AW52*(1+AX50)))</f>
        <v/>
      </c>
      <c r="AY52" s="10">
        <f>IF(AY15=0,0,IF(AX15=0,Assumptions!$B$69*Assumptions!$B$34,AX52*(1+AY50)))</f>
        <v/>
      </c>
      <c r="AZ52" s="10">
        <f>IF(AZ15=0,0,IF(AY15=0,Assumptions!$B$69*Assumptions!$B$34,AY52*(1+AZ50)))</f>
        <v/>
      </c>
      <c r="BA52" s="10">
        <f>IF(BA15=0,0,IF(AZ15=0,Assumptions!$B$69*Assumptions!$B$34,AZ52*(1+BA50)))</f>
        <v/>
      </c>
      <c r="BB52" s="10">
        <f>IF(BB15=0,0,IF(BA15=0,Assumptions!$B$69*Assumptions!$B$34,BA52*(1+BB50)))</f>
        <v/>
      </c>
      <c r="BC52" s="10">
        <f>IF(BC15=0,0,IF(BB15=0,Assumptions!$B$69*Assumptions!$B$34,BB52*(1+BC50)))</f>
        <v/>
      </c>
      <c r="BD52" s="10">
        <f>IF(BD15=0,0,IF(BC15=0,Assumptions!$B$69*Assumptions!$B$34,BC52*(1+BD50)))</f>
        <v/>
      </c>
      <c r="BE52" s="10">
        <f>IF(BE15=0,0,IF(BD15=0,Assumptions!$B$69*Assumptions!$B$34,BD52*(1+BE50)))</f>
        <v/>
      </c>
      <c r="BF52" s="10">
        <f>IF(BF15=0,0,IF(BE15=0,Assumptions!$B$69*Assumptions!$B$34,BE52*(1+BF50)))</f>
        <v/>
      </c>
      <c r="BG52" s="10">
        <f>IF(BG15=0,0,IF(BF15=0,Assumptions!$B$69*Assumptions!$B$34,BF52*(1+BG50)))</f>
        <v/>
      </c>
      <c r="BH52" s="10">
        <f>IF(BH15=0,0,IF(BG15=0,Assumptions!$B$69*Assumptions!$B$34,BG52*(1+BH50)))</f>
        <v/>
      </c>
      <c r="BI52" s="10">
        <f>IF(BI15=0,0,IF(BH15=0,Assumptions!$B$69*Assumptions!$B$34,BH52*(1+BI50)))</f>
        <v/>
      </c>
      <c r="BJ52" s="10">
        <f>IF(BJ15=0,0,IF(BI15=0,Assumptions!$B$69*Assumptions!$B$34,BI52*(1+BJ50)))</f>
        <v/>
      </c>
    </row>
    <row r="53">
      <c r="A53" s="4" t="inlineStr">
        <is>
          <t>Self-serve trials: Kenya</t>
        </is>
      </c>
      <c r="B53" s="17" t="inlineStr">
        <is>
          <t>trials</t>
        </is>
      </c>
      <c r="C53" s="10">
        <f>IF(C17=0,0,Assumptions!$B$79*Assumptions!$B$34)</f>
        <v/>
      </c>
      <c r="D53" s="10">
        <f>IF(D17=0,0,IF(C17=0,Assumptions!$B$79*Assumptions!$B$34,C53*(1+D50)))</f>
        <v/>
      </c>
      <c r="E53" s="10">
        <f>IF(E17=0,0,IF(D17=0,Assumptions!$B$79*Assumptions!$B$34,D53*(1+E50)))</f>
        <v/>
      </c>
      <c r="F53" s="10">
        <f>IF(F17=0,0,IF(E17=0,Assumptions!$B$79*Assumptions!$B$34,E53*(1+F50)))</f>
        <v/>
      </c>
      <c r="G53" s="10">
        <f>IF(G17=0,0,IF(F17=0,Assumptions!$B$79*Assumptions!$B$34,F53*(1+G50)))</f>
        <v/>
      </c>
      <c r="H53" s="10">
        <f>IF(H17=0,0,IF(G17=0,Assumptions!$B$79*Assumptions!$B$34,G53*(1+H50)))</f>
        <v/>
      </c>
      <c r="I53" s="10">
        <f>IF(I17=0,0,IF(H17=0,Assumptions!$B$79*Assumptions!$B$34,H53*(1+I50)))</f>
        <v/>
      </c>
      <c r="J53" s="10">
        <f>IF(J17=0,0,IF(I17=0,Assumptions!$B$79*Assumptions!$B$34,I53*(1+J50)))</f>
        <v/>
      </c>
      <c r="K53" s="10">
        <f>IF(K17=0,0,IF(J17=0,Assumptions!$B$79*Assumptions!$B$34,J53*(1+K50)))</f>
        <v/>
      </c>
      <c r="L53" s="10">
        <f>IF(L17=0,0,IF(K17=0,Assumptions!$B$79*Assumptions!$B$34,K53*(1+L50)))</f>
        <v/>
      </c>
      <c r="M53" s="10">
        <f>IF(M17=0,0,IF(L17=0,Assumptions!$B$79*Assumptions!$B$34,L53*(1+M50)))</f>
        <v/>
      </c>
      <c r="N53" s="10">
        <f>IF(N17=0,0,IF(M17=0,Assumptions!$B$79*Assumptions!$B$34,M53*(1+N50)))</f>
        <v/>
      </c>
      <c r="O53" s="10">
        <f>IF(O17=0,0,IF(N17=0,Assumptions!$B$79*Assumptions!$B$34,N53*(1+O50)))</f>
        <v/>
      </c>
      <c r="P53" s="10">
        <f>IF(P17=0,0,IF(O17=0,Assumptions!$B$79*Assumptions!$B$34,O53*(1+P50)))</f>
        <v/>
      </c>
      <c r="Q53" s="10">
        <f>IF(Q17=0,0,IF(P17=0,Assumptions!$B$79*Assumptions!$B$34,P53*(1+Q50)))</f>
        <v/>
      </c>
      <c r="R53" s="10">
        <f>IF(R17=0,0,IF(Q17=0,Assumptions!$B$79*Assumptions!$B$34,Q53*(1+R50)))</f>
        <v/>
      </c>
      <c r="S53" s="10">
        <f>IF(S17=0,0,IF(R17=0,Assumptions!$B$79*Assumptions!$B$34,R53*(1+S50)))</f>
        <v/>
      </c>
      <c r="T53" s="10">
        <f>IF(T17=0,0,IF(S17=0,Assumptions!$B$79*Assumptions!$B$34,S53*(1+T50)))</f>
        <v/>
      </c>
      <c r="U53" s="10">
        <f>IF(U17=0,0,IF(T17=0,Assumptions!$B$79*Assumptions!$B$34,T53*(1+U50)))</f>
        <v/>
      </c>
      <c r="V53" s="10">
        <f>IF(V17=0,0,IF(U17=0,Assumptions!$B$79*Assumptions!$B$34,U53*(1+V50)))</f>
        <v/>
      </c>
      <c r="W53" s="10">
        <f>IF(W17=0,0,IF(V17=0,Assumptions!$B$79*Assumptions!$B$34,V53*(1+W50)))</f>
        <v/>
      </c>
      <c r="X53" s="10">
        <f>IF(X17=0,0,IF(W17=0,Assumptions!$B$79*Assumptions!$B$34,W53*(1+X50)))</f>
        <v/>
      </c>
      <c r="Y53" s="10">
        <f>IF(Y17=0,0,IF(X17=0,Assumptions!$B$79*Assumptions!$B$34,X53*(1+Y50)))</f>
        <v/>
      </c>
      <c r="Z53" s="10">
        <f>IF(Z17=0,0,IF(Y17=0,Assumptions!$B$79*Assumptions!$B$34,Y53*(1+Z50)))</f>
        <v/>
      </c>
      <c r="AA53" s="10">
        <f>IF(AA17=0,0,IF(Z17=0,Assumptions!$B$79*Assumptions!$B$34,Z53*(1+AA50)))</f>
        <v/>
      </c>
      <c r="AB53" s="10">
        <f>IF(AB17=0,0,IF(AA17=0,Assumptions!$B$79*Assumptions!$B$34,AA53*(1+AB50)))</f>
        <v/>
      </c>
      <c r="AC53" s="10">
        <f>IF(AC17=0,0,IF(AB17=0,Assumptions!$B$79*Assumptions!$B$34,AB53*(1+AC50)))</f>
        <v/>
      </c>
      <c r="AD53" s="10">
        <f>IF(AD17=0,0,IF(AC17=0,Assumptions!$B$79*Assumptions!$B$34,AC53*(1+AD50)))</f>
        <v/>
      </c>
      <c r="AE53" s="10">
        <f>IF(AE17=0,0,IF(AD17=0,Assumptions!$B$79*Assumptions!$B$34,AD53*(1+AE50)))</f>
        <v/>
      </c>
      <c r="AF53" s="10">
        <f>IF(AF17=0,0,IF(AE17=0,Assumptions!$B$79*Assumptions!$B$34,AE53*(1+AF50)))</f>
        <v/>
      </c>
      <c r="AG53" s="10">
        <f>IF(AG17=0,0,IF(AF17=0,Assumptions!$B$79*Assumptions!$B$34,AF53*(1+AG50)))</f>
        <v/>
      </c>
      <c r="AH53" s="10">
        <f>IF(AH17=0,0,IF(AG17=0,Assumptions!$B$79*Assumptions!$B$34,AG53*(1+AH50)))</f>
        <v/>
      </c>
      <c r="AI53" s="10">
        <f>IF(AI17=0,0,IF(AH17=0,Assumptions!$B$79*Assumptions!$B$34,AH53*(1+AI50)))</f>
        <v/>
      </c>
      <c r="AJ53" s="10">
        <f>IF(AJ17=0,0,IF(AI17=0,Assumptions!$B$79*Assumptions!$B$34,AI53*(1+AJ50)))</f>
        <v/>
      </c>
      <c r="AK53" s="10">
        <f>IF(AK17=0,0,IF(AJ17=0,Assumptions!$B$79*Assumptions!$B$34,AJ53*(1+AK50)))</f>
        <v/>
      </c>
      <c r="AL53" s="10">
        <f>IF(AL17=0,0,IF(AK17=0,Assumptions!$B$79*Assumptions!$B$34,AK53*(1+AL50)))</f>
        <v/>
      </c>
      <c r="AM53" s="10">
        <f>IF(AM17=0,0,IF(AL17=0,Assumptions!$B$79*Assumptions!$B$34,AL53*(1+AM50)))</f>
        <v/>
      </c>
      <c r="AN53" s="10">
        <f>IF(AN17=0,0,IF(AM17=0,Assumptions!$B$79*Assumptions!$B$34,AM53*(1+AN50)))</f>
        <v/>
      </c>
      <c r="AO53" s="10">
        <f>IF(AO17=0,0,IF(AN17=0,Assumptions!$B$79*Assumptions!$B$34,AN53*(1+AO50)))</f>
        <v/>
      </c>
      <c r="AP53" s="10">
        <f>IF(AP17=0,0,IF(AO17=0,Assumptions!$B$79*Assumptions!$B$34,AO53*(1+AP50)))</f>
        <v/>
      </c>
      <c r="AQ53" s="10">
        <f>IF(AQ17=0,0,IF(AP17=0,Assumptions!$B$79*Assumptions!$B$34,AP53*(1+AQ50)))</f>
        <v/>
      </c>
      <c r="AR53" s="10">
        <f>IF(AR17=0,0,IF(AQ17=0,Assumptions!$B$79*Assumptions!$B$34,AQ53*(1+AR50)))</f>
        <v/>
      </c>
      <c r="AS53" s="10">
        <f>IF(AS17=0,0,IF(AR17=0,Assumptions!$B$79*Assumptions!$B$34,AR53*(1+AS50)))</f>
        <v/>
      </c>
      <c r="AT53" s="10">
        <f>IF(AT17=0,0,IF(AS17=0,Assumptions!$B$79*Assumptions!$B$34,AS53*(1+AT50)))</f>
        <v/>
      </c>
      <c r="AU53" s="10">
        <f>IF(AU17=0,0,IF(AT17=0,Assumptions!$B$79*Assumptions!$B$34,AT53*(1+AU50)))</f>
        <v/>
      </c>
      <c r="AV53" s="10">
        <f>IF(AV17=0,0,IF(AU17=0,Assumptions!$B$79*Assumptions!$B$34,AU53*(1+AV50)))</f>
        <v/>
      </c>
      <c r="AW53" s="10">
        <f>IF(AW17=0,0,IF(AV17=0,Assumptions!$B$79*Assumptions!$B$34,AV53*(1+AW50)))</f>
        <v/>
      </c>
      <c r="AX53" s="10">
        <f>IF(AX17=0,0,IF(AW17=0,Assumptions!$B$79*Assumptions!$B$34,AW53*(1+AX50)))</f>
        <v/>
      </c>
      <c r="AY53" s="10">
        <f>IF(AY17=0,0,IF(AX17=0,Assumptions!$B$79*Assumptions!$B$34,AX53*(1+AY50)))</f>
        <v/>
      </c>
      <c r="AZ53" s="10">
        <f>IF(AZ17=0,0,IF(AY17=0,Assumptions!$B$79*Assumptions!$B$34,AY53*(1+AZ50)))</f>
        <v/>
      </c>
      <c r="BA53" s="10">
        <f>IF(BA17=0,0,IF(AZ17=0,Assumptions!$B$79*Assumptions!$B$34,AZ53*(1+BA50)))</f>
        <v/>
      </c>
      <c r="BB53" s="10">
        <f>IF(BB17=0,0,IF(BA17=0,Assumptions!$B$79*Assumptions!$B$34,BA53*(1+BB50)))</f>
        <v/>
      </c>
      <c r="BC53" s="10">
        <f>IF(BC17=0,0,IF(BB17=0,Assumptions!$B$79*Assumptions!$B$34,BB53*(1+BC50)))</f>
        <v/>
      </c>
      <c r="BD53" s="10">
        <f>IF(BD17=0,0,IF(BC17=0,Assumptions!$B$79*Assumptions!$B$34,BC53*(1+BD50)))</f>
        <v/>
      </c>
      <c r="BE53" s="10">
        <f>IF(BE17=0,0,IF(BD17=0,Assumptions!$B$79*Assumptions!$B$34,BD53*(1+BE50)))</f>
        <v/>
      </c>
      <c r="BF53" s="10">
        <f>IF(BF17=0,0,IF(BE17=0,Assumptions!$B$79*Assumptions!$B$34,BE53*(1+BF50)))</f>
        <v/>
      </c>
      <c r="BG53" s="10">
        <f>IF(BG17=0,0,IF(BF17=0,Assumptions!$B$79*Assumptions!$B$34,BF53*(1+BG50)))</f>
        <v/>
      </c>
      <c r="BH53" s="10">
        <f>IF(BH17=0,0,IF(BG17=0,Assumptions!$B$79*Assumptions!$B$34,BG53*(1+BH50)))</f>
        <v/>
      </c>
      <c r="BI53" s="10">
        <f>IF(BI17=0,0,IF(BH17=0,Assumptions!$B$79*Assumptions!$B$34,BH53*(1+BI50)))</f>
        <v/>
      </c>
      <c r="BJ53" s="10">
        <f>IF(BJ17=0,0,IF(BI17=0,Assumptions!$B$79*Assumptions!$B$34,BI53*(1+BJ50)))</f>
        <v/>
      </c>
    </row>
    <row r="54">
      <c r="A54" s="4" t="inlineStr">
        <is>
          <t>Self-serve trials: Ghana</t>
        </is>
      </c>
      <c r="B54" s="17" t="inlineStr">
        <is>
          <t>trials</t>
        </is>
      </c>
      <c r="C54" s="10">
        <f>IF(C19=0,0,Assumptions!$B$89*Assumptions!$B$34)</f>
        <v/>
      </c>
      <c r="D54" s="10">
        <f>IF(D19=0,0,IF(C19=0,Assumptions!$B$89*Assumptions!$B$34,C54*(1+D50)))</f>
        <v/>
      </c>
      <c r="E54" s="10">
        <f>IF(E19=0,0,IF(D19=0,Assumptions!$B$89*Assumptions!$B$34,D54*(1+E50)))</f>
        <v/>
      </c>
      <c r="F54" s="10">
        <f>IF(F19=0,0,IF(E19=0,Assumptions!$B$89*Assumptions!$B$34,E54*(1+F50)))</f>
        <v/>
      </c>
      <c r="G54" s="10">
        <f>IF(G19=0,0,IF(F19=0,Assumptions!$B$89*Assumptions!$B$34,F54*(1+G50)))</f>
        <v/>
      </c>
      <c r="H54" s="10">
        <f>IF(H19=0,0,IF(G19=0,Assumptions!$B$89*Assumptions!$B$34,G54*(1+H50)))</f>
        <v/>
      </c>
      <c r="I54" s="10">
        <f>IF(I19=0,0,IF(H19=0,Assumptions!$B$89*Assumptions!$B$34,H54*(1+I50)))</f>
        <v/>
      </c>
      <c r="J54" s="10">
        <f>IF(J19=0,0,IF(I19=0,Assumptions!$B$89*Assumptions!$B$34,I54*(1+J50)))</f>
        <v/>
      </c>
      <c r="K54" s="10">
        <f>IF(K19=0,0,IF(J19=0,Assumptions!$B$89*Assumptions!$B$34,J54*(1+K50)))</f>
        <v/>
      </c>
      <c r="L54" s="10">
        <f>IF(L19=0,0,IF(K19=0,Assumptions!$B$89*Assumptions!$B$34,K54*(1+L50)))</f>
        <v/>
      </c>
      <c r="M54" s="10">
        <f>IF(M19=0,0,IF(L19=0,Assumptions!$B$89*Assumptions!$B$34,L54*(1+M50)))</f>
        <v/>
      </c>
      <c r="N54" s="10">
        <f>IF(N19=0,0,IF(M19=0,Assumptions!$B$89*Assumptions!$B$34,M54*(1+N50)))</f>
        <v/>
      </c>
      <c r="O54" s="10">
        <f>IF(O19=0,0,IF(N19=0,Assumptions!$B$89*Assumptions!$B$34,N54*(1+O50)))</f>
        <v/>
      </c>
      <c r="P54" s="10">
        <f>IF(P19=0,0,IF(O19=0,Assumptions!$B$89*Assumptions!$B$34,O54*(1+P50)))</f>
        <v/>
      </c>
      <c r="Q54" s="10">
        <f>IF(Q19=0,0,IF(P19=0,Assumptions!$B$89*Assumptions!$B$34,P54*(1+Q50)))</f>
        <v/>
      </c>
      <c r="R54" s="10">
        <f>IF(R19=0,0,IF(Q19=0,Assumptions!$B$89*Assumptions!$B$34,Q54*(1+R50)))</f>
        <v/>
      </c>
      <c r="S54" s="10">
        <f>IF(S19=0,0,IF(R19=0,Assumptions!$B$89*Assumptions!$B$34,R54*(1+S50)))</f>
        <v/>
      </c>
      <c r="T54" s="10">
        <f>IF(T19=0,0,IF(S19=0,Assumptions!$B$89*Assumptions!$B$34,S54*(1+T50)))</f>
        <v/>
      </c>
      <c r="U54" s="10">
        <f>IF(U19=0,0,IF(T19=0,Assumptions!$B$89*Assumptions!$B$34,T54*(1+U50)))</f>
        <v/>
      </c>
      <c r="V54" s="10">
        <f>IF(V19=0,0,IF(U19=0,Assumptions!$B$89*Assumptions!$B$34,U54*(1+V50)))</f>
        <v/>
      </c>
      <c r="W54" s="10">
        <f>IF(W19=0,0,IF(V19=0,Assumptions!$B$89*Assumptions!$B$34,V54*(1+W50)))</f>
        <v/>
      </c>
      <c r="X54" s="10">
        <f>IF(X19=0,0,IF(W19=0,Assumptions!$B$89*Assumptions!$B$34,W54*(1+X50)))</f>
        <v/>
      </c>
      <c r="Y54" s="10">
        <f>IF(Y19=0,0,IF(X19=0,Assumptions!$B$89*Assumptions!$B$34,X54*(1+Y50)))</f>
        <v/>
      </c>
      <c r="Z54" s="10">
        <f>IF(Z19=0,0,IF(Y19=0,Assumptions!$B$89*Assumptions!$B$34,Y54*(1+Z50)))</f>
        <v/>
      </c>
      <c r="AA54" s="10">
        <f>IF(AA19=0,0,IF(Z19=0,Assumptions!$B$89*Assumptions!$B$34,Z54*(1+AA50)))</f>
        <v/>
      </c>
      <c r="AB54" s="10">
        <f>IF(AB19=0,0,IF(AA19=0,Assumptions!$B$89*Assumptions!$B$34,AA54*(1+AB50)))</f>
        <v/>
      </c>
      <c r="AC54" s="10">
        <f>IF(AC19=0,0,IF(AB19=0,Assumptions!$B$89*Assumptions!$B$34,AB54*(1+AC50)))</f>
        <v/>
      </c>
      <c r="AD54" s="10">
        <f>IF(AD19=0,0,IF(AC19=0,Assumptions!$B$89*Assumptions!$B$34,AC54*(1+AD50)))</f>
        <v/>
      </c>
      <c r="AE54" s="10">
        <f>IF(AE19=0,0,IF(AD19=0,Assumptions!$B$89*Assumptions!$B$34,AD54*(1+AE50)))</f>
        <v/>
      </c>
      <c r="AF54" s="10">
        <f>IF(AF19=0,0,IF(AE19=0,Assumptions!$B$89*Assumptions!$B$34,AE54*(1+AF50)))</f>
        <v/>
      </c>
      <c r="AG54" s="10">
        <f>IF(AG19=0,0,IF(AF19=0,Assumptions!$B$89*Assumptions!$B$34,AF54*(1+AG50)))</f>
        <v/>
      </c>
      <c r="AH54" s="10">
        <f>IF(AH19=0,0,IF(AG19=0,Assumptions!$B$89*Assumptions!$B$34,AG54*(1+AH50)))</f>
        <v/>
      </c>
      <c r="AI54" s="10">
        <f>IF(AI19=0,0,IF(AH19=0,Assumptions!$B$89*Assumptions!$B$34,AH54*(1+AI50)))</f>
        <v/>
      </c>
      <c r="AJ54" s="10">
        <f>IF(AJ19=0,0,IF(AI19=0,Assumptions!$B$89*Assumptions!$B$34,AI54*(1+AJ50)))</f>
        <v/>
      </c>
      <c r="AK54" s="10">
        <f>IF(AK19=0,0,IF(AJ19=0,Assumptions!$B$89*Assumptions!$B$34,AJ54*(1+AK50)))</f>
        <v/>
      </c>
      <c r="AL54" s="10">
        <f>IF(AL19=0,0,IF(AK19=0,Assumptions!$B$89*Assumptions!$B$34,AK54*(1+AL50)))</f>
        <v/>
      </c>
      <c r="AM54" s="10">
        <f>IF(AM19=0,0,IF(AL19=0,Assumptions!$B$89*Assumptions!$B$34,AL54*(1+AM50)))</f>
        <v/>
      </c>
      <c r="AN54" s="10">
        <f>IF(AN19=0,0,IF(AM19=0,Assumptions!$B$89*Assumptions!$B$34,AM54*(1+AN50)))</f>
        <v/>
      </c>
      <c r="AO54" s="10">
        <f>IF(AO19=0,0,IF(AN19=0,Assumptions!$B$89*Assumptions!$B$34,AN54*(1+AO50)))</f>
        <v/>
      </c>
      <c r="AP54" s="10">
        <f>IF(AP19=0,0,IF(AO19=0,Assumptions!$B$89*Assumptions!$B$34,AO54*(1+AP50)))</f>
        <v/>
      </c>
      <c r="AQ54" s="10">
        <f>IF(AQ19=0,0,IF(AP19=0,Assumptions!$B$89*Assumptions!$B$34,AP54*(1+AQ50)))</f>
        <v/>
      </c>
      <c r="AR54" s="10">
        <f>IF(AR19=0,0,IF(AQ19=0,Assumptions!$B$89*Assumptions!$B$34,AQ54*(1+AR50)))</f>
        <v/>
      </c>
      <c r="AS54" s="10">
        <f>IF(AS19=0,0,IF(AR19=0,Assumptions!$B$89*Assumptions!$B$34,AR54*(1+AS50)))</f>
        <v/>
      </c>
      <c r="AT54" s="10">
        <f>IF(AT19=0,0,IF(AS19=0,Assumptions!$B$89*Assumptions!$B$34,AS54*(1+AT50)))</f>
        <v/>
      </c>
      <c r="AU54" s="10">
        <f>IF(AU19=0,0,IF(AT19=0,Assumptions!$B$89*Assumptions!$B$34,AT54*(1+AU50)))</f>
        <v/>
      </c>
      <c r="AV54" s="10">
        <f>IF(AV19=0,0,IF(AU19=0,Assumptions!$B$89*Assumptions!$B$34,AU54*(1+AV50)))</f>
        <v/>
      </c>
      <c r="AW54" s="10">
        <f>IF(AW19=0,0,IF(AV19=0,Assumptions!$B$89*Assumptions!$B$34,AV54*(1+AW50)))</f>
        <v/>
      </c>
      <c r="AX54" s="10">
        <f>IF(AX19=0,0,IF(AW19=0,Assumptions!$B$89*Assumptions!$B$34,AW54*(1+AX50)))</f>
        <v/>
      </c>
      <c r="AY54" s="10">
        <f>IF(AY19=0,0,IF(AX19=0,Assumptions!$B$89*Assumptions!$B$34,AX54*(1+AY50)))</f>
        <v/>
      </c>
      <c r="AZ54" s="10">
        <f>IF(AZ19=0,0,IF(AY19=0,Assumptions!$B$89*Assumptions!$B$34,AY54*(1+AZ50)))</f>
        <v/>
      </c>
      <c r="BA54" s="10">
        <f>IF(BA19=0,0,IF(AZ19=0,Assumptions!$B$89*Assumptions!$B$34,AZ54*(1+BA50)))</f>
        <v/>
      </c>
      <c r="BB54" s="10">
        <f>IF(BB19=0,0,IF(BA19=0,Assumptions!$B$89*Assumptions!$B$34,BA54*(1+BB50)))</f>
        <v/>
      </c>
      <c r="BC54" s="10">
        <f>IF(BC19=0,0,IF(BB19=0,Assumptions!$B$89*Assumptions!$B$34,BB54*(1+BC50)))</f>
        <v/>
      </c>
      <c r="BD54" s="10">
        <f>IF(BD19=0,0,IF(BC19=0,Assumptions!$B$89*Assumptions!$B$34,BC54*(1+BD50)))</f>
        <v/>
      </c>
      <c r="BE54" s="10">
        <f>IF(BE19=0,0,IF(BD19=0,Assumptions!$B$89*Assumptions!$B$34,BD54*(1+BE50)))</f>
        <v/>
      </c>
      <c r="BF54" s="10">
        <f>IF(BF19=0,0,IF(BE19=0,Assumptions!$B$89*Assumptions!$B$34,BE54*(1+BF50)))</f>
        <v/>
      </c>
      <c r="BG54" s="10">
        <f>IF(BG19=0,0,IF(BF19=0,Assumptions!$B$89*Assumptions!$B$34,BF54*(1+BG50)))</f>
        <v/>
      </c>
      <c r="BH54" s="10">
        <f>IF(BH19=0,0,IF(BG19=0,Assumptions!$B$89*Assumptions!$B$34,BG54*(1+BH50)))</f>
        <v/>
      </c>
      <c r="BI54" s="10">
        <f>IF(BI19=0,0,IF(BH19=0,Assumptions!$B$89*Assumptions!$B$34,BH54*(1+BI50)))</f>
        <v/>
      </c>
      <c r="BJ54" s="10">
        <f>IF(BJ19=0,0,IF(BI19=0,Assumptions!$B$89*Assumptions!$B$34,BI54*(1+BJ50)))</f>
        <v/>
      </c>
    </row>
    <row r="55">
      <c r="A55" s="4" t="inlineStr">
        <is>
          <t>Self-serve trials: Rest of Africa (USD)</t>
        </is>
      </c>
      <c r="B55" s="17" t="inlineStr">
        <is>
          <t>trials</t>
        </is>
      </c>
      <c r="C55" s="10">
        <f>IF(C21=0,0,Assumptions!$B$99*Assumptions!$B$34)</f>
        <v/>
      </c>
      <c r="D55" s="10">
        <f>IF(D21=0,0,IF(C21=0,Assumptions!$B$99*Assumptions!$B$34,C55*(1+D50)))</f>
        <v/>
      </c>
      <c r="E55" s="10">
        <f>IF(E21=0,0,IF(D21=0,Assumptions!$B$99*Assumptions!$B$34,D55*(1+E50)))</f>
        <v/>
      </c>
      <c r="F55" s="10">
        <f>IF(F21=0,0,IF(E21=0,Assumptions!$B$99*Assumptions!$B$34,E55*(1+F50)))</f>
        <v/>
      </c>
      <c r="G55" s="10">
        <f>IF(G21=0,0,IF(F21=0,Assumptions!$B$99*Assumptions!$B$34,F55*(1+G50)))</f>
        <v/>
      </c>
      <c r="H55" s="10">
        <f>IF(H21=0,0,IF(G21=0,Assumptions!$B$99*Assumptions!$B$34,G55*(1+H50)))</f>
        <v/>
      </c>
      <c r="I55" s="10">
        <f>IF(I21=0,0,IF(H21=0,Assumptions!$B$99*Assumptions!$B$34,H55*(1+I50)))</f>
        <v/>
      </c>
      <c r="J55" s="10">
        <f>IF(J21=0,0,IF(I21=0,Assumptions!$B$99*Assumptions!$B$34,I55*(1+J50)))</f>
        <v/>
      </c>
      <c r="K55" s="10">
        <f>IF(K21=0,0,IF(J21=0,Assumptions!$B$99*Assumptions!$B$34,J55*(1+K50)))</f>
        <v/>
      </c>
      <c r="L55" s="10">
        <f>IF(L21=0,0,IF(K21=0,Assumptions!$B$99*Assumptions!$B$34,K55*(1+L50)))</f>
        <v/>
      </c>
      <c r="M55" s="10">
        <f>IF(M21=0,0,IF(L21=0,Assumptions!$B$99*Assumptions!$B$34,L55*(1+M50)))</f>
        <v/>
      </c>
      <c r="N55" s="10">
        <f>IF(N21=0,0,IF(M21=0,Assumptions!$B$99*Assumptions!$B$34,M55*(1+N50)))</f>
        <v/>
      </c>
      <c r="O55" s="10">
        <f>IF(O21=0,0,IF(N21=0,Assumptions!$B$99*Assumptions!$B$34,N55*(1+O50)))</f>
        <v/>
      </c>
      <c r="P55" s="10">
        <f>IF(P21=0,0,IF(O21=0,Assumptions!$B$99*Assumptions!$B$34,O55*(1+P50)))</f>
        <v/>
      </c>
      <c r="Q55" s="10">
        <f>IF(Q21=0,0,IF(P21=0,Assumptions!$B$99*Assumptions!$B$34,P55*(1+Q50)))</f>
        <v/>
      </c>
      <c r="R55" s="10">
        <f>IF(R21=0,0,IF(Q21=0,Assumptions!$B$99*Assumptions!$B$34,Q55*(1+R50)))</f>
        <v/>
      </c>
      <c r="S55" s="10">
        <f>IF(S21=0,0,IF(R21=0,Assumptions!$B$99*Assumptions!$B$34,R55*(1+S50)))</f>
        <v/>
      </c>
      <c r="T55" s="10">
        <f>IF(T21=0,0,IF(S21=0,Assumptions!$B$99*Assumptions!$B$34,S55*(1+T50)))</f>
        <v/>
      </c>
      <c r="U55" s="10">
        <f>IF(U21=0,0,IF(T21=0,Assumptions!$B$99*Assumptions!$B$34,T55*(1+U50)))</f>
        <v/>
      </c>
      <c r="V55" s="10">
        <f>IF(V21=0,0,IF(U21=0,Assumptions!$B$99*Assumptions!$B$34,U55*(1+V50)))</f>
        <v/>
      </c>
      <c r="W55" s="10">
        <f>IF(W21=0,0,IF(V21=0,Assumptions!$B$99*Assumptions!$B$34,V55*(1+W50)))</f>
        <v/>
      </c>
      <c r="X55" s="10">
        <f>IF(X21=0,0,IF(W21=0,Assumptions!$B$99*Assumptions!$B$34,W55*(1+X50)))</f>
        <v/>
      </c>
      <c r="Y55" s="10">
        <f>IF(Y21=0,0,IF(X21=0,Assumptions!$B$99*Assumptions!$B$34,X55*(1+Y50)))</f>
        <v/>
      </c>
      <c r="Z55" s="10">
        <f>IF(Z21=0,0,IF(Y21=0,Assumptions!$B$99*Assumptions!$B$34,Y55*(1+Z50)))</f>
        <v/>
      </c>
      <c r="AA55" s="10">
        <f>IF(AA21=0,0,IF(Z21=0,Assumptions!$B$99*Assumptions!$B$34,Z55*(1+AA50)))</f>
        <v/>
      </c>
      <c r="AB55" s="10">
        <f>IF(AB21=0,0,IF(AA21=0,Assumptions!$B$99*Assumptions!$B$34,AA55*(1+AB50)))</f>
        <v/>
      </c>
      <c r="AC55" s="10">
        <f>IF(AC21=0,0,IF(AB21=0,Assumptions!$B$99*Assumptions!$B$34,AB55*(1+AC50)))</f>
        <v/>
      </c>
      <c r="AD55" s="10">
        <f>IF(AD21=0,0,IF(AC21=0,Assumptions!$B$99*Assumptions!$B$34,AC55*(1+AD50)))</f>
        <v/>
      </c>
      <c r="AE55" s="10">
        <f>IF(AE21=0,0,IF(AD21=0,Assumptions!$B$99*Assumptions!$B$34,AD55*(1+AE50)))</f>
        <v/>
      </c>
      <c r="AF55" s="10">
        <f>IF(AF21=0,0,IF(AE21=0,Assumptions!$B$99*Assumptions!$B$34,AE55*(1+AF50)))</f>
        <v/>
      </c>
      <c r="AG55" s="10">
        <f>IF(AG21=0,0,IF(AF21=0,Assumptions!$B$99*Assumptions!$B$34,AF55*(1+AG50)))</f>
        <v/>
      </c>
      <c r="AH55" s="10">
        <f>IF(AH21=0,0,IF(AG21=0,Assumptions!$B$99*Assumptions!$B$34,AG55*(1+AH50)))</f>
        <v/>
      </c>
      <c r="AI55" s="10">
        <f>IF(AI21=0,0,IF(AH21=0,Assumptions!$B$99*Assumptions!$B$34,AH55*(1+AI50)))</f>
        <v/>
      </c>
      <c r="AJ55" s="10">
        <f>IF(AJ21=0,0,IF(AI21=0,Assumptions!$B$99*Assumptions!$B$34,AI55*(1+AJ50)))</f>
        <v/>
      </c>
      <c r="AK55" s="10">
        <f>IF(AK21=0,0,IF(AJ21=0,Assumptions!$B$99*Assumptions!$B$34,AJ55*(1+AK50)))</f>
        <v/>
      </c>
      <c r="AL55" s="10">
        <f>IF(AL21=0,0,IF(AK21=0,Assumptions!$B$99*Assumptions!$B$34,AK55*(1+AL50)))</f>
        <v/>
      </c>
      <c r="AM55" s="10">
        <f>IF(AM21=0,0,IF(AL21=0,Assumptions!$B$99*Assumptions!$B$34,AL55*(1+AM50)))</f>
        <v/>
      </c>
      <c r="AN55" s="10">
        <f>IF(AN21=0,0,IF(AM21=0,Assumptions!$B$99*Assumptions!$B$34,AM55*(1+AN50)))</f>
        <v/>
      </c>
      <c r="AO55" s="10">
        <f>IF(AO21=0,0,IF(AN21=0,Assumptions!$B$99*Assumptions!$B$34,AN55*(1+AO50)))</f>
        <v/>
      </c>
      <c r="AP55" s="10">
        <f>IF(AP21=0,0,IF(AO21=0,Assumptions!$B$99*Assumptions!$B$34,AO55*(1+AP50)))</f>
        <v/>
      </c>
      <c r="AQ55" s="10">
        <f>IF(AQ21=0,0,IF(AP21=0,Assumptions!$B$99*Assumptions!$B$34,AP55*(1+AQ50)))</f>
        <v/>
      </c>
      <c r="AR55" s="10">
        <f>IF(AR21=0,0,IF(AQ21=0,Assumptions!$B$99*Assumptions!$B$34,AQ55*(1+AR50)))</f>
        <v/>
      </c>
      <c r="AS55" s="10">
        <f>IF(AS21=0,0,IF(AR21=0,Assumptions!$B$99*Assumptions!$B$34,AR55*(1+AS50)))</f>
        <v/>
      </c>
      <c r="AT55" s="10">
        <f>IF(AT21=0,0,IF(AS21=0,Assumptions!$B$99*Assumptions!$B$34,AS55*(1+AT50)))</f>
        <v/>
      </c>
      <c r="AU55" s="10">
        <f>IF(AU21=0,0,IF(AT21=0,Assumptions!$B$99*Assumptions!$B$34,AT55*(1+AU50)))</f>
        <v/>
      </c>
      <c r="AV55" s="10">
        <f>IF(AV21=0,0,IF(AU21=0,Assumptions!$B$99*Assumptions!$B$34,AU55*(1+AV50)))</f>
        <v/>
      </c>
      <c r="AW55" s="10">
        <f>IF(AW21=0,0,IF(AV21=0,Assumptions!$B$99*Assumptions!$B$34,AV55*(1+AW50)))</f>
        <v/>
      </c>
      <c r="AX55" s="10">
        <f>IF(AX21=0,0,IF(AW21=0,Assumptions!$B$99*Assumptions!$B$34,AW55*(1+AX50)))</f>
        <v/>
      </c>
      <c r="AY55" s="10">
        <f>IF(AY21=0,0,IF(AX21=0,Assumptions!$B$99*Assumptions!$B$34,AX55*(1+AY50)))</f>
        <v/>
      </c>
      <c r="AZ55" s="10">
        <f>IF(AZ21=0,0,IF(AY21=0,Assumptions!$B$99*Assumptions!$B$34,AY55*(1+AZ50)))</f>
        <v/>
      </c>
      <c r="BA55" s="10">
        <f>IF(BA21=0,0,IF(AZ21=0,Assumptions!$B$99*Assumptions!$B$34,AZ55*(1+BA50)))</f>
        <v/>
      </c>
      <c r="BB55" s="10">
        <f>IF(BB21=0,0,IF(BA21=0,Assumptions!$B$99*Assumptions!$B$34,BA55*(1+BB50)))</f>
        <v/>
      </c>
      <c r="BC55" s="10">
        <f>IF(BC21=0,0,IF(BB21=0,Assumptions!$B$99*Assumptions!$B$34,BB55*(1+BC50)))</f>
        <v/>
      </c>
      <c r="BD55" s="10">
        <f>IF(BD21=0,0,IF(BC21=0,Assumptions!$B$99*Assumptions!$B$34,BC55*(1+BD50)))</f>
        <v/>
      </c>
      <c r="BE55" s="10">
        <f>IF(BE21=0,0,IF(BD21=0,Assumptions!$B$99*Assumptions!$B$34,BD55*(1+BE50)))</f>
        <v/>
      </c>
      <c r="BF55" s="10">
        <f>IF(BF21=0,0,IF(BE21=0,Assumptions!$B$99*Assumptions!$B$34,BE55*(1+BF50)))</f>
        <v/>
      </c>
      <c r="BG55" s="10">
        <f>IF(BG21=0,0,IF(BF21=0,Assumptions!$B$99*Assumptions!$B$34,BF55*(1+BG50)))</f>
        <v/>
      </c>
      <c r="BH55" s="10">
        <f>IF(BH21=0,0,IF(BG21=0,Assumptions!$B$99*Assumptions!$B$34,BG55*(1+BH50)))</f>
        <v/>
      </c>
      <c r="BI55" s="10">
        <f>IF(BI21=0,0,IF(BH21=0,Assumptions!$B$99*Assumptions!$B$34,BH55*(1+BI50)))</f>
        <v/>
      </c>
      <c r="BJ55" s="10">
        <f>IF(BJ21=0,0,IF(BI21=0,Assumptions!$B$99*Assumptions!$B$34,BI55*(1+BJ50)))</f>
        <v/>
      </c>
    </row>
    <row r="56">
      <c r="A56" s="4" t="inlineStr">
        <is>
          <t>Self-serve trials: Botswana &amp; Namibia</t>
        </is>
      </c>
      <c r="B56" s="17" t="inlineStr">
        <is>
          <t>trials</t>
        </is>
      </c>
      <c r="C56" s="10">
        <f>IF(C23=0,0,Assumptions!$B$107*Assumptions!$B$34)</f>
        <v/>
      </c>
      <c r="D56" s="10">
        <f>IF(D23=0,0,IF(C23=0,Assumptions!$B$107*Assumptions!$B$34,C56*(1+D50)))</f>
        <v/>
      </c>
      <c r="E56" s="10">
        <f>IF(E23=0,0,IF(D23=0,Assumptions!$B$107*Assumptions!$B$34,D56*(1+E50)))</f>
        <v/>
      </c>
      <c r="F56" s="10">
        <f>IF(F23=0,0,IF(E23=0,Assumptions!$B$107*Assumptions!$B$34,E56*(1+F50)))</f>
        <v/>
      </c>
      <c r="G56" s="10">
        <f>IF(G23=0,0,IF(F23=0,Assumptions!$B$107*Assumptions!$B$34,F56*(1+G50)))</f>
        <v/>
      </c>
      <c r="H56" s="10">
        <f>IF(H23=0,0,IF(G23=0,Assumptions!$B$107*Assumptions!$B$34,G56*(1+H50)))</f>
        <v/>
      </c>
      <c r="I56" s="10">
        <f>IF(I23=0,0,IF(H23=0,Assumptions!$B$107*Assumptions!$B$34,H56*(1+I50)))</f>
        <v/>
      </c>
      <c r="J56" s="10">
        <f>IF(J23=0,0,IF(I23=0,Assumptions!$B$107*Assumptions!$B$34,I56*(1+J50)))</f>
        <v/>
      </c>
      <c r="K56" s="10">
        <f>IF(K23=0,0,IF(J23=0,Assumptions!$B$107*Assumptions!$B$34,J56*(1+K50)))</f>
        <v/>
      </c>
      <c r="L56" s="10">
        <f>IF(L23=0,0,IF(K23=0,Assumptions!$B$107*Assumptions!$B$34,K56*(1+L50)))</f>
        <v/>
      </c>
      <c r="M56" s="10">
        <f>IF(M23=0,0,IF(L23=0,Assumptions!$B$107*Assumptions!$B$34,L56*(1+M50)))</f>
        <v/>
      </c>
      <c r="N56" s="10">
        <f>IF(N23=0,0,IF(M23=0,Assumptions!$B$107*Assumptions!$B$34,M56*(1+N50)))</f>
        <v/>
      </c>
      <c r="O56" s="10">
        <f>IF(O23=0,0,IF(N23=0,Assumptions!$B$107*Assumptions!$B$34,N56*(1+O50)))</f>
        <v/>
      </c>
      <c r="P56" s="10">
        <f>IF(P23=0,0,IF(O23=0,Assumptions!$B$107*Assumptions!$B$34,O56*(1+P50)))</f>
        <v/>
      </c>
      <c r="Q56" s="10">
        <f>IF(Q23=0,0,IF(P23=0,Assumptions!$B$107*Assumptions!$B$34,P56*(1+Q50)))</f>
        <v/>
      </c>
      <c r="R56" s="10">
        <f>IF(R23=0,0,IF(Q23=0,Assumptions!$B$107*Assumptions!$B$34,Q56*(1+R50)))</f>
        <v/>
      </c>
      <c r="S56" s="10">
        <f>IF(S23=0,0,IF(R23=0,Assumptions!$B$107*Assumptions!$B$34,R56*(1+S50)))</f>
        <v/>
      </c>
      <c r="T56" s="10">
        <f>IF(T23=0,0,IF(S23=0,Assumptions!$B$107*Assumptions!$B$34,S56*(1+T50)))</f>
        <v/>
      </c>
      <c r="U56" s="10">
        <f>IF(U23=0,0,IF(T23=0,Assumptions!$B$107*Assumptions!$B$34,T56*(1+U50)))</f>
        <v/>
      </c>
      <c r="V56" s="10">
        <f>IF(V23=0,0,IF(U23=0,Assumptions!$B$107*Assumptions!$B$34,U56*(1+V50)))</f>
        <v/>
      </c>
      <c r="W56" s="10">
        <f>IF(W23=0,0,IF(V23=0,Assumptions!$B$107*Assumptions!$B$34,V56*(1+W50)))</f>
        <v/>
      </c>
      <c r="X56" s="10">
        <f>IF(X23=0,0,IF(W23=0,Assumptions!$B$107*Assumptions!$B$34,W56*(1+X50)))</f>
        <v/>
      </c>
      <c r="Y56" s="10">
        <f>IF(Y23=0,0,IF(X23=0,Assumptions!$B$107*Assumptions!$B$34,X56*(1+Y50)))</f>
        <v/>
      </c>
      <c r="Z56" s="10">
        <f>IF(Z23=0,0,IF(Y23=0,Assumptions!$B$107*Assumptions!$B$34,Y56*(1+Z50)))</f>
        <v/>
      </c>
      <c r="AA56" s="10">
        <f>IF(AA23=0,0,IF(Z23=0,Assumptions!$B$107*Assumptions!$B$34,Z56*(1+AA50)))</f>
        <v/>
      </c>
      <c r="AB56" s="10">
        <f>IF(AB23=0,0,IF(AA23=0,Assumptions!$B$107*Assumptions!$B$34,AA56*(1+AB50)))</f>
        <v/>
      </c>
      <c r="AC56" s="10">
        <f>IF(AC23=0,0,IF(AB23=0,Assumptions!$B$107*Assumptions!$B$34,AB56*(1+AC50)))</f>
        <v/>
      </c>
      <c r="AD56" s="10">
        <f>IF(AD23=0,0,IF(AC23=0,Assumptions!$B$107*Assumptions!$B$34,AC56*(1+AD50)))</f>
        <v/>
      </c>
      <c r="AE56" s="10">
        <f>IF(AE23=0,0,IF(AD23=0,Assumptions!$B$107*Assumptions!$B$34,AD56*(1+AE50)))</f>
        <v/>
      </c>
      <c r="AF56" s="10">
        <f>IF(AF23=0,0,IF(AE23=0,Assumptions!$B$107*Assumptions!$B$34,AE56*(1+AF50)))</f>
        <v/>
      </c>
      <c r="AG56" s="10">
        <f>IF(AG23=0,0,IF(AF23=0,Assumptions!$B$107*Assumptions!$B$34,AF56*(1+AG50)))</f>
        <v/>
      </c>
      <c r="AH56" s="10">
        <f>IF(AH23=0,0,IF(AG23=0,Assumptions!$B$107*Assumptions!$B$34,AG56*(1+AH50)))</f>
        <v/>
      </c>
      <c r="AI56" s="10">
        <f>IF(AI23=0,0,IF(AH23=0,Assumptions!$B$107*Assumptions!$B$34,AH56*(1+AI50)))</f>
        <v/>
      </c>
      <c r="AJ56" s="10">
        <f>IF(AJ23=0,0,IF(AI23=0,Assumptions!$B$107*Assumptions!$B$34,AI56*(1+AJ50)))</f>
        <v/>
      </c>
      <c r="AK56" s="10">
        <f>IF(AK23=0,0,IF(AJ23=0,Assumptions!$B$107*Assumptions!$B$34,AJ56*(1+AK50)))</f>
        <v/>
      </c>
      <c r="AL56" s="10">
        <f>IF(AL23=0,0,IF(AK23=0,Assumptions!$B$107*Assumptions!$B$34,AK56*(1+AL50)))</f>
        <v/>
      </c>
      <c r="AM56" s="10">
        <f>IF(AM23=0,0,IF(AL23=0,Assumptions!$B$107*Assumptions!$B$34,AL56*(1+AM50)))</f>
        <v/>
      </c>
      <c r="AN56" s="10">
        <f>IF(AN23=0,0,IF(AM23=0,Assumptions!$B$107*Assumptions!$B$34,AM56*(1+AN50)))</f>
        <v/>
      </c>
      <c r="AO56" s="10">
        <f>IF(AO23=0,0,IF(AN23=0,Assumptions!$B$107*Assumptions!$B$34,AN56*(1+AO50)))</f>
        <v/>
      </c>
      <c r="AP56" s="10">
        <f>IF(AP23=0,0,IF(AO23=0,Assumptions!$B$107*Assumptions!$B$34,AO56*(1+AP50)))</f>
        <v/>
      </c>
      <c r="AQ56" s="10">
        <f>IF(AQ23=0,0,IF(AP23=0,Assumptions!$B$107*Assumptions!$B$34,AP56*(1+AQ50)))</f>
        <v/>
      </c>
      <c r="AR56" s="10">
        <f>IF(AR23=0,0,IF(AQ23=0,Assumptions!$B$107*Assumptions!$B$34,AQ56*(1+AR50)))</f>
        <v/>
      </c>
      <c r="AS56" s="10">
        <f>IF(AS23=0,0,IF(AR23=0,Assumptions!$B$107*Assumptions!$B$34,AR56*(1+AS50)))</f>
        <v/>
      </c>
      <c r="AT56" s="10">
        <f>IF(AT23=0,0,IF(AS23=0,Assumptions!$B$107*Assumptions!$B$34,AS56*(1+AT50)))</f>
        <v/>
      </c>
      <c r="AU56" s="10">
        <f>IF(AU23=0,0,IF(AT23=0,Assumptions!$B$107*Assumptions!$B$34,AT56*(1+AU50)))</f>
        <v/>
      </c>
      <c r="AV56" s="10">
        <f>IF(AV23=0,0,IF(AU23=0,Assumptions!$B$107*Assumptions!$B$34,AU56*(1+AV50)))</f>
        <v/>
      </c>
      <c r="AW56" s="10">
        <f>IF(AW23=0,0,IF(AV23=0,Assumptions!$B$107*Assumptions!$B$34,AV56*(1+AW50)))</f>
        <v/>
      </c>
      <c r="AX56" s="10">
        <f>IF(AX23=0,0,IF(AW23=0,Assumptions!$B$107*Assumptions!$B$34,AW56*(1+AX50)))</f>
        <v/>
      </c>
      <c r="AY56" s="10">
        <f>IF(AY23=0,0,IF(AX23=0,Assumptions!$B$107*Assumptions!$B$34,AX56*(1+AY50)))</f>
        <v/>
      </c>
      <c r="AZ56" s="10">
        <f>IF(AZ23=0,0,IF(AY23=0,Assumptions!$B$107*Assumptions!$B$34,AY56*(1+AZ50)))</f>
        <v/>
      </c>
      <c r="BA56" s="10">
        <f>IF(BA23=0,0,IF(AZ23=0,Assumptions!$B$107*Assumptions!$B$34,AZ56*(1+BA50)))</f>
        <v/>
      </c>
      <c r="BB56" s="10">
        <f>IF(BB23=0,0,IF(BA23=0,Assumptions!$B$107*Assumptions!$B$34,BA56*(1+BB50)))</f>
        <v/>
      </c>
      <c r="BC56" s="10">
        <f>IF(BC23=0,0,IF(BB23=0,Assumptions!$B$107*Assumptions!$B$34,BB56*(1+BC50)))</f>
        <v/>
      </c>
      <c r="BD56" s="10">
        <f>IF(BD23=0,0,IF(BC23=0,Assumptions!$B$107*Assumptions!$B$34,BC56*(1+BD50)))</f>
        <v/>
      </c>
      <c r="BE56" s="10">
        <f>IF(BE23=0,0,IF(BD23=0,Assumptions!$B$107*Assumptions!$B$34,BD56*(1+BE50)))</f>
        <v/>
      </c>
      <c r="BF56" s="10">
        <f>IF(BF23=0,0,IF(BE23=0,Assumptions!$B$107*Assumptions!$B$34,BE56*(1+BF50)))</f>
        <v/>
      </c>
      <c r="BG56" s="10">
        <f>IF(BG23=0,0,IF(BF23=0,Assumptions!$B$107*Assumptions!$B$34,BF56*(1+BG50)))</f>
        <v/>
      </c>
      <c r="BH56" s="10">
        <f>IF(BH23=0,0,IF(BG23=0,Assumptions!$B$107*Assumptions!$B$34,BG56*(1+BH50)))</f>
        <v/>
      </c>
      <c r="BI56" s="10">
        <f>IF(BI23=0,0,IF(BH23=0,Assumptions!$B$107*Assumptions!$B$34,BH56*(1+BI50)))</f>
        <v/>
      </c>
      <c r="BJ56" s="10">
        <f>IF(BJ23=0,0,IF(BI23=0,Assumptions!$B$107*Assumptions!$B$34,BI56*(1+BJ50)))</f>
        <v/>
      </c>
    </row>
    <row r="57">
      <c r="A57" s="3" t="inlineStr">
        <is>
          <t>Total self-serve trials</t>
        </is>
      </c>
      <c r="B57" s="17" t="inlineStr">
        <is>
          <t>trials</t>
        </is>
      </c>
      <c r="C57" s="40">
        <f>C51+C52+C53+C54+C55+C56</f>
        <v/>
      </c>
      <c r="D57" s="40">
        <f>D51+D52+D53+D54+D55+D56</f>
        <v/>
      </c>
      <c r="E57" s="40">
        <f>E51+E52+E53+E54+E55+E56</f>
        <v/>
      </c>
      <c r="F57" s="40">
        <f>F51+F52+F53+F54+F55+F56</f>
        <v/>
      </c>
      <c r="G57" s="40">
        <f>G51+G52+G53+G54+G55+G56</f>
        <v/>
      </c>
      <c r="H57" s="40">
        <f>H51+H52+H53+H54+H55+H56</f>
        <v/>
      </c>
      <c r="I57" s="40">
        <f>I51+I52+I53+I54+I55+I56</f>
        <v/>
      </c>
      <c r="J57" s="40">
        <f>J51+J52+J53+J54+J55+J56</f>
        <v/>
      </c>
      <c r="K57" s="40">
        <f>K51+K52+K53+K54+K55+K56</f>
        <v/>
      </c>
      <c r="L57" s="40">
        <f>L51+L52+L53+L54+L55+L56</f>
        <v/>
      </c>
      <c r="M57" s="40">
        <f>M51+M52+M53+M54+M55+M56</f>
        <v/>
      </c>
      <c r="N57" s="40">
        <f>N51+N52+N53+N54+N55+N56</f>
        <v/>
      </c>
      <c r="O57" s="40">
        <f>O51+O52+O53+O54+O55+O56</f>
        <v/>
      </c>
      <c r="P57" s="40">
        <f>P51+P52+P53+P54+P55+P56</f>
        <v/>
      </c>
      <c r="Q57" s="40">
        <f>Q51+Q52+Q53+Q54+Q55+Q56</f>
        <v/>
      </c>
      <c r="R57" s="40">
        <f>R51+R52+R53+R54+R55+R56</f>
        <v/>
      </c>
      <c r="S57" s="40">
        <f>S51+S52+S53+S54+S55+S56</f>
        <v/>
      </c>
      <c r="T57" s="40">
        <f>T51+T52+T53+T54+T55+T56</f>
        <v/>
      </c>
      <c r="U57" s="40">
        <f>U51+U52+U53+U54+U55+U56</f>
        <v/>
      </c>
      <c r="V57" s="40">
        <f>V51+V52+V53+V54+V55+V56</f>
        <v/>
      </c>
      <c r="W57" s="40">
        <f>W51+W52+W53+W54+W55+W56</f>
        <v/>
      </c>
      <c r="X57" s="40">
        <f>X51+X52+X53+X54+X55+X56</f>
        <v/>
      </c>
      <c r="Y57" s="40">
        <f>Y51+Y52+Y53+Y54+Y55+Y56</f>
        <v/>
      </c>
      <c r="Z57" s="40">
        <f>Z51+Z52+Z53+Z54+Z55+Z56</f>
        <v/>
      </c>
      <c r="AA57" s="40">
        <f>AA51+AA52+AA53+AA54+AA55+AA56</f>
        <v/>
      </c>
      <c r="AB57" s="40">
        <f>AB51+AB52+AB53+AB54+AB55+AB56</f>
        <v/>
      </c>
      <c r="AC57" s="40">
        <f>AC51+AC52+AC53+AC54+AC55+AC56</f>
        <v/>
      </c>
      <c r="AD57" s="40">
        <f>AD51+AD52+AD53+AD54+AD55+AD56</f>
        <v/>
      </c>
      <c r="AE57" s="40">
        <f>AE51+AE52+AE53+AE54+AE55+AE56</f>
        <v/>
      </c>
      <c r="AF57" s="40">
        <f>AF51+AF52+AF53+AF54+AF55+AF56</f>
        <v/>
      </c>
      <c r="AG57" s="40">
        <f>AG51+AG52+AG53+AG54+AG55+AG56</f>
        <v/>
      </c>
      <c r="AH57" s="40">
        <f>AH51+AH52+AH53+AH54+AH55+AH56</f>
        <v/>
      </c>
      <c r="AI57" s="40">
        <f>AI51+AI52+AI53+AI54+AI55+AI56</f>
        <v/>
      </c>
      <c r="AJ57" s="40">
        <f>AJ51+AJ52+AJ53+AJ54+AJ55+AJ56</f>
        <v/>
      </c>
      <c r="AK57" s="40">
        <f>AK51+AK52+AK53+AK54+AK55+AK56</f>
        <v/>
      </c>
      <c r="AL57" s="40">
        <f>AL51+AL52+AL53+AL54+AL55+AL56</f>
        <v/>
      </c>
      <c r="AM57" s="40">
        <f>AM51+AM52+AM53+AM54+AM55+AM56</f>
        <v/>
      </c>
      <c r="AN57" s="40">
        <f>AN51+AN52+AN53+AN54+AN55+AN56</f>
        <v/>
      </c>
      <c r="AO57" s="40">
        <f>AO51+AO52+AO53+AO54+AO55+AO56</f>
        <v/>
      </c>
      <c r="AP57" s="40">
        <f>AP51+AP52+AP53+AP54+AP55+AP56</f>
        <v/>
      </c>
      <c r="AQ57" s="40">
        <f>AQ51+AQ52+AQ53+AQ54+AQ55+AQ56</f>
        <v/>
      </c>
      <c r="AR57" s="40">
        <f>AR51+AR52+AR53+AR54+AR55+AR56</f>
        <v/>
      </c>
      <c r="AS57" s="40">
        <f>AS51+AS52+AS53+AS54+AS55+AS56</f>
        <v/>
      </c>
      <c r="AT57" s="40">
        <f>AT51+AT52+AT53+AT54+AT55+AT56</f>
        <v/>
      </c>
      <c r="AU57" s="40">
        <f>AU51+AU52+AU53+AU54+AU55+AU56</f>
        <v/>
      </c>
      <c r="AV57" s="40">
        <f>AV51+AV52+AV53+AV54+AV55+AV56</f>
        <v/>
      </c>
      <c r="AW57" s="40">
        <f>AW51+AW52+AW53+AW54+AW55+AW56</f>
        <v/>
      </c>
      <c r="AX57" s="40">
        <f>AX51+AX52+AX53+AX54+AX55+AX56</f>
        <v/>
      </c>
      <c r="AY57" s="40">
        <f>AY51+AY52+AY53+AY54+AY55+AY56</f>
        <v/>
      </c>
      <c r="AZ57" s="40">
        <f>AZ51+AZ52+AZ53+AZ54+AZ55+AZ56</f>
        <v/>
      </c>
      <c r="BA57" s="40">
        <f>BA51+BA52+BA53+BA54+BA55+BA56</f>
        <v/>
      </c>
      <c r="BB57" s="40">
        <f>BB51+BB52+BB53+BB54+BB55+BB56</f>
        <v/>
      </c>
      <c r="BC57" s="40">
        <f>BC51+BC52+BC53+BC54+BC55+BC56</f>
        <v/>
      </c>
      <c r="BD57" s="40">
        <f>BD51+BD52+BD53+BD54+BD55+BD56</f>
        <v/>
      </c>
      <c r="BE57" s="40">
        <f>BE51+BE52+BE53+BE54+BE55+BE56</f>
        <v/>
      </c>
      <c r="BF57" s="40">
        <f>BF51+BF52+BF53+BF54+BF55+BF56</f>
        <v/>
      </c>
      <c r="BG57" s="40">
        <f>BG51+BG52+BG53+BG54+BG55+BG56</f>
        <v/>
      </c>
      <c r="BH57" s="40">
        <f>BH51+BH52+BH53+BH54+BH55+BH56</f>
        <v/>
      </c>
      <c r="BI57" s="40">
        <f>BI51+BI52+BI53+BI54+BI55+BI56</f>
        <v/>
      </c>
      <c r="BJ57" s="40">
        <f>BJ51+BJ52+BJ53+BJ54+BJ55+BJ56</f>
        <v/>
      </c>
    </row>
    <row r="58"/>
    <row r="59">
      <c r="A59" s="19" t="inlineStr">
        <is>
          <t>Sign-ups wanted before the marketing cap (trials x segment share x conversion x launch-window uplift)</t>
        </is>
      </c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19" t="n"/>
      <c r="AM59" s="19" t="n"/>
      <c r="AN59" s="19" t="n"/>
      <c r="AO59" s="19" t="n"/>
      <c r="AP59" s="19" t="n"/>
      <c r="AQ59" s="19" t="n"/>
      <c r="AR59" s="19" t="n"/>
      <c r="AS59" s="19" t="n"/>
      <c r="AT59" s="19" t="n"/>
      <c r="AU59" s="19" t="n"/>
      <c r="AV59" s="19" t="n"/>
      <c r="AW59" s="19" t="n"/>
      <c r="AX59" s="19" t="n"/>
      <c r="AY59" s="19" t="n"/>
      <c r="AZ59" s="19" t="n"/>
      <c r="BA59" s="19" t="n"/>
      <c r="BB59" s="19" t="n"/>
      <c r="BC59" s="19" t="n"/>
      <c r="BD59" s="19" t="n"/>
      <c r="BE59" s="19" t="n"/>
      <c r="BF59" s="19" t="n"/>
      <c r="BG59" s="19" t="n"/>
      <c r="BH59" s="19" t="n"/>
      <c r="BI59" s="19" t="n"/>
      <c r="BJ59" s="19" t="n"/>
    </row>
    <row r="60">
      <c r="A60" s="4" t="inlineStr">
        <is>
          <t>Solo sign-ups wanted: South Africa</t>
        </is>
      </c>
      <c r="B60" s="17" t="inlineStr">
        <is>
          <t>workspaces</t>
        </is>
      </c>
      <c r="C60" s="41">
        <f>C51*Assumptions!$B$122*Assumptions!$B$123*Assumptions!$B$49*(1+Assumptions!$B$62*C30)</f>
        <v/>
      </c>
      <c r="D60" s="41">
        <f>D51*Assumptions!$B$122*Assumptions!$B$123*Assumptions!$B$49*(1+Assumptions!$B$62*D30)</f>
        <v/>
      </c>
      <c r="E60" s="41">
        <f>E51*Assumptions!$B$122*Assumptions!$B$123*Assumptions!$B$49*(1+Assumptions!$B$62*E30)</f>
        <v/>
      </c>
      <c r="F60" s="41">
        <f>F51*Assumptions!$B$122*Assumptions!$B$123*Assumptions!$B$49*(1+Assumptions!$B$62*F30)</f>
        <v/>
      </c>
      <c r="G60" s="41">
        <f>G51*Assumptions!$B$122*Assumptions!$B$123*Assumptions!$B$49*(1+Assumptions!$B$62*G30)</f>
        <v/>
      </c>
      <c r="H60" s="41">
        <f>H51*Assumptions!$B$122*Assumptions!$B$123*Assumptions!$B$49*(1+Assumptions!$B$62*H30)</f>
        <v/>
      </c>
      <c r="I60" s="41">
        <f>I51*Assumptions!$B$122*Assumptions!$B$123*Assumptions!$B$49*(1+Assumptions!$B$62*I30)</f>
        <v/>
      </c>
      <c r="J60" s="41">
        <f>J51*Assumptions!$B$122*Assumptions!$B$123*Assumptions!$B$49*(1+Assumptions!$B$62*J30)</f>
        <v/>
      </c>
      <c r="K60" s="41">
        <f>K51*Assumptions!$B$122*Assumptions!$B$123*Assumptions!$B$49*(1+Assumptions!$B$62*K30)</f>
        <v/>
      </c>
      <c r="L60" s="41">
        <f>L51*Assumptions!$B$122*Assumptions!$B$123*Assumptions!$B$49*(1+Assumptions!$B$62*L30)</f>
        <v/>
      </c>
      <c r="M60" s="41">
        <f>M51*Assumptions!$B$122*Assumptions!$B$123*Assumptions!$B$49*(1+Assumptions!$B$62*M30)</f>
        <v/>
      </c>
      <c r="N60" s="41">
        <f>N51*Assumptions!$B$122*Assumptions!$B$123*Assumptions!$B$49*(1+Assumptions!$B$62*N30)</f>
        <v/>
      </c>
      <c r="O60" s="41">
        <f>O51*Assumptions!$B$122*Assumptions!$B$123*Assumptions!$B$49*(1+Assumptions!$B$62*O30)</f>
        <v/>
      </c>
      <c r="P60" s="41">
        <f>P51*Assumptions!$B$122*Assumptions!$B$123*Assumptions!$B$49*(1+Assumptions!$B$62*P30)</f>
        <v/>
      </c>
      <c r="Q60" s="41">
        <f>Q51*Assumptions!$B$122*Assumptions!$B$123*Assumptions!$B$49*(1+Assumptions!$B$62*Q30)</f>
        <v/>
      </c>
      <c r="R60" s="41">
        <f>R51*Assumptions!$B$122*Assumptions!$B$123*Assumptions!$B$49*(1+Assumptions!$B$62*R30)</f>
        <v/>
      </c>
      <c r="S60" s="41">
        <f>S51*Assumptions!$B$122*Assumptions!$B$123*Assumptions!$B$49*(1+Assumptions!$B$62*S30)</f>
        <v/>
      </c>
      <c r="T60" s="41">
        <f>T51*Assumptions!$B$122*Assumptions!$B$123*Assumptions!$B$49*(1+Assumptions!$B$62*T30)</f>
        <v/>
      </c>
      <c r="U60" s="41">
        <f>U51*Assumptions!$B$122*Assumptions!$B$123*Assumptions!$B$49*(1+Assumptions!$B$62*U30)</f>
        <v/>
      </c>
      <c r="V60" s="41">
        <f>V51*Assumptions!$B$122*Assumptions!$B$123*Assumptions!$B$49*(1+Assumptions!$B$62*V30)</f>
        <v/>
      </c>
      <c r="W60" s="41">
        <f>W51*Assumptions!$B$122*Assumptions!$B$123*Assumptions!$B$49*(1+Assumptions!$B$62*W30)</f>
        <v/>
      </c>
      <c r="X60" s="41">
        <f>X51*Assumptions!$B$122*Assumptions!$B$123*Assumptions!$B$49*(1+Assumptions!$B$62*X30)</f>
        <v/>
      </c>
      <c r="Y60" s="41">
        <f>Y51*Assumptions!$B$122*Assumptions!$B$123*Assumptions!$B$49*(1+Assumptions!$B$62*Y30)</f>
        <v/>
      </c>
      <c r="Z60" s="41">
        <f>Z51*Assumptions!$B$122*Assumptions!$B$123*Assumptions!$B$49*(1+Assumptions!$B$62*Z30)</f>
        <v/>
      </c>
      <c r="AA60" s="41">
        <f>AA51*Assumptions!$B$122*Assumptions!$B$123*Assumptions!$B$49*(1+Assumptions!$B$62*AA30)</f>
        <v/>
      </c>
      <c r="AB60" s="41">
        <f>AB51*Assumptions!$B$122*Assumptions!$B$123*Assumptions!$B$49*(1+Assumptions!$B$62*AB30)</f>
        <v/>
      </c>
      <c r="AC60" s="41">
        <f>AC51*Assumptions!$B$122*Assumptions!$B$123*Assumptions!$B$49*(1+Assumptions!$B$62*AC30)</f>
        <v/>
      </c>
      <c r="AD60" s="41">
        <f>AD51*Assumptions!$B$122*Assumptions!$B$123*Assumptions!$B$49*(1+Assumptions!$B$62*AD30)</f>
        <v/>
      </c>
      <c r="AE60" s="41">
        <f>AE51*Assumptions!$B$122*Assumptions!$B$123*Assumptions!$B$49*(1+Assumptions!$B$62*AE30)</f>
        <v/>
      </c>
      <c r="AF60" s="41">
        <f>AF51*Assumptions!$B$122*Assumptions!$B$123*Assumptions!$B$49*(1+Assumptions!$B$62*AF30)</f>
        <v/>
      </c>
      <c r="AG60" s="41">
        <f>AG51*Assumptions!$B$122*Assumptions!$B$123*Assumptions!$B$49*(1+Assumptions!$B$62*AG30)</f>
        <v/>
      </c>
      <c r="AH60" s="41">
        <f>AH51*Assumptions!$B$122*Assumptions!$B$123*Assumptions!$B$49*(1+Assumptions!$B$62*AH30)</f>
        <v/>
      </c>
      <c r="AI60" s="41">
        <f>AI51*Assumptions!$B$122*Assumptions!$B$123*Assumptions!$B$49*(1+Assumptions!$B$62*AI30)</f>
        <v/>
      </c>
      <c r="AJ60" s="41">
        <f>AJ51*Assumptions!$B$122*Assumptions!$B$123*Assumptions!$B$49*(1+Assumptions!$B$62*AJ30)</f>
        <v/>
      </c>
      <c r="AK60" s="41">
        <f>AK51*Assumptions!$B$122*Assumptions!$B$123*Assumptions!$B$49*(1+Assumptions!$B$62*AK30)</f>
        <v/>
      </c>
      <c r="AL60" s="41">
        <f>AL51*Assumptions!$B$122*Assumptions!$B$123*Assumptions!$B$49*(1+Assumptions!$B$62*AL30)</f>
        <v/>
      </c>
      <c r="AM60" s="41">
        <f>AM51*Assumptions!$B$122*Assumptions!$B$123*Assumptions!$B$49*(1+Assumptions!$B$62*AM30)</f>
        <v/>
      </c>
      <c r="AN60" s="41">
        <f>AN51*Assumptions!$B$122*Assumptions!$B$123*Assumptions!$B$49*(1+Assumptions!$B$62*AN30)</f>
        <v/>
      </c>
      <c r="AO60" s="41">
        <f>AO51*Assumptions!$B$122*Assumptions!$B$123*Assumptions!$B$49*(1+Assumptions!$B$62*AO30)</f>
        <v/>
      </c>
      <c r="AP60" s="41">
        <f>AP51*Assumptions!$B$122*Assumptions!$B$123*Assumptions!$B$49*(1+Assumptions!$B$62*AP30)</f>
        <v/>
      </c>
      <c r="AQ60" s="41">
        <f>AQ51*Assumptions!$B$122*Assumptions!$B$123*Assumptions!$B$49*(1+Assumptions!$B$62*AQ30)</f>
        <v/>
      </c>
      <c r="AR60" s="41">
        <f>AR51*Assumptions!$B$122*Assumptions!$B$123*Assumptions!$B$49*(1+Assumptions!$B$62*AR30)</f>
        <v/>
      </c>
      <c r="AS60" s="41">
        <f>AS51*Assumptions!$B$122*Assumptions!$B$123*Assumptions!$B$49*(1+Assumptions!$B$62*AS30)</f>
        <v/>
      </c>
      <c r="AT60" s="41">
        <f>AT51*Assumptions!$B$122*Assumptions!$B$123*Assumptions!$B$49*(1+Assumptions!$B$62*AT30)</f>
        <v/>
      </c>
      <c r="AU60" s="41">
        <f>AU51*Assumptions!$B$122*Assumptions!$B$123*Assumptions!$B$49*(1+Assumptions!$B$62*AU30)</f>
        <v/>
      </c>
      <c r="AV60" s="41">
        <f>AV51*Assumptions!$B$122*Assumptions!$B$123*Assumptions!$B$49*(1+Assumptions!$B$62*AV30)</f>
        <v/>
      </c>
      <c r="AW60" s="41">
        <f>AW51*Assumptions!$B$122*Assumptions!$B$123*Assumptions!$B$49*(1+Assumptions!$B$62*AW30)</f>
        <v/>
      </c>
      <c r="AX60" s="41">
        <f>AX51*Assumptions!$B$122*Assumptions!$B$123*Assumptions!$B$49*(1+Assumptions!$B$62*AX30)</f>
        <v/>
      </c>
      <c r="AY60" s="41">
        <f>AY51*Assumptions!$B$122*Assumptions!$B$123*Assumptions!$B$49*(1+Assumptions!$B$62*AY30)</f>
        <v/>
      </c>
      <c r="AZ60" s="41">
        <f>AZ51*Assumptions!$B$122*Assumptions!$B$123*Assumptions!$B$49*(1+Assumptions!$B$62*AZ30)</f>
        <v/>
      </c>
      <c r="BA60" s="41">
        <f>BA51*Assumptions!$B$122*Assumptions!$B$123*Assumptions!$B$49*(1+Assumptions!$B$62*BA30)</f>
        <v/>
      </c>
      <c r="BB60" s="41">
        <f>BB51*Assumptions!$B$122*Assumptions!$B$123*Assumptions!$B$49*(1+Assumptions!$B$62*BB30)</f>
        <v/>
      </c>
      <c r="BC60" s="41">
        <f>BC51*Assumptions!$B$122*Assumptions!$B$123*Assumptions!$B$49*(1+Assumptions!$B$62*BC30)</f>
        <v/>
      </c>
      <c r="BD60" s="41">
        <f>BD51*Assumptions!$B$122*Assumptions!$B$123*Assumptions!$B$49*(1+Assumptions!$B$62*BD30)</f>
        <v/>
      </c>
      <c r="BE60" s="41">
        <f>BE51*Assumptions!$B$122*Assumptions!$B$123*Assumptions!$B$49*(1+Assumptions!$B$62*BE30)</f>
        <v/>
      </c>
      <c r="BF60" s="41">
        <f>BF51*Assumptions!$B$122*Assumptions!$B$123*Assumptions!$B$49*(1+Assumptions!$B$62*BF30)</f>
        <v/>
      </c>
      <c r="BG60" s="41">
        <f>BG51*Assumptions!$B$122*Assumptions!$B$123*Assumptions!$B$49*(1+Assumptions!$B$62*BG30)</f>
        <v/>
      </c>
      <c r="BH60" s="41">
        <f>BH51*Assumptions!$B$122*Assumptions!$B$123*Assumptions!$B$49*(1+Assumptions!$B$62*BH30)</f>
        <v/>
      </c>
      <c r="BI60" s="41">
        <f>BI51*Assumptions!$B$122*Assumptions!$B$123*Assumptions!$B$49*(1+Assumptions!$B$62*BI30)</f>
        <v/>
      </c>
      <c r="BJ60" s="41">
        <f>BJ51*Assumptions!$B$122*Assumptions!$B$123*Assumptions!$B$49*(1+Assumptions!$B$62*BJ30)</f>
        <v/>
      </c>
    </row>
    <row r="61">
      <c r="A61" s="4" t="inlineStr">
        <is>
          <t>SME sign-ups wanted: South Africa</t>
        </is>
      </c>
      <c r="B61" s="17" t="inlineStr">
        <is>
          <t>workspaces</t>
        </is>
      </c>
      <c r="C61" s="41">
        <f>C51*(1-Assumptions!$B$122)*Assumptions!$B$124*Assumptions!$B$49*(1+Assumptions!$B$62*C30)</f>
        <v/>
      </c>
      <c r="D61" s="41">
        <f>D51*(1-Assumptions!$B$122)*Assumptions!$B$124*Assumptions!$B$49*(1+Assumptions!$B$62*D30)</f>
        <v/>
      </c>
      <c r="E61" s="41">
        <f>E51*(1-Assumptions!$B$122)*Assumptions!$B$124*Assumptions!$B$49*(1+Assumptions!$B$62*E30)</f>
        <v/>
      </c>
      <c r="F61" s="41">
        <f>F51*(1-Assumptions!$B$122)*Assumptions!$B$124*Assumptions!$B$49*(1+Assumptions!$B$62*F30)</f>
        <v/>
      </c>
      <c r="G61" s="41">
        <f>G51*(1-Assumptions!$B$122)*Assumptions!$B$124*Assumptions!$B$49*(1+Assumptions!$B$62*G30)</f>
        <v/>
      </c>
      <c r="H61" s="41">
        <f>H51*(1-Assumptions!$B$122)*Assumptions!$B$124*Assumptions!$B$49*(1+Assumptions!$B$62*H30)</f>
        <v/>
      </c>
      <c r="I61" s="41">
        <f>I51*(1-Assumptions!$B$122)*Assumptions!$B$124*Assumptions!$B$49*(1+Assumptions!$B$62*I30)</f>
        <v/>
      </c>
      <c r="J61" s="41">
        <f>J51*(1-Assumptions!$B$122)*Assumptions!$B$124*Assumptions!$B$49*(1+Assumptions!$B$62*J30)</f>
        <v/>
      </c>
      <c r="K61" s="41">
        <f>K51*(1-Assumptions!$B$122)*Assumptions!$B$124*Assumptions!$B$49*(1+Assumptions!$B$62*K30)</f>
        <v/>
      </c>
      <c r="L61" s="41">
        <f>L51*(1-Assumptions!$B$122)*Assumptions!$B$124*Assumptions!$B$49*(1+Assumptions!$B$62*L30)</f>
        <v/>
      </c>
      <c r="M61" s="41">
        <f>M51*(1-Assumptions!$B$122)*Assumptions!$B$124*Assumptions!$B$49*(1+Assumptions!$B$62*M30)</f>
        <v/>
      </c>
      <c r="N61" s="41">
        <f>N51*(1-Assumptions!$B$122)*Assumptions!$B$124*Assumptions!$B$49*(1+Assumptions!$B$62*N30)</f>
        <v/>
      </c>
      <c r="O61" s="41">
        <f>O51*(1-Assumptions!$B$122)*Assumptions!$B$124*Assumptions!$B$49*(1+Assumptions!$B$62*O30)</f>
        <v/>
      </c>
      <c r="P61" s="41">
        <f>P51*(1-Assumptions!$B$122)*Assumptions!$B$124*Assumptions!$B$49*(1+Assumptions!$B$62*P30)</f>
        <v/>
      </c>
      <c r="Q61" s="41">
        <f>Q51*(1-Assumptions!$B$122)*Assumptions!$B$124*Assumptions!$B$49*(1+Assumptions!$B$62*Q30)</f>
        <v/>
      </c>
      <c r="R61" s="41">
        <f>R51*(1-Assumptions!$B$122)*Assumptions!$B$124*Assumptions!$B$49*(1+Assumptions!$B$62*R30)</f>
        <v/>
      </c>
      <c r="S61" s="41">
        <f>S51*(1-Assumptions!$B$122)*Assumptions!$B$124*Assumptions!$B$49*(1+Assumptions!$B$62*S30)</f>
        <v/>
      </c>
      <c r="T61" s="41">
        <f>T51*(1-Assumptions!$B$122)*Assumptions!$B$124*Assumptions!$B$49*(1+Assumptions!$B$62*T30)</f>
        <v/>
      </c>
      <c r="U61" s="41">
        <f>U51*(1-Assumptions!$B$122)*Assumptions!$B$124*Assumptions!$B$49*(1+Assumptions!$B$62*U30)</f>
        <v/>
      </c>
      <c r="V61" s="41">
        <f>V51*(1-Assumptions!$B$122)*Assumptions!$B$124*Assumptions!$B$49*(1+Assumptions!$B$62*V30)</f>
        <v/>
      </c>
      <c r="W61" s="41">
        <f>W51*(1-Assumptions!$B$122)*Assumptions!$B$124*Assumptions!$B$49*(1+Assumptions!$B$62*W30)</f>
        <v/>
      </c>
      <c r="X61" s="41">
        <f>X51*(1-Assumptions!$B$122)*Assumptions!$B$124*Assumptions!$B$49*(1+Assumptions!$B$62*X30)</f>
        <v/>
      </c>
      <c r="Y61" s="41">
        <f>Y51*(1-Assumptions!$B$122)*Assumptions!$B$124*Assumptions!$B$49*(1+Assumptions!$B$62*Y30)</f>
        <v/>
      </c>
      <c r="Z61" s="41">
        <f>Z51*(1-Assumptions!$B$122)*Assumptions!$B$124*Assumptions!$B$49*(1+Assumptions!$B$62*Z30)</f>
        <v/>
      </c>
      <c r="AA61" s="41">
        <f>AA51*(1-Assumptions!$B$122)*Assumptions!$B$124*Assumptions!$B$49*(1+Assumptions!$B$62*AA30)</f>
        <v/>
      </c>
      <c r="AB61" s="41">
        <f>AB51*(1-Assumptions!$B$122)*Assumptions!$B$124*Assumptions!$B$49*(1+Assumptions!$B$62*AB30)</f>
        <v/>
      </c>
      <c r="AC61" s="41">
        <f>AC51*(1-Assumptions!$B$122)*Assumptions!$B$124*Assumptions!$B$49*(1+Assumptions!$B$62*AC30)</f>
        <v/>
      </c>
      <c r="AD61" s="41">
        <f>AD51*(1-Assumptions!$B$122)*Assumptions!$B$124*Assumptions!$B$49*(1+Assumptions!$B$62*AD30)</f>
        <v/>
      </c>
      <c r="AE61" s="41">
        <f>AE51*(1-Assumptions!$B$122)*Assumptions!$B$124*Assumptions!$B$49*(1+Assumptions!$B$62*AE30)</f>
        <v/>
      </c>
      <c r="AF61" s="41">
        <f>AF51*(1-Assumptions!$B$122)*Assumptions!$B$124*Assumptions!$B$49*(1+Assumptions!$B$62*AF30)</f>
        <v/>
      </c>
      <c r="AG61" s="41">
        <f>AG51*(1-Assumptions!$B$122)*Assumptions!$B$124*Assumptions!$B$49*(1+Assumptions!$B$62*AG30)</f>
        <v/>
      </c>
      <c r="AH61" s="41">
        <f>AH51*(1-Assumptions!$B$122)*Assumptions!$B$124*Assumptions!$B$49*(1+Assumptions!$B$62*AH30)</f>
        <v/>
      </c>
      <c r="AI61" s="41">
        <f>AI51*(1-Assumptions!$B$122)*Assumptions!$B$124*Assumptions!$B$49*(1+Assumptions!$B$62*AI30)</f>
        <v/>
      </c>
      <c r="AJ61" s="41">
        <f>AJ51*(1-Assumptions!$B$122)*Assumptions!$B$124*Assumptions!$B$49*(1+Assumptions!$B$62*AJ30)</f>
        <v/>
      </c>
      <c r="AK61" s="41">
        <f>AK51*(1-Assumptions!$B$122)*Assumptions!$B$124*Assumptions!$B$49*(1+Assumptions!$B$62*AK30)</f>
        <v/>
      </c>
      <c r="AL61" s="41">
        <f>AL51*(1-Assumptions!$B$122)*Assumptions!$B$124*Assumptions!$B$49*(1+Assumptions!$B$62*AL30)</f>
        <v/>
      </c>
      <c r="AM61" s="41">
        <f>AM51*(1-Assumptions!$B$122)*Assumptions!$B$124*Assumptions!$B$49*(1+Assumptions!$B$62*AM30)</f>
        <v/>
      </c>
      <c r="AN61" s="41">
        <f>AN51*(1-Assumptions!$B$122)*Assumptions!$B$124*Assumptions!$B$49*(1+Assumptions!$B$62*AN30)</f>
        <v/>
      </c>
      <c r="AO61" s="41">
        <f>AO51*(1-Assumptions!$B$122)*Assumptions!$B$124*Assumptions!$B$49*(1+Assumptions!$B$62*AO30)</f>
        <v/>
      </c>
      <c r="AP61" s="41">
        <f>AP51*(1-Assumptions!$B$122)*Assumptions!$B$124*Assumptions!$B$49*(1+Assumptions!$B$62*AP30)</f>
        <v/>
      </c>
      <c r="AQ61" s="41">
        <f>AQ51*(1-Assumptions!$B$122)*Assumptions!$B$124*Assumptions!$B$49*(1+Assumptions!$B$62*AQ30)</f>
        <v/>
      </c>
      <c r="AR61" s="41">
        <f>AR51*(1-Assumptions!$B$122)*Assumptions!$B$124*Assumptions!$B$49*(1+Assumptions!$B$62*AR30)</f>
        <v/>
      </c>
      <c r="AS61" s="41">
        <f>AS51*(1-Assumptions!$B$122)*Assumptions!$B$124*Assumptions!$B$49*(1+Assumptions!$B$62*AS30)</f>
        <v/>
      </c>
      <c r="AT61" s="41">
        <f>AT51*(1-Assumptions!$B$122)*Assumptions!$B$124*Assumptions!$B$49*(1+Assumptions!$B$62*AT30)</f>
        <v/>
      </c>
      <c r="AU61" s="41">
        <f>AU51*(1-Assumptions!$B$122)*Assumptions!$B$124*Assumptions!$B$49*(1+Assumptions!$B$62*AU30)</f>
        <v/>
      </c>
      <c r="AV61" s="41">
        <f>AV51*(1-Assumptions!$B$122)*Assumptions!$B$124*Assumptions!$B$49*(1+Assumptions!$B$62*AV30)</f>
        <v/>
      </c>
      <c r="AW61" s="41">
        <f>AW51*(1-Assumptions!$B$122)*Assumptions!$B$124*Assumptions!$B$49*(1+Assumptions!$B$62*AW30)</f>
        <v/>
      </c>
      <c r="AX61" s="41">
        <f>AX51*(1-Assumptions!$B$122)*Assumptions!$B$124*Assumptions!$B$49*(1+Assumptions!$B$62*AX30)</f>
        <v/>
      </c>
      <c r="AY61" s="41">
        <f>AY51*(1-Assumptions!$B$122)*Assumptions!$B$124*Assumptions!$B$49*(1+Assumptions!$B$62*AY30)</f>
        <v/>
      </c>
      <c r="AZ61" s="41">
        <f>AZ51*(1-Assumptions!$B$122)*Assumptions!$B$124*Assumptions!$B$49*(1+Assumptions!$B$62*AZ30)</f>
        <v/>
      </c>
      <c r="BA61" s="41">
        <f>BA51*(1-Assumptions!$B$122)*Assumptions!$B$124*Assumptions!$B$49*(1+Assumptions!$B$62*BA30)</f>
        <v/>
      </c>
      <c r="BB61" s="41">
        <f>BB51*(1-Assumptions!$B$122)*Assumptions!$B$124*Assumptions!$B$49*(1+Assumptions!$B$62*BB30)</f>
        <v/>
      </c>
      <c r="BC61" s="41">
        <f>BC51*(1-Assumptions!$B$122)*Assumptions!$B$124*Assumptions!$B$49*(1+Assumptions!$B$62*BC30)</f>
        <v/>
      </c>
      <c r="BD61" s="41">
        <f>BD51*(1-Assumptions!$B$122)*Assumptions!$B$124*Assumptions!$B$49*(1+Assumptions!$B$62*BD30)</f>
        <v/>
      </c>
      <c r="BE61" s="41">
        <f>BE51*(1-Assumptions!$B$122)*Assumptions!$B$124*Assumptions!$B$49*(1+Assumptions!$B$62*BE30)</f>
        <v/>
      </c>
      <c r="BF61" s="41">
        <f>BF51*(1-Assumptions!$B$122)*Assumptions!$B$124*Assumptions!$B$49*(1+Assumptions!$B$62*BF30)</f>
        <v/>
      </c>
      <c r="BG61" s="41">
        <f>BG51*(1-Assumptions!$B$122)*Assumptions!$B$124*Assumptions!$B$49*(1+Assumptions!$B$62*BG30)</f>
        <v/>
      </c>
      <c r="BH61" s="41">
        <f>BH51*(1-Assumptions!$B$122)*Assumptions!$B$124*Assumptions!$B$49*(1+Assumptions!$B$62*BH30)</f>
        <v/>
      </c>
      <c r="BI61" s="41">
        <f>BI51*(1-Assumptions!$B$122)*Assumptions!$B$124*Assumptions!$B$49*(1+Assumptions!$B$62*BI30)</f>
        <v/>
      </c>
      <c r="BJ61" s="41">
        <f>BJ51*(1-Assumptions!$B$122)*Assumptions!$B$124*Assumptions!$B$49*(1+Assumptions!$B$62*BJ30)</f>
        <v/>
      </c>
    </row>
    <row r="62">
      <c r="A62" s="4" t="inlineStr">
        <is>
          <t>Solo sign-ups wanted: Nigeria</t>
        </is>
      </c>
      <c r="B62" s="17" t="inlineStr">
        <is>
          <t>workspaces</t>
        </is>
      </c>
      <c r="C62" s="41">
        <f>C52*Assumptions!$B$122*Assumptions!$B$123*Assumptions!$B$49*(1+Assumptions!$B$62*C31)</f>
        <v/>
      </c>
      <c r="D62" s="41">
        <f>D52*Assumptions!$B$122*Assumptions!$B$123*Assumptions!$B$49*(1+Assumptions!$B$62*D31)</f>
        <v/>
      </c>
      <c r="E62" s="41">
        <f>E52*Assumptions!$B$122*Assumptions!$B$123*Assumptions!$B$49*(1+Assumptions!$B$62*E31)</f>
        <v/>
      </c>
      <c r="F62" s="41">
        <f>F52*Assumptions!$B$122*Assumptions!$B$123*Assumptions!$B$49*(1+Assumptions!$B$62*F31)</f>
        <v/>
      </c>
      <c r="G62" s="41">
        <f>G52*Assumptions!$B$122*Assumptions!$B$123*Assumptions!$B$49*(1+Assumptions!$B$62*G31)</f>
        <v/>
      </c>
      <c r="H62" s="41">
        <f>H52*Assumptions!$B$122*Assumptions!$B$123*Assumptions!$B$49*(1+Assumptions!$B$62*H31)</f>
        <v/>
      </c>
      <c r="I62" s="41">
        <f>I52*Assumptions!$B$122*Assumptions!$B$123*Assumptions!$B$49*(1+Assumptions!$B$62*I31)</f>
        <v/>
      </c>
      <c r="J62" s="41">
        <f>J52*Assumptions!$B$122*Assumptions!$B$123*Assumptions!$B$49*(1+Assumptions!$B$62*J31)</f>
        <v/>
      </c>
      <c r="K62" s="41">
        <f>K52*Assumptions!$B$122*Assumptions!$B$123*Assumptions!$B$49*(1+Assumptions!$B$62*K31)</f>
        <v/>
      </c>
      <c r="L62" s="41">
        <f>L52*Assumptions!$B$122*Assumptions!$B$123*Assumptions!$B$49*(1+Assumptions!$B$62*L31)</f>
        <v/>
      </c>
      <c r="M62" s="41">
        <f>M52*Assumptions!$B$122*Assumptions!$B$123*Assumptions!$B$49*(1+Assumptions!$B$62*M31)</f>
        <v/>
      </c>
      <c r="N62" s="41">
        <f>N52*Assumptions!$B$122*Assumptions!$B$123*Assumptions!$B$49*(1+Assumptions!$B$62*N31)</f>
        <v/>
      </c>
      <c r="O62" s="41">
        <f>O52*Assumptions!$B$122*Assumptions!$B$123*Assumptions!$B$49*(1+Assumptions!$B$62*O31)</f>
        <v/>
      </c>
      <c r="P62" s="41">
        <f>P52*Assumptions!$B$122*Assumptions!$B$123*Assumptions!$B$49*(1+Assumptions!$B$62*P31)</f>
        <v/>
      </c>
      <c r="Q62" s="41">
        <f>Q52*Assumptions!$B$122*Assumptions!$B$123*Assumptions!$B$49*(1+Assumptions!$B$62*Q31)</f>
        <v/>
      </c>
      <c r="R62" s="41">
        <f>R52*Assumptions!$B$122*Assumptions!$B$123*Assumptions!$B$49*(1+Assumptions!$B$62*R31)</f>
        <v/>
      </c>
      <c r="S62" s="41">
        <f>S52*Assumptions!$B$122*Assumptions!$B$123*Assumptions!$B$49*(1+Assumptions!$B$62*S31)</f>
        <v/>
      </c>
      <c r="T62" s="41">
        <f>T52*Assumptions!$B$122*Assumptions!$B$123*Assumptions!$B$49*(1+Assumptions!$B$62*T31)</f>
        <v/>
      </c>
      <c r="U62" s="41">
        <f>U52*Assumptions!$B$122*Assumptions!$B$123*Assumptions!$B$49*(1+Assumptions!$B$62*U31)</f>
        <v/>
      </c>
      <c r="V62" s="41">
        <f>V52*Assumptions!$B$122*Assumptions!$B$123*Assumptions!$B$49*(1+Assumptions!$B$62*V31)</f>
        <v/>
      </c>
      <c r="W62" s="41">
        <f>W52*Assumptions!$B$122*Assumptions!$B$123*Assumptions!$B$49*(1+Assumptions!$B$62*W31)</f>
        <v/>
      </c>
      <c r="X62" s="41">
        <f>X52*Assumptions!$B$122*Assumptions!$B$123*Assumptions!$B$49*(1+Assumptions!$B$62*X31)</f>
        <v/>
      </c>
      <c r="Y62" s="41">
        <f>Y52*Assumptions!$B$122*Assumptions!$B$123*Assumptions!$B$49*(1+Assumptions!$B$62*Y31)</f>
        <v/>
      </c>
      <c r="Z62" s="41">
        <f>Z52*Assumptions!$B$122*Assumptions!$B$123*Assumptions!$B$49*(1+Assumptions!$B$62*Z31)</f>
        <v/>
      </c>
      <c r="AA62" s="41">
        <f>AA52*Assumptions!$B$122*Assumptions!$B$123*Assumptions!$B$49*(1+Assumptions!$B$62*AA31)</f>
        <v/>
      </c>
      <c r="AB62" s="41">
        <f>AB52*Assumptions!$B$122*Assumptions!$B$123*Assumptions!$B$49*(1+Assumptions!$B$62*AB31)</f>
        <v/>
      </c>
      <c r="AC62" s="41">
        <f>AC52*Assumptions!$B$122*Assumptions!$B$123*Assumptions!$B$49*(1+Assumptions!$B$62*AC31)</f>
        <v/>
      </c>
      <c r="AD62" s="41">
        <f>AD52*Assumptions!$B$122*Assumptions!$B$123*Assumptions!$B$49*(1+Assumptions!$B$62*AD31)</f>
        <v/>
      </c>
      <c r="AE62" s="41">
        <f>AE52*Assumptions!$B$122*Assumptions!$B$123*Assumptions!$B$49*(1+Assumptions!$B$62*AE31)</f>
        <v/>
      </c>
      <c r="AF62" s="41">
        <f>AF52*Assumptions!$B$122*Assumptions!$B$123*Assumptions!$B$49*(1+Assumptions!$B$62*AF31)</f>
        <v/>
      </c>
      <c r="AG62" s="41">
        <f>AG52*Assumptions!$B$122*Assumptions!$B$123*Assumptions!$B$49*(1+Assumptions!$B$62*AG31)</f>
        <v/>
      </c>
      <c r="AH62" s="41">
        <f>AH52*Assumptions!$B$122*Assumptions!$B$123*Assumptions!$B$49*(1+Assumptions!$B$62*AH31)</f>
        <v/>
      </c>
      <c r="AI62" s="41">
        <f>AI52*Assumptions!$B$122*Assumptions!$B$123*Assumptions!$B$49*(1+Assumptions!$B$62*AI31)</f>
        <v/>
      </c>
      <c r="AJ62" s="41">
        <f>AJ52*Assumptions!$B$122*Assumptions!$B$123*Assumptions!$B$49*(1+Assumptions!$B$62*AJ31)</f>
        <v/>
      </c>
      <c r="AK62" s="41">
        <f>AK52*Assumptions!$B$122*Assumptions!$B$123*Assumptions!$B$49*(1+Assumptions!$B$62*AK31)</f>
        <v/>
      </c>
      <c r="AL62" s="41">
        <f>AL52*Assumptions!$B$122*Assumptions!$B$123*Assumptions!$B$49*(1+Assumptions!$B$62*AL31)</f>
        <v/>
      </c>
      <c r="AM62" s="41">
        <f>AM52*Assumptions!$B$122*Assumptions!$B$123*Assumptions!$B$49*(1+Assumptions!$B$62*AM31)</f>
        <v/>
      </c>
      <c r="AN62" s="41">
        <f>AN52*Assumptions!$B$122*Assumptions!$B$123*Assumptions!$B$49*(1+Assumptions!$B$62*AN31)</f>
        <v/>
      </c>
      <c r="AO62" s="41">
        <f>AO52*Assumptions!$B$122*Assumptions!$B$123*Assumptions!$B$49*(1+Assumptions!$B$62*AO31)</f>
        <v/>
      </c>
      <c r="AP62" s="41">
        <f>AP52*Assumptions!$B$122*Assumptions!$B$123*Assumptions!$B$49*(1+Assumptions!$B$62*AP31)</f>
        <v/>
      </c>
      <c r="AQ62" s="41">
        <f>AQ52*Assumptions!$B$122*Assumptions!$B$123*Assumptions!$B$49*(1+Assumptions!$B$62*AQ31)</f>
        <v/>
      </c>
      <c r="AR62" s="41">
        <f>AR52*Assumptions!$B$122*Assumptions!$B$123*Assumptions!$B$49*(1+Assumptions!$B$62*AR31)</f>
        <v/>
      </c>
      <c r="AS62" s="41">
        <f>AS52*Assumptions!$B$122*Assumptions!$B$123*Assumptions!$B$49*(1+Assumptions!$B$62*AS31)</f>
        <v/>
      </c>
      <c r="AT62" s="41">
        <f>AT52*Assumptions!$B$122*Assumptions!$B$123*Assumptions!$B$49*(1+Assumptions!$B$62*AT31)</f>
        <v/>
      </c>
      <c r="AU62" s="41">
        <f>AU52*Assumptions!$B$122*Assumptions!$B$123*Assumptions!$B$49*(1+Assumptions!$B$62*AU31)</f>
        <v/>
      </c>
      <c r="AV62" s="41">
        <f>AV52*Assumptions!$B$122*Assumptions!$B$123*Assumptions!$B$49*(1+Assumptions!$B$62*AV31)</f>
        <v/>
      </c>
      <c r="AW62" s="41">
        <f>AW52*Assumptions!$B$122*Assumptions!$B$123*Assumptions!$B$49*(1+Assumptions!$B$62*AW31)</f>
        <v/>
      </c>
      <c r="AX62" s="41">
        <f>AX52*Assumptions!$B$122*Assumptions!$B$123*Assumptions!$B$49*(1+Assumptions!$B$62*AX31)</f>
        <v/>
      </c>
      <c r="AY62" s="41">
        <f>AY52*Assumptions!$B$122*Assumptions!$B$123*Assumptions!$B$49*(1+Assumptions!$B$62*AY31)</f>
        <v/>
      </c>
      <c r="AZ62" s="41">
        <f>AZ52*Assumptions!$B$122*Assumptions!$B$123*Assumptions!$B$49*(1+Assumptions!$B$62*AZ31)</f>
        <v/>
      </c>
      <c r="BA62" s="41">
        <f>BA52*Assumptions!$B$122*Assumptions!$B$123*Assumptions!$B$49*(1+Assumptions!$B$62*BA31)</f>
        <v/>
      </c>
      <c r="BB62" s="41">
        <f>BB52*Assumptions!$B$122*Assumptions!$B$123*Assumptions!$B$49*(1+Assumptions!$B$62*BB31)</f>
        <v/>
      </c>
      <c r="BC62" s="41">
        <f>BC52*Assumptions!$B$122*Assumptions!$B$123*Assumptions!$B$49*(1+Assumptions!$B$62*BC31)</f>
        <v/>
      </c>
      <c r="BD62" s="41">
        <f>BD52*Assumptions!$B$122*Assumptions!$B$123*Assumptions!$B$49*(1+Assumptions!$B$62*BD31)</f>
        <v/>
      </c>
      <c r="BE62" s="41">
        <f>BE52*Assumptions!$B$122*Assumptions!$B$123*Assumptions!$B$49*(1+Assumptions!$B$62*BE31)</f>
        <v/>
      </c>
      <c r="BF62" s="41">
        <f>BF52*Assumptions!$B$122*Assumptions!$B$123*Assumptions!$B$49*(1+Assumptions!$B$62*BF31)</f>
        <v/>
      </c>
      <c r="BG62" s="41">
        <f>BG52*Assumptions!$B$122*Assumptions!$B$123*Assumptions!$B$49*(1+Assumptions!$B$62*BG31)</f>
        <v/>
      </c>
      <c r="BH62" s="41">
        <f>BH52*Assumptions!$B$122*Assumptions!$B$123*Assumptions!$B$49*(1+Assumptions!$B$62*BH31)</f>
        <v/>
      </c>
      <c r="BI62" s="41">
        <f>BI52*Assumptions!$B$122*Assumptions!$B$123*Assumptions!$B$49*(1+Assumptions!$B$62*BI31)</f>
        <v/>
      </c>
      <c r="BJ62" s="41">
        <f>BJ52*Assumptions!$B$122*Assumptions!$B$123*Assumptions!$B$49*(1+Assumptions!$B$62*BJ31)</f>
        <v/>
      </c>
    </row>
    <row r="63">
      <c r="A63" s="4" t="inlineStr">
        <is>
          <t>SME sign-ups wanted: Nigeria</t>
        </is>
      </c>
      <c r="B63" s="17" t="inlineStr">
        <is>
          <t>workspaces</t>
        </is>
      </c>
      <c r="C63" s="41">
        <f>C52*(1-Assumptions!$B$122)*Assumptions!$B$124*Assumptions!$B$49*(1+Assumptions!$B$62*C31)</f>
        <v/>
      </c>
      <c r="D63" s="41">
        <f>D52*(1-Assumptions!$B$122)*Assumptions!$B$124*Assumptions!$B$49*(1+Assumptions!$B$62*D31)</f>
        <v/>
      </c>
      <c r="E63" s="41">
        <f>E52*(1-Assumptions!$B$122)*Assumptions!$B$124*Assumptions!$B$49*(1+Assumptions!$B$62*E31)</f>
        <v/>
      </c>
      <c r="F63" s="41">
        <f>F52*(1-Assumptions!$B$122)*Assumptions!$B$124*Assumptions!$B$49*(1+Assumptions!$B$62*F31)</f>
        <v/>
      </c>
      <c r="G63" s="41">
        <f>G52*(1-Assumptions!$B$122)*Assumptions!$B$124*Assumptions!$B$49*(1+Assumptions!$B$62*G31)</f>
        <v/>
      </c>
      <c r="H63" s="41">
        <f>H52*(1-Assumptions!$B$122)*Assumptions!$B$124*Assumptions!$B$49*(1+Assumptions!$B$62*H31)</f>
        <v/>
      </c>
      <c r="I63" s="41">
        <f>I52*(1-Assumptions!$B$122)*Assumptions!$B$124*Assumptions!$B$49*(1+Assumptions!$B$62*I31)</f>
        <v/>
      </c>
      <c r="J63" s="41">
        <f>J52*(1-Assumptions!$B$122)*Assumptions!$B$124*Assumptions!$B$49*(1+Assumptions!$B$62*J31)</f>
        <v/>
      </c>
      <c r="K63" s="41">
        <f>K52*(1-Assumptions!$B$122)*Assumptions!$B$124*Assumptions!$B$49*(1+Assumptions!$B$62*K31)</f>
        <v/>
      </c>
      <c r="L63" s="41">
        <f>L52*(1-Assumptions!$B$122)*Assumptions!$B$124*Assumptions!$B$49*(1+Assumptions!$B$62*L31)</f>
        <v/>
      </c>
      <c r="M63" s="41">
        <f>M52*(1-Assumptions!$B$122)*Assumptions!$B$124*Assumptions!$B$49*(1+Assumptions!$B$62*M31)</f>
        <v/>
      </c>
      <c r="N63" s="41">
        <f>N52*(1-Assumptions!$B$122)*Assumptions!$B$124*Assumptions!$B$49*(1+Assumptions!$B$62*N31)</f>
        <v/>
      </c>
      <c r="O63" s="41">
        <f>O52*(1-Assumptions!$B$122)*Assumptions!$B$124*Assumptions!$B$49*(1+Assumptions!$B$62*O31)</f>
        <v/>
      </c>
      <c r="P63" s="41">
        <f>P52*(1-Assumptions!$B$122)*Assumptions!$B$124*Assumptions!$B$49*(1+Assumptions!$B$62*P31)</f>
        <v/>
      </c>
      <c r="Q63" s="41">
        <f>Q52*(1-Assumptions!$B$122)*Assumptions!$B$124*Assumptions!$B$49*(1+Assumptions!$B$62*Q31)</f>
        <v/>
      </c>
      <c r="R63" s="41">
        <f>R52*(1-Assumptions!$B$122)*Assumptions!$B$124*Assumptions!$B$49*(1+Assumptions!$B$62*R31)</f>
        <v/>
      </c>
      <c r="S63" s="41">
        <f>S52*(1-Assumptions!$B$122)*Assumptions!$B$124*Assumptions!$B$49*(1+Assumptions!$B$62*S31)</f>
        <v/>
      </c>
      <c r="T63" s="41">
        <f>T52*(1-Assumptions!$B$122)*Assumptions!$B$124*Assumptions!$B$49*(1+Assumptions!$B$62*T31)</f>
        <v/>
      </c>
      <c r="U63" s="41">
        <f>U52*(1-Assumptions!$B$122)*Assumptions!$B$124*Assumptions!$B$49*(1+Assumptions!$B$62*U31)</f>
        <v/>
      </c>
      <c r="V63" s="41">
        <f>V52*(1-Assumptions!$B$122)*Assumptions!$B$124*Assumptions!$B$49*(1+Assumptions!$B$62*V31)</f>
        <v/>
      </c>
      <c r="W63" s="41">
        <f>W52*(1-Assumptions!$B$122)*Assumptions!$B$124*Assumptions!$B$49*(1+Assumptions!$B$62*W31)</f>
        <v/>
      </c>
      <c r="X63" s="41">
        <f>X52*(1-Assumptions!$B$122)*Assumptions!$B$124*Assumptions!$B$49*(1+Assumptions!$B$62*X31)</f>
        <v/>
      </c>
      <c r="Y63" s="41">
        <f>Y52*(1-Assumptions!$B$122)*Assumptions!$B$124*Assumptions!$B$49*(1+Assumptions!$B$62*Y31)</f>
        <v/>
      </c>
      <c r="Z63" s="41">
        <f>Z52*(1-Assumptions!$B$122)*Assumptions!$B$124*Assumptions!$B$49*(1+Assumptions!$B$62*Z31)</f>
        <v/>
      </c>
      <c r="AA63" s="41">
        <f>AA52*(1-Assumptions!$B$122)*Assumptions!$B$124*Assumptions!$B$49*(1+Assumptions!$B$62*AA31)</f>
        <v/>
      </c>
      <c r="AB63" s="41">
        <f>AB52*(1-Assumptions!$B$122)*Assumptions!$B$124*Assumptions!$B$49*(1+Assumptions!$B$62*AB31)</f>
        <v/>
      </c>
      <c r="AC63" s="41">
        <f>AC52*(1-Assumptions!$B$122)*Assumptions!$B$124*Assumptions!$B$49*(1+Assumptions!$B$62*AC31)</f>
        <v/>
      </c>
      <c r="AD63" s="41">
        <f>AD52*(1-Assumptions!$B$122)*Assumptions!$B$124*Assumptions!$B$49*(1+Assumptions!$B$62*AD31)</f>
        <v/>
      </c>
      <c r="AE63" s="41">
        <f>AE52*(1-Assumptions!$B$122)*Assumptions!$B$124*Assumptions!$B$49*(1+Assumptions!$B$62*AE31)</f>
        <v/>
      </c>
      <c r="AF63" s="41">
        <f>AF52*(1-Assumptions!$B$122)*Assumptions!$B$124*Assumptions!$B$49*(1+Assumptions!$B$62*AF31)</f>
        <v/>
      </c>
      <c r="AG63" s="41">
        <f>AG52*(1-Assumptions!$B$122)*Assumptions!$B$124*Assumptions!$B$49*(1+Assumptions!$B$62*AG31)</f>
        <v/>
      </c>
      <c r="AH63" s="41">
        <f>AH52*(1-Assumptions!$B$122)*Assumptions!$B$124*Assumptions!$B$49*(1+Assumptions!$B$62*AH31)</f>
        <v/>
      </c>
      <c r="AI63" s="41">
        <f>AI52*(1-Assumptions!$B$122)*Assumptions!$B$124*Assumptions!$B$49*(1+Assumptions!$B$62*AI31)</f>
        <v/>
      </c>
      <c r="AJ63" s="41">
        <f>AJ52*(1-Assumptions!$B$122)*Assumptions!$B$124*Assumptions!$B$49*(1+Assumptions!$B$62*AJ31)</f>
        <v/>
      </c>
      <c r="AK63" s="41">
        <f>AK52*(1-Assumptions!$B$122)*Assumptions!$B$124*Assumptions!$B$49*(1+Assumptions!$B$62*AK31)</f>
        <v/>
      </c>
      <c r="AL63" s="41">
        <f>AL52*(1-Assumptions!$B$122)*Assumptions!$B$124*Assumptions!$B$49*(1+Assumptions!$B$62*AL31)</f>
        <v/>
      </c>
      <c r="AM63" s="41">
        <f>AM52*(1-Assumptions!$B$122)*Assumptions!$B$124*Assumptions!$B$49*(1+Assumptions!$B$62*AM31)</f>
        <v/>
      </c>
      <c r="AN63" s="41">
        <f>AN52*(1-Assumptions!$B$122)*Assumptions!$B$124*Assumptions!$B$49*(1+Assumptions!$B$62*AN31)</f>
        <v/>
      </c>
      <c r="AO63" s="41">
        <f>AO52*(1-Assumptions!$B$122)*Assumptions!$B$124*Assumptions!$B$49*(1+Assumptions!$B$62*AO31)</f>
        <v/>
      </c>
      <c r="AP63" s="41">
        <f>AP52*(1-Assumptions!$B$122)*Assumptions!$B$124*Assumptions!$B$49*(1+Assumptions!$B$62*AP31)</f>
        <v/>
      </c>
      <c r="AQ63" s="41">
        <f>AQ52*(1-Assumptions!$B$122)*Assumptions!$B$124*Assumptions!$B$49*(1+Assumptions!$B$62*AQ31)</f>
        <v/>
      </c>
      <c r="AR63" s="41">
        <f>AR52*(1-Assumptions!$B$122)*Assumptions!$B$124*Assumptions!$B$49*(1+Assumptions!$B$62*AR31)</f>
        <v/>
      </c>
      <c r="AS63" s="41">
        <f>AS52*(1-Assumptions!$B$122)*Assumptions!$B$124*Assumptions!$B$49*(1+Assumptions!$B$62*AS31)</f>
        <v/>
      </c>
      <c r="AT63" s="41">
        <f>AT52*(1-Assumptions!$B$122)*Assumptions!$B$124*Assumptions!$B$49*(1+Assumptions!$B$62*AT31)</f>
        <v/>
      </c>
      <c r="AU63" s="41">
        <f>AU52*(1-Assumptions!$B$122)*Assumptions!$B$124*Assumptions!$B$49*(1+Assumptions!$B$62*AU31)</f>
        <v/>
      </c>
      <c r="AV63" s="41">
        <f>AV52*(1-Assumptions!$B$122)*Assumptions!$B$124*Assumptions!$B$49*(1+Assumptions!$B$62*AV31)</f>
        <v/>
      </c>
      <c r="AW63" s="41">
        <f>AW52*(1-Assumptions!$B$122)*Assumptions!$B$124*Assumptions!$B$49*(1+Assumptions!$B$62*AW31)</f>
        <v/>
      </c>
      <c r="AX63" s="41">
        <f>AX52*(1-Assumptions!$B$122)*Assumptions!$B$124*Assumptions!$B$49*(1+Assumptions!$B$62*AX31)</f>
        <v/>
      </c>
      <c r="AY63" s="41">
        <f>AY52*(1-Assumptions!$B$122)*Assumptions!$B$124*Assumptions!$B$49*(1+Assumptions!$B$62*AY31)</f>
        <v/>
      </c>
      <c r="AZ63" s="41">
        <f>AZ52*(1-Assumptions!$B$122)*Assumptions!$B$124*Assumptions!$B$49*(1+Assumptions!$B$62*AZ31)</f>
        <v/>
      </c>
      <c r="BA63" s="41">
        <f>BA52*(1-Assumptions!$B$122)*Assumptions!$B$124*Assumptions!$B$49*(1+Assumptions!$B$62*BA31)</f>
        <v/>
      </c>
      <c r="BB63" s="41">
        <f>BB52*(1-Assumptions!$B$122)*Assumptions!$B$124*Assumptions!$B$49*(1+Assumptions!$B$62*BB31)</f>
        <v/>
      </c>
      <c r="BC63" s="41">
        <f>BC52*(1-Assumptions!$B$122)*Assumptions!$B$124*Assumptions!$B$49*(1+Assumptions!$B$62*BC31)</f>
        <v/>
      </c>
      <c r="BD63" s="41">
        <f>BD52*(1-Assumptions!$B$122)*Assumptions!$B$124*Assumptions!$B$49*(1+Assumptions!$B$62*BD31)</f>
        <v/>
      </c>
      <c r="BE63" s="41">
        <f>BE52*(1-Assumptions!$B$122)*Assumptions!$B$124*Assumptions!$B$49*(1+Assumptions!$B$62*BE31)</f>
        <v/>
      </c>
      <c r="BF63" s="41">
        <f>BF52*(1-Assumptions!$B$122)*Assumptions!$B$124*Assumptions!$B$49*(1+Assumptions!$B$62*BF31)</f>
        <v/>
      </c>
      <c r="BG63" s="41">
        <f>BG52*(1-Assumptions!$B$122)*Assumptions!$B$124*Assumptions!$B$49*(1+Assumptions!$B$62*BG31)</f>
        <v/>
      </c>
      <c r="BH63" s="41">
        <f>BH52*(1-Assumptions!$B$122)*Assumptions!$B$124*Assumptions!$B$49*(1+Assumptions!$B$62*BH31)</f>
        <v/>
      </c>
      <c r="BI63" s="41">
        <f>BI52*(1-Assumptions!$B$122)*Assumptions!$B$124*Assumptions!$B$49*(1+Assumptions!$B$62*BI31)</f>
        <v/>
      </c>
      <c r="BJ63" s="41">
        <f>BJ52*(1-Assumptions!$B$122)*Assumptions!$B$124*Assumptions!$B$49*(1+Assumptions!$B$62*BJ31)</f>
        <v/>
      </c>
    </row>
    <row r="64">
      <c r="A64" s="4" t="inlineStr">
        <is>
          <t>Solo sign-ups wanted: Kenya</t>
        </is>
      </c>
      <c r="B64" s="17" t="inlineStr">
        <is>
          <t>workspaces</t>
        </is>
      </c>
      <c r="C64" s="41">
        <f>C53*Assumptions!$B$122*Assumptions!$B$123*Assumptions!$B$49*(1+Assumptions!$B$62*C32)</f>
        <v/>
      </c>
      <c r="D64" s="41">
        <f>D53*Assumptions!$B$122*Assumptions!$B$123*Assumptions!$B$49*(1+Assumptions!$B$62*D32)</f>
        <v/>
      </c>
      <c r="E64" s="41">
        <f>E53*Assumptions!$B$122*Assumptions!$B$123*Assumptions!$B$49*(1+Assumptions!$B$62*E32)</f>
        <v/>
      </c>
      <c r="F64" s="41">
        <f>F53*Assumptions!$B$122*Assumptions!$B$123*Assumptions!$B$49*(1+Assumptions!$B$62*F32)</f>
        <v/>
      </c>
      <c r="G64" s="41">
        <f>G53*Assumptions!$B$122*Assumptions!$B$123*Assumptions!$B$49*(1+Assumptions!$B$62*G32)</f>
        <v/>
      </c>
      <c r="H64" s="41">
        <f>H53*Assumptions!$B$122*Assumptions!$B$123*Assumptions!$B$49*(1+Assumptions!$B$62*H32)</f>
        <v/>
      </c>
      <c r="I64" s="41">
        <f>I53*Assumptions!$B$122*Assumptions!$B$123*Assumptions!$B$49*(1+Assumptions!$B$62*I32)</f>
        <v/>
      </c>
      <c r="J64" s="41">
        <f>J53*Assumptions!$B$122*Assumptions!$B$123*Assumptions!$B$49*(1+Assumptions!$B$62*J32)</f>
        <v/>
      </c>
      <c r="K64" s="41">
        <f>K53*Assumptions!$B$122*Assumptions!$B$123*Assumptions!$B$49*(1+Assumptions!$B$62*K32)</f>
        <v/>
      </c>
      <c r="L64" s="41">
        <f>L53*Assumptions!$B$122*Assumptions!$B$123*Assumptions!$B$49*(1+Assumptions!$B$62*L32)</f>
        <v/>
      </c>
      <c r="M64" s="41">
        <f>M53*Assumptions!$B$122*Assumptions!$B$123*Assumptions!$B$49*(1+Assumptions!$B$62*M32)</f>
        <v/>
      </c>
      <c r="N64" s="41">
        <f>N53*Assumptions!$B$122*Assumptions!$B$123*Assumptions!$B$49*(1+Assumptions!$B$62*N32)</f>
        <v/>
      </c>
      <c r="O64" s="41">
        <f>O53*Assumptions!$B$122*Assumptions!$B$123*Assumptions!$B$49*(1+Assumptions!$B$62*O32)</f>
        <v/>
      </c>
      <c r="P64" s="41">
        <f>P53*Assumptions!$B$122*Assumptions!$B$123*Assumptions!$B$49*(1+Assumptions!$B$62*P32)</f>
        <v/>
      </c>
      <c r="Q64" s="41">
        <f>Q53*Assumptions!$B$122*Assumptions!$B$123*Assumptions!$B$49*(1+Assumptions!$B$62*Q32)</f>
        <v/>
      </c>
      <c r="R64" s="41">
        <f>R53*Assumptions!$B$122*Assumptions!$B$123*Assumptions!$B$49*(1+Assumptions!$B$62*R32)</f>
        <v/>
      </c>
      <c r="S64" s="41">
        <f>S53*Assumptions!$B$122*Assumptions!$B$123*Assumptions!$B$49*(1+Assumptions!$B$62*S32)</f>
        <v/>
      </c>
      <c r="T64" s="41">
        <f>T53*Assumptions!$B$122*Assumptions!$B$123*Assumptions!$B$49*(1+Assumptions!$B$62*T32)</f>
        <v/>
      </c>
      <c r="U64" s="41">
        <f>U53*Assumptions!$B$122*Assumptions!$B$123*Assumptions!$B$49*(1+Assumptions!$B$62*U32)</f>
        <v/>
      </c>
      <c r="V64" s="41">
        <f>V53*Assumptions!$B$122*Assumptions!$B$123*Assumptions!$B$49*(1+Assumptions!$B$62*V32)</f>
        <v/>
      </c>
      <c r="W64" s="41">
        <f>W53*Assumptions!$B$122*Assumptions!$B$123*Assumptions!$B$49*(1+Assumptions!$B$62*W32)</f>
        <v/>
      </c>
      <c r="X64" s="41">
        <f>X53*Assumptions!$B$122*Assumptions!$B$123*Assumptions!$B$49*(1+Assumptions!$B$62*X32)</f>
        <v/>
      </c>
      <c r="Y64" s="41">
        <f>Y53*Assumptions!$B$122*Assumptions!$B$123*Assumptions!$B$49*(1+Assumptions!$B$62*Y32)</f>
        <v/>
      </c>
      <c r="Z64" s="41">
        <f>Z53*Assumptions!$B$122*Assumptions!$B$123*Assumptions!$B$49*(1+Assumptions!$B$62*Z32)</f>
        <v/>
      </c>
      <c r="AA64" s="41">
        <f>AA53*Assumptions!$B$122*Assumptions!$B$123*Assumptions!$B$49*(1+Assumptions!$B$62*AA32)</f>
        <v/>
      </c>
      <c r="AB64" s="41">
        <f>AB53*Assumptions!$B$122*Assumptions!$B$123*Assumptions!$B$49*(1+Assumptions!$B$62*AB32)</f>
        <v/>
      </c>
      <c r="AC64" s="41">
        <f>AC53*Assumptions!$B$122*Assumptions!$B$123*Assumptions!$B$49*(1+Assumptions!$B$62*AC32)</f>
        <v/>
      </c>
      <c r="AD64" s="41">
        <f>AD53*Assumptions!$B$122*Assumptions!$B$123*Assumptions!$B$49*(1+Assumptions!$B$62*AD32)</f>
        <v/>
      </c>
      <c r="AE64" s="41">
        <f>AE53*Assumptions!$B$122*Assumptions!$B$123*Assumptions!$B$49*(1+Assumptions!$B$62*AE32)</f>
        <v/>
      </c>
      <c r="AF64" s="41">
        <f>AF53*Assumptions!$B$122*Assumptions!$B$123*Assumptions!$B$49*(1+Assumptions!$B$62*AF32)</f>
        <v/>
      </c>
      <c r="AG64" s="41">
        <f>AG53*Assumptions!$B$122*Assumptions!$B$123*Assumptions!$B$49*(1+Assumptions!$B$62*AG32)</f>
        <v/>
      </c>
      <c r="AH64" s="41">
        <f>AH53*Assumptions!$B$122*Assumptions!$B$123*Assumptions!$B$49*(1+Assumptions!$B$62*AH32)</f>
        <v/>
      </c>
      <c r="AI64" s="41">
        <f>AI53*Assumptions!$B$122*Assumptions!$B$123*Assumptions!$B$49*(1+Assumptions!$B$62*AI32)</f>
        <v/>
      </c>
      <c r="AJ64" s="41">
        <f>AJ53*Assumptions!$B$122*Assumptions!$B$123*Assumptions!$B$49*(1+Assumptions!$B$62*AJ32)</f>
        <v/>
      </c>
      <c r="AK64" s="41">
        <f>AK53*Assumptions!$B$122*Assumptions!$B$123*Assumptions!$B$49*(1+Assumptions!$B$62*AK32)</f>
        <v/>
      </c>
      <c r="AL64" s="41">
        <f>AL53*Assumptions!$B$122*Assumptions!$B$123*Assumptions!$B$49*(1+Assumptions!$B$62*AL32)</f>
        <v/>
      </c>
      <c r="AM64" s="41">
        <f>AM53*Assumptions!$B$122*Assumptions!$B$123*Assumptions!$B$49*(1+Assumptions!$B$62*AM32)</f>
        <v/>
      </c>
      <c r="AN64" s="41">
        <f>AN53*Assumptions!$B$122*Assumptions!$B$123*Assumptions!$B$49*(1+Assumptions!$B$62*AN32)</f>
        <v/>
      </c>
      <c r="AO64" s="41">
        <f>AO53*Assumptions!$B$122*Assumptions!$B$123*Assumptions!$B$49*(1+Assumptions!$B$62*AO32)</f>
        <v/>
      </c>
      <c r="AP64" s="41">
        <f>AP53*Assumptions!$B$122*Assumptions!$B$123*Assumptions!$B$49*(1+Assumptions!$B$62*AP32)</f>
        <v/>
      </c>
      <c r="AQ64" s="41">
        <f>AQ53*Assumptions!$B$122*Assumptions!$B$123*Assumptions!$B$49*(1+Assumptions!$B$62*AQ32)</f>
        <v/>
      </c>
      <c r="AR64" s="41">
        <f>AR53*Assumptions!$B$122*Assumptions!$B$123*Assumptions!$B$49*(1+Assumptions!$B$62*AR32)</f>
        <v/>
      </c>
      <c r="AS64" s="41">
        <f>AS53*Assumptions!$B$122*Assumptions!$B$123*Assumptions!$B$49*(1+Assumptions!$B$62*AS32)</f>
        <v/>
      </c>
      <c r="AT64" s="41">
        <f>AT53*Assumptions!$B$122*Assumptions!$B$123*Assumptions!$B$49*(1+Assumptions!$B$62*AT32)</f>
        <v/>
      </c>
      <c r="AU64" s="41">
        <f>AU53*Assumptions!$B$122*Assumptions!$B$123*Assumptions!$B$49*(1+Assumptions!$B$62*AU32)</f>
        <v/>
      </c>
      <c r="AV64" s="41">
        <f>AV53*Assumptions!$B$122*Assumptions!$B$123*Assumptions!$B$49*(1+Assumptions!$B$62*AV32)</f>
        <v/>
      </c>
      <c r="AW64" s="41">
        <f>AW53*Assumptions!$B$122*Assumptions!$B$123*Assumptions!$B$49*(1+Assumptions!$B$62*AW32)</f>
        <v/>
      </c>
      <c r="AX64" s="41">
        <f>AX53*Assumptions!$B$122*Assumptions!$B$123*Assumptions!$B$49*(1+Assumptions!$B$62*AX32)</f>
        <v/>
      </c>
      <c r="AY64" s="41">
        <f>AY53*Assumptions!$B$122*Assumptions!$B$123*Assumptions!$B$49*(1+Assumptions!$B$62*AY32)</f>
        <v/>
      </c>
      <c r="AZ64" s="41">
        <f>AZ53*Assumptions!$B$122*Assumptions!$B$123*Assumptions!$B$49*(1+Assumptions!$B$62*AZ32)</f>
        <v/>
      </c>
      <c r="BA64" s="41">
        <f>BA53*Assumptions!$B$122*Assumptions!$B$123*Assumptions!$B$49*(1+Assumptions!$B$62*BA32)</f>
        <v/>
      </c>
      <c r="BB64" s="41">
        <f>BB53*Assumptions!$B$122*Assumptions!$B$123*Assumptions!$B$49*(1+Assumptions!$B$62*BB32)</f>
        <v/>
      </c>
      <c r="BC64" s="41">
        <f>BC53*Assumptions!$B$122*Assumptions!$B$123*Assumptions!$B$49*(1+Assumptions!$B$62*BC32)</f>
        <v/>
      </c>
      <c r="BD64" s="41">
        <f>BD53*Assumptions!$B$122*Assumptions!$B$123*Assumptions!$B$49*(1+Assumptions!$B$62*BD32)</f>
        <v/>
      </c>
      <c r="BE64" s="41">
        <f>BE53*Assumptions!$B$122*Assumptions!$B$123*Assumptions!$B$49*(1+Assumptions!$B$62*BE32)</f>
        <v/>
      </c>
      <c r="BF64" s="41">
        <f>BF53*Assumptions!$B$122*Assumptions!$B$123*Assumptions!$B$49*(1+Assumptions!$B$62*BF32)</f>
        <v/>
      </c>
      <c r="BG64" s="41">
        <f>BG53*Assumptions!$B$122*Assumptions!$B$123*Assumptions!$B$49*(1+Assumptions!$B$62*BG32)</f>
        <v/>
      </c>
      <c r="BH64" s="41">
        <f>BH53*Assumptions!$B$122*Assumptions!$B$123*Assumptions!$B$49*(1+Assumptions!$B$62*BH32)</f>
        <v/>
      </c>
      <c r="BI64" s="41">
        <f>BI53*Assumptions!$B$122*Assumptions!$B$123*Assumptions!$B$49*(1+Assumptions!$B$62*BI32)</f>
        <v/>
      </c>
      <c r="BJ64" s="41">
        <f>BJ53*Assumptions!$B$122*Assumptions!$B$123*Assumptions!$B$49*(1+Assumptions!$B$62*BJ32)</f>
        <v/>
      </c>
    </row>
    <row r="65">
      <c r="A65" s="4" t="inlineStr">
        <is>
          <t>SME sign-ups wanted: Kenya</t>
        </is>
      </c>
      <c r="B65" s="17" t="inlineStr">
        <is>
          <t>workspaces</t>
        </is>
      </c>
      <c r="C65" s="41">
        <f>C53*(1-Assumptions!$B$122)*Assumptions!$B$124*Assumptions!$B$49*(1+Assumptions!$B$62*C32)</f>
        <v/>
      </c>
      <c r="D65" s="41">
        <f>D53*(1-Assumptions!$B$122)*Assumptions!$B$124*Assumptions!$B$49*(1+Assumptions!$B$62*D32)</f>
        <v/>
      </c>
      <c r="E65" s="41">
        <f>E53*(1-Assumptions!$B$122)*Assumptions!$B$124*Assumptions!$B$49*(1+Assumptions!$B$62*E32)</f>
        <v/>
      </c>
      <c r="F65" s="41">
        <f>F53*(1-Assumptions!$B$122)*Assumptions!$B$124*Assumptions!$B$49*(1+Assumptions!$B$62*F32)</f>
        <v/>
      </c>
      <c r="G65" s="41">
        <f>G53*(1-Assumptions!$B$122)*Assumptions!$B$124*Assumptions!$B$49*(1+Assumptions!$B$62*G32)</f>
        <v/>
      </c>
      <c r="H65" s="41">
        <f>H53*(1-Assumptions!$B$122)*Assumptions!$B$124*Assumptions!$B$49*(1+Assumptions!$B$62*H32)</f>
        <v/>
      </c>
      <c r="I65" s="41">
        <f>I53*(1-Assumptions!$B$122)*Assumptions!$B$124*Assumptions!$B$49*(1+Assumptions!$B$62*I32)</f>
        <v/>
      </c>
      <c r="J65" s="41">
        <f>J53*(1-Assumptions!$B$122)*Assumptions!$B$124*Assumptions!$B$49*(1+Assumptions!$B$62*J32)</f>
        <v/>
      </c>
      <c r="K65" s="41">
        <f>K53*(1-Assumptions!$B$122)*Assumptions!$B$124*Assumptions!$B$49*(1+Assumptions!$B$62*K32)</f>
        <v/>
      </c>
      <c r="L65" s="41">
        <f>L53*(1-Assumptions!$B$122)*Assumptions!$B$124*Assumptions!$B$49*(1+Assumptions!$B$62*L32)</f>
        <v/>
      </c>
      <c r="M65" s="41">
        <f>M53*(1-Assumptions!$B$122)*Assumptions!$B$124*Assumptions!$B$49*(1+Assumptions!$B$62*M32)</f>
        <v/>
      </c>
      <c r="N65" s="41">
        <f>N53*(1-Assumptions!$B$122)*Assumptions!$B$124*Assumptions!$B$49*(1+Assumptions!$B$62*N32)</f>
        <v/>
      </c>
      <c r="O65" s="41">
        <f>O53*(1-Assumptions!$B$122)*Assumptions!$B$124*Assumptions!$B$49*(1+Assumptions!$B$62*O32)</f>
        <v/>
      </c>
      <c r="P65" s="41">
        <f>P53*(1-Assumptions!$B$122)*Assumptions!$B$124*Assumptions!$B$49*(1+Assumptions!$B$62*P32)</f>
        <v/>
      </c>
      <c r="Q65" s="41">
        <f>Q53*(1-Assumptions!$B$122)*Assumptions!$B$124*Assumptions!$B$49*(1+Assumptions!$B$62*Q32)</f>
        <v/>
      </c>
      <c r="R65" s="41">
        <f>R53*(1-Assumptions!$B$122)*Assumptions!$B$124*Assumptions!$B$49*(1+Assumptions!$B$62*R32)</f>
        <v/>
      </c>
      <c r="S65" s="41">
        <f>S53*(1-Assumptions!$B$122)*Assumptions!$B$124*Assumptions!$B$49*(1+Assumptions!$B$62*S32)</f>
        <v/>
      </c>
      <c r="T65" s="41">
        <f>T53*(1-Assumptions!$B$122)*Assumptions!$B$124*Assumptions!$B$49*(1+Assumptions!$B$62*T32)</f>
        <v/>
      </c>
      <c r="U65" s="41">
        <f>U53*(1-Assumptions!$B$122)*Assumptions!$B$124*Assumptions!$B$49*(1+Assumptions!$B$62*U32)</f>
        <v/>
      </c>
      <c r="V65" s="41">
        <f>V53*(1-Assumptions!$B$122)*Assumptions!$B$124*Assumptions!$B$49*(1+Assumptions!$B$62*V32)</f>
        <v/>
      </c>
      <c r="W65" s="41">
        <f>W53*(1-Assumptions!$B$122)*Assumptions!$B$124*Assumptions!$B$49*(1+Assumptions!$B$62*W32)</f>
        <v/>
      </c>
      <c r="X65" s="41">
        <f>X53*(1-Assumptions!$B$122)*Assumptions!$B$124*Assumptions!$B$49*(1+Assumptions!$B$62*X32)</f>
        <v/>
      </c>
      <c r="Y65" s="41">
        <f>Y53*(1-Assumptions!$B$122)*Assumptions!$B$124*Assumptions!$B$49*(1+Assumptions!$B$62*Y32)</f>
        <v/>
      </c>
      <c r="Z65" s="41">
        <f>Z53*(1-Assumptions!$B$122)*Assumptions!$B$124*Assumptions!$B$49*(1+Assumptions!$B$62*Z32)</f>
        <v/>
      </c>
      <c r="AA65" s="41">
        <f>AA53*(1-Assumptions!$B$122)*Assumptions!$B$124*Assumptions!$B$49*(1+Assumptions!$B$62*AA32)</f>
        <v/>
      </c>
      <c r="AB65" s="41">
        <f>AB53*(1-Assumptions!$B$122)*Assumptions!$B$124*Assumptions!$B$49*(1+Assumptions!$B$62*AB32)</f>
        <v/>
      </c>
      <c r="AC65" s="41">
        <f>AC53*(1-Assumptions!$B$122)*Assumptions!$B$124*Assumptions!$B$49*(1+Assumptions!$B$62*AC32)</f>
        <v/>
      </c>
      <c r="AD65" s="41">
        <f>AD53*(1-Assumptions!$B$122)*Assumptions!$B$124*Assumptions!$B$49*(1+Assumptions!$B$62*AD32)</f>
        <v/>
      </c>
      <c r="AE65" s="41">
        <f>AE53*(1-Assumptions!$B$122)*Assumptions!$B$124*Assumptions!$B$49*(1+Assumptions!$B$62*AE32)</f>
        <v/>
      </c>
      <c r="AF65" s="41">
        <f>AF53*(1-Assumptions!$B$122)*Assumptions!$B$124*Assumptions!$B$49*(1+Assumptions!$B$62*AF32)</f>
        <v/>
      </c>
      <c r="AG65" s="41">
        <f>AG53*(1-Assumptions!$B$122)*Assumptions!$B$124*Assumptions!$B$49*(1+Assumptions!$B$62*AG32)</f>
        <v/>
      </c>
      <c r="AH65" s="41">
        <f>AH53*(1-Assumptions!$B$122)*Assumptions!$B$124*Assumptions!$B$49*(1+Assumptions!$B$62*AH32)</f>
        <v/>
      </c>
      <c r="AI65" s="41">
        <f>AI53*(1-Assumptions!$B$122)*Assumptions!$B$124*Assumptions!$B$49*(1+Assumptions!$B$62*AI32)</f>
        <v/>
      </c>
      <c r="AJ65" s="41">
        <f>AJ53*(1-Assumptions!$B$122)*Assumptions!$B$124*Assumptions!$B$49*(1+Assumptions!$B$62*AJ32)</f>
        <v/>
      </c>
      <c r="AK65" s="41">
        <f>AK53*(1-Assumptions!$B$122)*Assumptions!$B$124*Assumptions!$B$49*(1+Assumptions!$B$62*AK32)</f>
        <v/>
      </c>
      <c r="AL65" s="41">
        <f>AL53*(1-Assumptions!$B$122)*Assumptions!$B$124*Assumptions!$B$49*(1+Assumptions!$B$62*AL32)</f>
        <v/>
      </c>
      <c r="AM65" s="41">
        <f>AM53*(1-Assumptions!$B$122)*Assumptions!$B$124*Assumptions!$B$49*(1+Assumptions!$B$62*AM32)</f>
        <v/>
      </c>
      <c r="AN65" s="41">
        <f>AN53*(1-Assumptions!$B$122)*Assumptions!$B$124*Assumptions!$B$49*(1+Assumptions!$B$62*AN32)</f>
        <v/>
      </c>
      <c r="AO65" s="41">
        <f>AO53*(1-Assumptions!$B$122)*Assumptions!$B$124*Assumptions!$B$49*(1+Assumptions!$B$62*AO32)</f>
        <v/>
      </c>
      <c r="AP65" s="41">
        <f>AP53*(1-Assumptions!$B$122)*Assumptions!$B$124*Assumptions!$B$49*(1+Assumptions!$B$62*AP32)</f>
        <v/>
      </c>
      <c r="AQ65" s="41">
        <f>AQ53*(1-Assumptions!$B$122)*Assumptions!$B$124*Assumptions!$B$49*(1+Assumptions!$B$62*AQ32)</f>
        <v/>
      </c>
      <c r="AR65" s="41">
        <f>AR53*(1-Assumptions!$B$122)*Assumptions!$B$124*Assumptions!$B$49*(1+Assumptions!$B$62*AR32)</f>
        <v/>
      </c>
      <c r="AS65" s="41">
        <f>AS53*(1-Assumptions!$B$122)*Assumptions!$B$124*Assumptions!$B$49*(1+Assumptions!$B$62*AS32)</f>
        <v/>
      </c>
      <c r="AT65" s="41">
        <f>AT53*(1-Assumptions!$B$122)*Assumptions!$B$124*Assumptions!$B$49*(1+Assumptions!$B$62*AT32)</f>
        <v/>
      </c>
      <c r="AU65" s="41">
        <f>AU53*(1-Assumptions!$B$122)*Assumptions!$B$124*Assumptions!$B$49*(1+Assumptions!$B$62*AU32)</f>
        <v/>
      </c>
      <c r="AV65" s="41">
        <f>AV53*(1-Assumptions!$B$122)*Assumptions!$B$124*Assumptions!$B$49*(1+Assumptions!$B$62*AV32)</f>
        <v/>
      </c>
      <c r="AW65" s="41">
        <f>AW53*(1-Assumptions!$B$122)*Assumptions!$B$124*Assumptions!$B$49*(1+Assumptions!$B$62*AW32)</f>
        <v/>
      </c>
      <c r="AX65" s="41">
        <f>AX53*(1-Assumptions!$B$122)*Assumptions!$B$124*Assumptions!$B$49*(1+Assumptions!$B$62*AX32)</f>
        <v/>
      </c>
      <c r="AY65" s="41">
        <f>AY53*(1-Assumptions!$B$122)*Assumptions!$B$124*Assumptions!$B$49*(1+Assumptions!$B$62*AY32)</f>
        <v/>
      </c>
      <c r="AZ65" s="41">
        <f>AZ53*(1-Assumptions!$B$122)*Assumptions!$B$124*Assumptions!$B$49*(1+Assumptions!$B$62*AZ32)</f>
        <v/>
      </c>
      <c r="BA65" s="41">
        <f>BA53*(1-Assumptions!$B$122)*Assumptions!$B$124*Assumptions!$B$49*(1+Assumptions!$B$62*BA32)</f>
        <v/>
      </c>
      <c r="BB65" s="41">
        <f>BB53*(1-Assumptions!$B$122)*Assumptions!$B$124*Assumptions!$B$49*(1+Assumptions!$B$62*BB32)</f>
        <v/>
      </c>
      <c r="BC65" s="41">
        <f>BC53*(1-Assumptions!$B$122)*Assumptions!$B$124*Assumptions!$B$49*(1+Assumptions!$B$62*BC32)</f>
        <v/>
      </c>
      <c r="BD65" s="41">
        <f>BD53*(1-Assumptions!$B$122)*Assumptions!$B$124*Assumptions!$B$49*(1+Assumptions!$B$62*BD32)</f>
        <v/>
      </c>
      <c r="BE65" s="41">
        <f>BE53*(1-Assumptions!$B$122)*Assumptions!$B$124*Assumptions!$B$49*(1+Assumptions!$B$62*BE32)</f>
        <v/>
      </c>
      <c r="BF65" s="41">
        <f>BF53*(1-Assumptions!$B$122)*Assumptions!$B$124*Assumptions!$B$49*(1+Assumptions!$B$62*BF32)</f>
        <v/>
      </c>
      <c r="BG65" s="41">
        <f>BG53*(1-Assumptions!$B$122)*Assumptions!$B$124*Assumptions!$B$49*(1+Assumptions!$B$62*BG32)</f>
        <v/>
      </c>
      <c r="BH65" s="41">
        <f>BH53*(1-Assumptions!$B$122)*Assumptions!$B$124*Assumptions!$B$49*(1+Assumptions!$B$62*BH32)</f>
        <v/>
      </c>
      <c r="BI65" s="41">
        <f>BI53*(1-Assumptions!$B$122)*Assumptions!$B$124*Assumptions!$B$49*(1+Assumptions!$B$62*BI32)</f>
        <v/>
      </c>
      <c r="BJ65" s="41">
        <f>BJ53*(1-Assumptions!$B$122)*Assumptions!$B$124*Assumptions!$B$49*(1+Assumptions!$B$62*BJ32)</f>
        <v/>
      </c>
    </row>
    <row r="66">
      <c r="A66" s="4" t="inlineStr">
        <is>
          <t>Solo sign-ups wanted: Ghana</t>
        </is>
      </c>
      <c r="B66" s="17" t="inlineStr">
        <is>
          <t>workspaces</t>
        </is>
      </c>
      <c r="C66" s="41">
        <f>C54*Assumptions!$B$122*Assumptions!$B$123*Assumptions!$B$49*(1+Assumptions!$B$62*C33)</f>
        <v/>
      </c>
      <c r="D66" s="41">
        <f>D54*Assumptions!$B$122*Assumptions!$B$123*Assumptions!$B$49*(1+Assumptions!$B$62*D33)</f>
        <v/>
      </c>
      <c r="E66" s="41">
        <f>E54*Assumptions!$B$122*Assumptions!$B$123*Assumptions!$B$49*(1+Assumptions!$B$62*E33)</f>
        <v/>
      </c>
      <c r="F66" s="41">
        <f>F54*Assumptions!$B$122*Assumptions!$B$123*Assumptions!$B$49*(1+Assumptions!$B$62*F33)</f>
        <v/>
      </c>
      <c r="G66" s="41">
        <f>G54*Assumptions!$B$122*Assumptions!$B$123*Assumptions!$B$49*(1+Assumptions!$B$62*G33)</f>
        <v/>
      </c>
      <c r="H66" s="41">
        <f>H54*Assumptions!$B$122*Assumptions!$B$123*Assumptions!$B$49*(1+Assumptions!$B$62*H33)</f>
        <v/>
      </c>
      <c r="I66" s="41">
        <f>I54*Assumptions!$B$122*Assumptions!$B$123*Assumptions!$B$49*(1+Assumptions!$B$62*I33)</f>
        <v/>
      </c>
      <c r="J66" s="41">
        <f>J54*Assumptions!$B$122*Assumptions!$B$123*Assumptions!$B$49*(1+Assumptions!$B$62*J33)</f>
        <v/>
      </c>
      <c r="K66" s="41">
        <f>K54*Assumptions!$B$122*Assumptions!$B$123*Assumptions!$B$49*(1+Assumptions!$B$62*K33)</f>
        <v/>
      </c>
      <c r="L66" s="41">
        <f>L54*Assumptions!$B$122*Assumptions!$B$123*Assumptions!$B$49*(1+Assumptions!$B$62*L33)</f>
        <v/>
      </c>
      <c r="M66" s="41">
        <f>M54*Assumptions!$B$122*Assumptions!$B$123*Assumptions!$B$49*(1+Assumptions!$B$62*M33)</f>
        <v/>
      </c>
      <c r="N66" s="41">
        <f>N54*Assumptions!$B$122*Assumptions!$B$123*Assumptions!$B$49*(1+Assumptions!$B$62*N33)</f>
        <v/>
      </c>
      <c r="O66" s="41">
        <f>O54*Assumptions!$B$122*Assumptions!$B$123*Assumptions!$B$49*(1+Assumptions!$B$62*O33)</f>
        <v/>
      </c>
      <c r="P66" s="41">
        <f>P54*Assumptions!$B$122*Assumptions!$B$123*Assumptions!$B$49*(1+Assumptions!$B$62*P33)</f>
        <v/>
      </c>
      <c r="Q66" s="41">
        <f>Q54*Assumptions!$B$122*Assumptions!$B$123*Assumptions!$B$49*(1+Assumptions!$B$62*Q33)</f>
        <v/>
      </c>
      <c r="R66" s="41">
        <f>R54*Assumptions!$B$122*Assumptions!$B$123*Assumptions!$B$49*(1+Assumptions!$B$62*R33)</f>
        <v/>
      </c>
      <c r="S66" s="41">
        <f>S54*Assumptions!$B$122*Assumptions!$B$123*Assumptions!$B$49*(1+Assumptions!$B$62*S33)</f>
        <v/>
      </c>
      <c r="T66" s="41">
        <f>T54*Assumptions!$B$122*Assumptions!$B$123*Assumptions!$B$49*(1+Assumptions!$B$62*T33)</f>
        <v/>
      </c>
      <c r="U66" s="41">
        <f>U54*Assumptions!$B$122*Assumptions!$B$123*Assumptions!$B$49*(1+Assumptions!$B$62*U33)</f>
        <v/>
      </c>
      <c r="V66" s="41">
        <f>V54*Assumptions!$B$122*Assumptions!$B$123*Assumptions!$B$49*(1+Assumptions!$B$62*V33)</f>
        <v/>
      </c>
      <c r="W66" s="41">
        <f>W54*Assumptions!$B$122*Assumptions!$B$123*Assumptions!$B$49*(1+Assumptions!$B$62*W33)</f>
        <v/>
      </c>
      <c r="X66" s="41">
        <f>X54*Assumptions!$B$122*Assumptions!$B$123*Assumptions!$B$49*(1+Assumptions!$B$62*X33)</f>
        <v/>
      </c>
      <c r="Y66" s="41">
        <f>Y54*Assumptions!$B$122*Assumptions!$B$123*Assumptions!$B$49*(1+Assumptions!$B$62*Y33)</f>
        <v/>
      </c>
      <c r="Z66" s="41">
        <f>Z54*Assumptions!$B$122*Assumptions!$B$123*Assumptions!$B$49*(1+Assumptions!$B$62*Z33)</f>
        <v/>
      </c>
      <c r="AA66" s="41">
        <f>AA54*Assumptions!$B$122*Assumptions!$B$123*Assumptions!$B$49*(1+Assumptions!$B$62*AA33)</f>
        <v/>
      </c>
      <c r="AB66" s="41">
        <f>AB54*Assumptions!$B$122*Assumptions!$B$123*Assumptions!$B$49*(1+Assumptions!$B$62*AB33)</f>
        <v/>
      </c>
      <c r="AC66" s="41">
        <f>AC54*Assumptions!$B$122*Assumptions!$B$123*Assumptions!$B$49*(1+Assumptions!$B$62*AC33)</f>
        <v/>
      </c>
      <c r="AD66" s="41">
        <f>AD54*Assumptions!$B$122*Assumptions!$B$123*Assumptions!$B$49*(1+Assumptions!$B$62*AD33)</f>
        <v/>
      </c>
      <c r="AE66" s="41">
        <f>AE54*Assumptions!$B$122*Assumptions!$B$123*Assumptions!$B$49*(1+Assumptions!$B$62*AE33)</f>
        <v/>
      </c>
      <c r="AF66" s="41">
        <f>AF54*Assumptions!$B$122*Assumptions!$B$123*Assumptions!$B$49*(1+Assumptions!$B$62*AF33)</f>
        <v/>
      </c>
      <c r="AG66" s="41">
        <f>AG54*Assumptions!$B$122*Assumptions!$B$123*Assumptions!$B$49*(1+Assumptions!$B$62*AG33)</f>
        <v/>
      </c>
      <c r="AH66" s="41">
        <f>AH54*Assumptions!$B$122*Assumptions!$B$123*Assumptions!$B$49*(1+Assumptions!$B$62*AH33)</f>
        <v/>
      </c>
      <c r="AI66" s="41">
        <f>AI54*Assumptions!$B$122*Assumptions!$B$123*Assumptions!$B$49*(1+Assumptions!$B$62*AI33)</f>
        <v/>
      </c>
      <c r="AJ66" s="41">
        <f>AJ54*Assumptions!$B$122*Assumptions!$B$123*Assumptions!$B$49*(1+Assumptions!$B$62*AJ33)</f>
        <v/>
      </c>
      <c r="AK66" s="41">
        <f>AK54*Assumptions!$B$122*Assumptions!$B$123*Assumptions!$B$49*(1+Assumptions!$B$62*AK33)</f>
        <v/>
      </c>
      <c r="AL66" s="41">
        <f>AL54*Assumptions!$B$122*Assumptions!$B$123*Assumptions!$B$49*(1+Assumptions!$B$62*AL33)</f>
        <v/>
      </c>
      <c r="AM66" s="41">
        <f>AM54*Assumptions!$B$122*Assumptions!$B$123*Assumptions!$B$49*(1+Assumptions!$B$62*AM33)</f>
        <v/>
      </c>
      <c r="AN66" s="41">
        <f>AN54*Assumptions!$B$122*Assumptions!$B$123*Assumptions!$B$49*(1+Assumptions!$B$62*AN33)</f>
        <v/>
      </c>
      <c r="AO66" s="41">
        <f>AO54*Assumptions!$B$122*Assumptions!$B$123*Assumptions!$B$49*(1+Assumptions!$B$62*AO33)</f>
        <v/>
      </c>
      <c r="AP66" s="41">
        <f>AP54*Assumptions!$B$122*Assumptions!$B$123*Assumptions!$B$49*(1+Assumptions!$B$62*AP33)</f>
        <v/>
      </c>
      <c r="AQ66" s="41">
        <f>AQ54*Assumptions!$B$122*Assumptions!$B$123*Assumptions!$B$49*(1+Assumptions!$B$62*AQ33)</f>
        <v/>
      </c>
      <c r="AR66" s="41">
        <f>AR54*Assumptions!$B$122*Assumptions!$B$123*Assumptions!$B$49*(1+Assumptions!$B$62*AR33)</f>
        <v/>
      </c>
      <c r="AS66" s="41">
        <f>AS54*Assumptions!$B$122*Assumptions!$B$123*Assumptions!$B$49*(1+Assumptions!$B$62*AS33)</f>
        <v/>
      </c>
      <c r="AT66" s="41">
        <f>AT54*Assumptions!$B$122*Assumptions!$B$123*Assumptions!$B$49*(1+Assumptions!$B$62*AT33)</f>
        <v/>
      </c>
      <c r="AU66" s="41">
        <f>AU54*Assumptions!$B$122*Assumptions!$B$123*Assumptions!$B$49*(1+Assumptions!$B$62*AU33)</f>
        <v/>
      </c>
      <c r="AV66" s="41">
        <f>AV54*Assumptions!$B$122*Assumptions!$B$123*Assumptions!$B$49*(1+Assumptions!$B$62*AV33)</f>
        <v/>
      </c>
      <c r="AW66" s="41">
        <f>AW54*Assumptions!$B$122*Assumptions!$B$123*Assumptions!$B$49*(1+Assumptions!$B$62*AW33)</f>
        <v/>
      </c>
      <c r="AX66" s="41">
        <f>AX54*Assumptions!$B$122*Assumptions!$B$123*Assumptions!$B$49*(1+Assumptions!$B$62*AX33)</f>
        <v/>
      </c>
      <c r="AY66" s="41">
        <f>AY54*Assumptions!$B$122*Assumptions!$B$123*Assumptions!$B$49*(1+Assumptions!$B$62*AY33)</f>
        <v/>
      </c>
      <c r="AZ66" s="41">
        <f>AZ54*Assumptions!$B$122*Assumptions!$B$123*Assumptions!$B$49*(1+Assumptions!$B$62*AZ33)</f>
        <v/>
      </c>
      <c r="BA66" s="41">
        <f>BA54*Assumptions!$B$122*Assumptions!$B$123*Assumptions!$B$49*(1+Assumptions!$B$62*BA33)</f>
        <v/>
      </c>
      <c r="BB66" s="41">
        <f>BB54*Assumptions!$B$122*Assumptions!$B$123*Assumptions!$B$49*(1+Assumptions!$B$62*BB33)</f>
        <v/>
      </c>
      <c r="BC66" s="41">
        <f>BC54*Assumptions!$B$122*Assumptions!$B$123*Assumptions!$B$49*(1+Assumptions!$B$62*BC33)</f>
        <v/>
      </c>
      <c r="BD66" s="41">
        <f>BD54*Assumptions!$B$122*Assumptions!$B$123*Assumptions!$B$49*(1+Assumptions!$B$62*BD33)</f>
        <v/>
      </c>
      <c r="BE66" s="41">
        <f>BE54*Assumptions!$B$122*Assumptions!$B$123*Assumptions!$B$49*(1+Assumptions!$B$62*BE33)</f>
        <v/>
      </c>
      <c r="BF66" s="41">
        <f>BF54*Assumptions!$B$122*Assumptions!$B$123*Assumptions!$B$49*(1+Assumptions!$B$62*BF33)</f>
        <v/>
      </c>
      <c r="BG66" s="41">
        <f>BG54*Assumptions!$B$122*Assumptions!$B$123*Assumptions!$B$49*(1+Assumptions!$B$62*BG33)</f>
        <v/>
      </c>
      <c r="BH66" s="41">
        <f>BH54*Assumptions!$B$122*Assumptions!$B$123*Assumptions!$B$49*(1+Assumptions!$B$62*BH33)</f>
        <v/>
      </c>
      <c r="BI66" s="41">
        <f>BI54*Assumptions!$B$122*Assumptions!$B$123*Assumptions!$B$49*(1+Assumptions!$B$62*BI33)</f>
        <v/>
      </c>
      <c r="BJ66" s="41">
        <f>BJ54*Assumptions!$B$122*Assumptions!$B$123*Assumptions!$B$49*(1+Assumptions!$B$62*BJ33)</f>
        <v/>
      </c>
    </row>
    <row r="67">
      <c r="A67" s="4" t="inlineStr">
        <is>
          <t>SME sign-ups wanted: Ghana</t>
        </is>
      </c>
      <c r="B67" s="17" t="inlineStr">
        <is>
          <t>workspaces</t>
        </is>
      </c>
      <c r="C67" s="41">
        <f>C54*(1-Assumptions!$B$122)*Assumptions!$B$124*Assumptions!$B$49*(1+Assumptions!$B$62*C33)</f>
        <v/>
      </c>
      <c r="D67" s="41">
        <f>D54*(1-Assumptions!$B$122)*Assumptions!$B$124*Assumptions!$B$49*(1+Assumptions!$B$62*D33)</f>
        <v/>
      </c>
      <c r="E67" s="41">
        <f>E54*(1-Assumptions!$B$122)*Assumptions!$B$124*Assumptions!$B$49*(1+Assumptions!$B$62*E33)</f>
        <v/>
      </c>
      <c r="F67" s="41">
        <f>F54*(1-Assumptions!$B$122)*Assumptions!$B$124*Assumptions!$B$49*(1+Assumptions!$B$62*F33)</f>
        <v/>
      </c>
      <c r="G67" s="41">
        <f>G54*(1-Assumptions!$B$122)*Assumptions!$B$124*Assumptions!$B$49*(1+Assumptions!$B$62*G33)</f>
        <v/>
      </c>
      <c r="H67" s="41">
        <f>H54*(1-Assumptions!$B$122)*Assumptions!$B$124*Assumptions!$B$49*(1+Assumptions!$B$62*H33)</f>
        <v/>
      </c>
      <c r="I67" s="41">
        <f>I54*(1-Assumptions!$B$122)*Assumptions!$B$124*Assumptions!$B$49*(1+Assumptions!$B$62*I33)</f>
        <v/>
      </c>
      <c r="J67" s="41">
        <f>J54*(1-Assumptions!$B$122)*Assumptions!$B$124*Assumptions!$B$49*(1+Assumptions!$B$62*J33)</f>
        <v/>
      </c>
      <c r="K67" s="41">
        <f>K54*(1-Assumptions!$B$122)*Assumptions!$B$124*Assumptions!$B$49*(1+Assumptions!$B$62*K33)</f>
        <v/>
      </c>
      <c r="L67" s="41">
        <f>L54*(1-Assumptions!$B$122)*Assumptions!$B$124*Assumptions!$B$49*(1+Assumptions!$B$62*L33)</f>
        <v/>
      </c>
      <c r="M67" s="41">
        <f>M54*(1-Assumptions!$B$122)*Assumptions!$B$124*Assumptions!$B$49*(1+Assumptions!$B$62*M33)</f>
        <v/>
      </c>
      <c r="N67" s="41">
        <f>N54*(1-Assumptions!$B$122)*Assumptions!$B$124*Assumptions!$B$49*(1+Assumptions!$B$62*N33)</f>
        <v/>
      </c>
      <c r="O67" s="41">
        <f>O54*(1-Assumptions!$B$122)*Assumptions!$B$124*Assumptions!$B$49*(1+Assumptions!$B$62*O33)</f>
        <v/>
      </c>
      <c r="P67" s="41">
        <f>P54*(1-Assumptions!$B$122)*Assumptions!$B$124*Assumptions!$B$49*(1+Assumptions!$B$62*P33)</f>
        <v/>
      </c>
      <c r="Q67" s="41">
        <f>Q54*(1-Assumptions!$B$122)*Assumptions!$B$124*Assumptions!$B$49*(1+Assumptions!$B$62*Q33)</f>
        <v/>
      </c>
      <c r="R67" s="41">
        <f>R54*(1-Assumptions!$B$122)*Assumptions!$B$124*Assumptions!$B$49*(1+Assumptions!$B$62*R33)</f>
        <v/>
      </c>
      <c r="S67" s="41">
        <f>S54*(1-Assumptions!$B$122)*Assumptions!$B$124*Assumptions!$B$49*(1+Assumptions!$B$62*S33)</f>
        <v/>
      </c>
      <c r="T67" s="41">
        <f>T54*(1-Assumptions!$B$122)*Assumptions!$B$124*Assumptions!$B$49*(1+Assumptions!$B$62*T33)</f>
        <v/>
      </c>
      <c r="U67" s="41">
        <f>U54*(1-Assumptions!$B$122)*Assumptions!$B$124*Assumptions!$B$49*(1+Assumptions!$B$62*U33)</f>
        <v/>
      </c>
      <c r="V67" s="41">
        <f>V54*(1-Assumptions!$B$122)*Assumptions!$B$124*Assumptions!$B$49*(1+Assumptions!$B$62*V33)</f>
        <v/>
      </c>
      <c r="W67" s="41">
        <f>W54*(1-Assumptions!$B$122)*Assumptions!$B$124*Assumptions!$B$49*(1+Assumptions!$B$62*W33)</f>
        <v/>
      </c>
      <c r="X67" s="41">
        <f>X54*(1-Assumptions!$B$122)*Assumptions!$B$124*Assumptions!$B$49*(1+Assumptions!$B$62*X33)</f>
        <v/>
      </c>
      <c r="Y67" s="41">
        <f>Y54*(1-Assumptions!$B$122)*Assumptions!$B$124*Assumptions!$B$49*(1+Assumptions!$B$62*Y33)</f>
        <v/>
      </c>
      <c r="Z67" s="41">
        <f>Z54*(1-Assumptions!$B$122)*Assumptions!$B$124*Assumptions!$B$49*(1+Assumptions!$B$62*Z33)</f>
        <v/>
      </c>
      <c r="AA67" s="41">
        <f>AA54*(1-Assumptions!$B$122)*Assumptions!$B$124*Assumptions!$B$49*(1+Assumptions!$B$62*AA33)</f>
        <v/>
      </c>
      <c r="AB67" s="41">
        <f>AB54*(1-Assumptions!$B$122)*Assumptions!$B$124*Assumptions!$B$49*(1+Assumptions!$B$62*AB33)</f>
        <v/>
      </c>
      <c r="AC67" s="41">
        <f>AC54*(1-Assumptions!$B$122)*Assumptions!$B$124*Assumptions!$B$49*(1+Assumptions!$B$62*AC33)</f>
        <v/>
      </c>
      <c r="AD67" s="41">
        <f>AD54*(1-Assumptions!$B$122)*Assumptions!$B$124*Assumptions!$B$49*(1+Assumptions!$B$62*AD33)</f>
        <v/>
      </c>
      <c r="AE67" s="41">
        <f>AE54*(1-Assumptions!$B$122)*Assumptions!$B$124*Assumptions!$B$49*(1+Assumptions!$B$62*AE33)</f>
        <v/>
      </c>
      <c r="AF67" s="41">
        <f>AF54*(1-Assumptions!$B$122)*Assumptions!$B$124*Assumptions!$B$49*(1+Assumptions!$B$62*AF33)</f>
        <v/>
      </c>
      <c r="AG67" s="41">
        <f>AG54*(1-Assumptions!$B$122)*Assumptions!$B$124*Assumptions!$B$49*(1+Assumptions!$B$62*AG33)</f>
        <v/>
      </c>
      <c r="AH67" s="41">
        <f>AH54*(1-Assumptions!$B$122)*Assumptions!$B$124*Assumptions!$B$49*(1+Assumptions!$B$62*AH33)</f>
        <v/>
      </c>
      <c r="AI67" s="41">
        <f>AI54*(1-Assumptions!$B$122)*Assumptions!$B$124*Assumptions!$B$49*(1+Assumptions!$B$62*AI33)</f>
        <v/>
      </c>
      <c r="AJ67" s="41">
        <f>AJ54*(1-Assumptions!$B$122)*Assumptions!$B$124*Assumptions!$B$49*(1+Assumptions!$B$62*AJ33)</f>
        <v/>
      </c>
      <c r="AK67" s="41">
        <f>AK54*(1-Assumptions!$B$122)*Assumptions!$B$124*Assumptions!$B$49*(1+Assumptions!$B$62*AK33)</f>
        <v/>
      </c>
      <c r="AL67" s="41">
        <f>AL54*(1-Assumptions!$B$122)*Assumptions!$B$124*Assumptions!$B$49*(1+Assumptions!$B$62*AL33)</f>
        <v/>
      </c>
      <c r="AM67" s="41">
        <f>AM54*(1-Assumptions!$B$122)*Assumptions!$B$124*Assumptions!$B$49*(1+Assumptions!$B$62*AM33)</f>
        <v/>
      </c>
      <c r="AN67" s="41">
        <f>AN54*(1-Assumptions!$B$122)*Assumptions!$B$124*Assumptions!$B$49*(1+Assumptions!$B$62*AN33)</f>
        <v/>
      </c>
      <c r="AO67" s="41">
        <f>AO54*(1-Assumptions!$B$122)*Assumptions!$B$124*Assumptions!$B$49*(1+Assumptions!$B$62*AO33)</f>
        <v/>
      </c>
      <c r="AP67" s="41">
        <f>AP54*(1-Assumptions!$B$122)*Assumptions!$B$124*Assumptions!$B$49*(1+Assumptions!$B$62*AP33)</f>
        <v/>
      </c>
      <c r="AQ67" s="41">
        <f>AQ54*(1-Assumptions!$B$122)*Assumptions!$B$124*Assumptions!$B$49*(1+Assumptions!$B$62*AQ33)</f>
        <v/>
      </c>
      <c r="AR67" s="41">
        <f>AR54*(1-Assumptions!$B$122)*Assumptions!$B$124*Assumptions!$B$49*(1+Assumptions!$B$62*AR33)</f>
        <v/>
      </c>
      <c r="AS67" s="41">
        <f>AS54*(1-Assumptions!$B$122)*Assumptions!$B$124*Assumptions!$B$49*(1+Assumptions!$B$62*AS33)</f>
        <v/>
      </c>
      <c r="AT67" s="41">
        <f>AT54*(1-Assumptions!$B$122)*Assumptions!$B$124*Assumptions!$B$49*(1+Assumptions!$B$62*AT33)</f>
        <v/>
      </c>
      <c r="AU67" s="41">
        <f>AU54*(1-Assumptions!$B$122)*Assumptions!$B$124*Assumptions!$B$49*(1+Assumptions!$B$62*AU33)</f>
        <v/>
      </c>
      <c r="AV67" s="41">
        <f>AV54*(1-Assumptions!$B$122)*Assumptions!$B$124*Assumptions!$B$49*(1+Assumptions!$B$62*AV33)</f>
        <v/>
      </c>
      <c r="AW67" s="41">
        <f>AW54*(1-Assumptions!$B$122)*Assumptions!$B$124*Assumptions!$B$49*(1+Assumptions!$B$62*AW33)</f>
        <v/>
      </c>
      <c r="AX67" s="41">
        <f>AX54*(1-Assumptions!$B$122)*Assumptions!$B$124*Assumptions!$B$49*(1+Assumptions!$B$62*AX33)</f>
        <v/>
      </c>
      <c r="AY67" s="41">
        <f>AY54*(1-Assumptions!$B$122)*Assumptions!$B$124*Assumptions!$B$49*(1+Assumptions!$B$62*AY33)</f>
        <v/>
      </c>
      <c r="AZ67" s="41">
        <f>AZ54*(1-Assumptions!$B$122)*Assumptions!$B$124*Assumptions!$B$49*(1+Assumptions!$B$62*AZ33)</f>
        <v/>
      </c>
      <c r="BA67" s="41">
        <f>BA54*(1-Assumptions!$B$122)*Assumptions!$B$124*Assumptions!$B$49*(1+Assumptions!$B$62*BA33)</f>
        <v/>
      </c>
      <c r="BB67" s="41">
        <f>BB54*(1-Assumptions!$B$122)*Assumptions!$B$124*Assumptions!$B$49*(1+Assumptions!$B$62*BB33)</f>
        <v/>
      </c>
      <c r="BC67" s="41">
        <f>BC54*(1-Assumptions!$B$122)*Assumptions!$B$124*Assumptions!$B$49*(1+Assumptions!$B$62*BC33)</f>
        <v/>
      </c>
      <c r="BD67" s="41">
        <f>BD54*(1-Assumptions!$B$122)*Assumptions!$B$124*Assumptions!$B$49*(1+Assumptions!$B$62*BD33)</f>
        <v/>
      </c>
      <c r="BE67" s="41">
        <f>BE54*(1-Assumptions!$B$122)*Assumptions!$B$124*Assumptions!$B$49*(1+Assumptions!$B$62*BE33)</f>
        <v/>
      </c>
      <c r="BF67" s="41">
        <f>BF54*(1-Assumptions!$B$122)*Assumptions!$B$124*Assumptions!$B$49*(1+Assumptions!$B$62*BF33)</f>
        <v/>
      </c>
      <c r="BG67" s="41">
        <f>BG54*(1-Assumptions!$B$122)*Assumptions!$B$124*Assumptions!$B$49*(1+Assumptions!$B$62*BG33)</f>
        <v/>
      </c>
      <c r="BH67" s="41">
        <f>BH54*(1-Assumptions!$B$122)*Assumptions!$B$124*Assumptions!$B$49*(1+Assumptions!$B$62*BH33)</f>
        <v/>
      </c>
      <c r="BI67" s="41">
        <f>BI54*(1-Assumptions!$B$122)*Assumptions!$B$124*Assumptions!$B$49*(1+Assumptions!$B$62*BI33)</f>
        <v/>
      </c>
      <c r="BJ67" s="41">
        <f>BJ54*(1-Assumptions!$B$122)*Assumptions!$B$124*Assumptions!$B$49*(1+Assumptions!$B$62*BJ33)</f>
        <v/>
      </c>
    </row>
    <row r="68">
      <c r="A68" s="4" t="inlineStr">
        <is>
          <t>Solo sign-ups wanted: Rest of Africa (USD)</t>
        </is>
      </c>
      <c r="B68" s="17" t="inlineStr">
        <is>
          <t>workspaces</t>
        </is>
      </c>
      <c r="C68" s="41">
        <f>C55*Assumptions!$B$122*Assumptions!$B$123*Assumptions!$B$49</f>
        <v/>
      </c>
      <c r="D68" s="41">
        <f>D55*Assumptions!$B$122*Assumptions!$B$123*Assumptions!$B$49</f>
        <v/>
      </c>
      <c r="E68" s="41">
        <f>E55*Assumptions!$B$122*Assumptions!$B$123*Assumptions!$B$49</f>
        <v/>
      </c>
      <c r="F68" s="41">
        <f>F55*Assumptions!$B$122*Assumptions!$B$123*Assumptions!$B$49</f>
        <v/>
      </c>
      <c r="G68" s="41">
        <f>G55*Assumptions!$B$122*Assumptions!$B$123*Assumptions!$B$49</f>
        <v/>
      </c>
      <c r="H68" s="41">
        <f>H55*Assumptions!$B$122*Assumptions!$B$123*Assumptions!$B$49</f>
        <v/>
      </c>
      <c r="I68" s="41">
        <f>I55*Assumptions!$B$122*Assumptions!$B$123*Assumptions!$B$49</f>
        <v/>
      </c>
      <c r="J68" s="41">
        <f>J55*Assumptions!$B$122*Assumptions!$B$123*Assumptions!$B$49</f>
        <v/>
      </c>
      <c r="K68" s="41">
        <f>K55*Assumptions!$B$122*Assumptions!$B$123*Assumptions!$B$49</f>
        <v/>
      </c>
      <c r="L68" s="41">
        <f>L55*Assumptions!$B$122*Assumptions!$B$123*Assumptions!$B$49</f>
        <v/>
      </c>
      <c r="M68" s="41">
        <f>M55*Assumptions!$B$122*Assumptions!$B$123*Assumptions!$B$49</f>
        <v/>
      </c>
      <c r="N68" s="41">
        <f>N55*Assumptions!$B$122*Assumptions!$B$123*Assumptions!$B$49</f>
        <v/>
      </c>
      <c r="O68" s="41">
        <f>O55*Assumptions!$B$122*Assumptions!$B$123*Assumptions!$B$49</f>
        <v/>
      </c>
      <c r="P68" s="41">
        <f>P55*Assumptions!$B$122*Assumptions!$B$123*Assumptions!$B$49</f>
        <v/>
      </c>
      <c r="Q68" s="41">
        <f>Q55*Assumptions!$B$122*Assumptions!$B$123*Assumptions!$B$49</f>
        <v/>
      </c>
      <c r="R68" s="41">
        <f>R55*Assumptions!$B$122*Assumptions!$B$123*Assumptions!$B$49</f>
        <v/>
      </c>
      <c r="S68" s="41">
        <f>S55*Assumptions!$B$122*Assumptions!$B$123*Assumptions!$B$49</f>
        <v/>
      </c>
      <c r="T68" s="41">
        <f>T55*Assumptions!$B$122*Assumptions!$B$123*Assumptions!$B$49</f>
        <v/>
      </c>
      <c r="U68" s="41">
        <f>U55*Assumptions!$B$122*Assumptions!$B$123*Assumptions!$B$49</f>
        <v/>
      </c>
      <c r="V68" s="41">
        <f>V55*Assumptions!$B$122*Assumptions!$B$123*Assumptions!$B$49</f>
        <v/>
      </c>
      <c r="W68" s="41">
        <f>W55*Assumptions!$B$122*Assumptions!$B$123*Assumptions!$B$49</f>
        <v/>
      </c>
      <c r="X68" s="41">
        <f>X55*Assumptions!$B$122*Assumptions!$B$123*Assumptions!$B$49</f>
        <v/>
      </c>
      <c r="Y68" s="41">
        <f>Y55*Assumptions!$B$122*Assumptions!$B$123*Assumptions!$B$49</f>
        <v/>
      </c>
      <c r="Z68" s="41">
        <f>Z55*Assumptions!$B$122*Assumptions!$B$123*Assumptions!$B$49</f>
        <v/>
      </c>
      <c r="AA68" s="41">
        <f>AA55*Assumptions!$B$122*Assumptions!$B$123*Assumptions!$B$49</f>
        <v/>
      </c>
      <c r="AB68" s="41">
        <f>AB55*Assumptions!$B$122*Assumptions!$B$123*Assumptions!$B$49</f>
        <v/>
      </c>
      <c r="AC68" s="41">
        <f>AC55*Assumptions!$B$122*Assumptions!$B$123*Assumptions!$B$49</f>
        <v/>
      </c>
      <c r="AD68" s="41">
        <f>AD55*Assumptions!$B$122*Assumptions!$B$123*Assumptions!$B$49</f>
        <v/>
      </c>
      <c r="AE68" s="41">
        <f>AE55*Assumptions!$B$122*Assumptions!$B$123*Assumptions!$B$49</f>
        <v/>
      </c>
      <c r="AF68" s="41">
        <f>AF55*Assumptions!$B$122*Assumptions!$B$123*Assumptions!$B$49</f>
        <v/>
      </c>
      <c r="AG68" s="41">
        <f>AG55*Assumptions!$B$122*Assumptions!$B$123*Assumptions!$B$49</f>
        <v/>
      </c>
      <c r="AH68" s="41">
        <f>AH55*Assumptions!$B$122*Assumptions!$B$123*Assumptions!$B$49</f>
        <v/>
      </c>
      <c r="AI68" s="41">
        <f>AI55*Assumptions!$B$122*Assumptions!$B$123*Assumptions!$B$49</f>
        <v/>
      </c>
      <c r="AJ68" s="41">
        <f>AJ55*Assumptions!$B$122*Assumptions!$B$123*Assumptions!$B$49</f>
        <v/>
      </c>
      <c r="AK68" s="41">
        <f>AK55*Assumptions!$B$122*Assumptions!$B$123*Assumptions!$B$49</f>
        <v/>
      </c>
      <c r="AL68" s="41">
        <f>AL55*Assumptions!$B$122*Assumptions!$B$123*Assumptions!$B$49</f>
        <v/>
      </c>
      <c r="AM68" s="41">
        <f>AM55*Assumptions!$B$122*Assumptions!$B$123*Assumptions!$B$49</f>
        <v/>
      </c>
      <c r="AN68" s="41">
        <f>AN55*Assumptions!$B$122*Assumptions!$B$123*Assumptions!$B$49</f>
        <v/>
      </c>
      <c r="AO68" s="41">
        <f>AO55*Assumptions!$B$122*Assumptions!$B$123*Assumptions!$B$49</f>
        <v/>
      </c>
      <c r="AP68" s="41">
        <f>AP55*Assumptions!$B$122*Assumptions!$B$123*Assumptions!$B$49</f>
        <v/>
      </c>
      <c r="AQ68" s="41">
        <f>AQ55*Assumptions!$B$122*Assumptions!$B$123*Assumptions!$B$49</f>
        <v/>
      </c>
      <c r="AR68" s="41">
        <f>AR55*Assumptions!$B$122*Assumptions!$B$123*Assumptions!$B$49</f>
        <v/>
      </c>
      <c r="AS68" s="41">
        <f>AS55*Assumptions!$B$122*Assumptions!$B$123*Assumptions!$B$49</f>
        <v/>
      </c>
      <c r="AT68" s="41">
        <f>AT55*Assumptions!$B$122*Assumptions!$B$123*Assumptions!$B$49</f>
        <v/>
      </c>
      <c r="AU68" s="41">
        <f>AU55*Assumptions!$B$122*Assumptions!$B$123*Assumptions!$B$49</f>
        <v/>
      </c>
      <c r="AV68" s="41">
        <f>AV55*Assumptions!$B$122*Assumptions!$B$123*Assumptions!$B$49</f>
        <v/>
      </c>
      <c r="AW68" s="41">
        <f>AW55*Assumptions!$B$122*Assumptions!$B$123*Assumptions!$B$49</f>
        <v/>
      </c>
      <c r="AX68" s="41">
        <f>AX55*Assumptions!$B$122*Assumptions!$B$123*Assumptions!$B$49</f>
        <v/>
      </c>
      <c r="AY68" s="41">
        <f>AY55*Assumptions!$B$122*Assumptions!$B$123*Assumptions!$B$49</f>
        <v/>
      </c>
      <c r="AZ68" s="41">
        <f>AZ55*Assumptions!$B$122*Assumptions!$B$123*Assumptions!$B$49</f>
        <v/>
      </c>
      <c r="BA68" s="41">
        <f>BA55*Assumptions!$B$122*Assumptions!$B$123*Assumptions!$B$49</f>
        <v/>
      </c>
      <c r="BB68" s="41">
        <f>BB55*Assumptions!$B$122*Assumptions!$B$123*Assumptions!$B$49</f>
        <v/>
      </c>
      <c r="BC68" s="41">
        <f>BC55*Assumptions!$B$122*Assumptions!$B$123*Assumptions!$B$49</f>
        <v/>
      </c>
      <c r="BD68" s="41">
        <f>BD55*Assumptions!$B$122*Assumptions!$B$123*Assumptions!$B$49</f>
        <v/>
      </c>
      <c r="BE68" s="41">
        <f>BE55*Assumptions!$B$122*Assumptions!$B$123*Assumptions!$B$49</f>
        <v/>
      </c>
      <c r="BF68" s="41">
        <f>BF55*Assumptions!$B$122*Assumptions!$B$123*Assumptions!$B$49</f>
        <v/>
      </c>
      <c r="BG68" s="41">
        <f>BG55*Assumptions!$B$122*Assumptions!$B$123*Assumptions!$B$49</f>
        <v/>
      </c>
      <c r="BH68" s="41">
        <f>BH55*Assumptions!$B$122*Assumptions!$B$123*Assumptions!$B$49</f>
        <v/>
      </c>
      <c r="BI68" s="41">
        <f>BI55*Assumptions!$B$122*Assumptions!$B$123*Assumptions!$B$49</f>
        <v/>
      </c>
      <c r="BJ68" s="41">
        <f>BJ55*Assumptions!$B$122*Assumptions!$B$123*Assumptions!$B$49</f>
        <v/>
      </c>
    </row>
    <row r="69">
      <c r="A69" s="4" t="inlineStr">
        <is>
          <t>SME sign-ups wanted: Rest of Africa (USD)</t>
        </is>
      </c>
      <c r="B69" s="17" t="inlineStr">
        <is>
          <t>workspaces</t>
        </is>
      </c>
      <c r="C69" s="41">
        <f>C55*(1-Assumptions!$B$122)*Assumptions!$B$124*Assumptions!$B$49</f>
        <v/>
      </c>
      <c r="D69" s="41">
        <f>D55*(1-Assumptions!$B$122)*Assumptions!$B$124*Assumptions!$B$49</f>
        <v/>
      </c>
      <c r="E69" s="41">
        <f>E55*(1-Assumptions!$B$122)*Assumptions!$B$124*Assumptions!$B$49</f>
        <v/>
      </c>
      <c r="F69" s="41">
        <f>F55*(1-Assumptions!$B$122)*Assumptions!$B$124*Assumptions!$B$49</f>
        <v/>
      </c>
      <c r="G69" s="41">
        <f>G55*(1-Assumptions!$B$122)*Assumptions!$B$124*Assumptions!$B$49</f>
        <v/>
      </c>
      <c r="H69" s="41">
        <f>H55*(1-Assumptions!$B$122)*Assumptions!$B$124*Assumptions!$B$49</f>
        <v/>
      </c>
      <c r="I69" s="41">
        <f>I55*(1-Assumptions!$B$122)*Assumptions!$B$124*Assumptions!$B$49</f>
        <v/>
      </c>
      <c r="J69" s="41">
        <f>J55*(1-Assumptions!$B$122)*Assumptions!$B$124*Assumptions!$B$49</f>
        <v/>
      </c>
      <c r="K69" s="41">
        <f>K55*(1-Assumptions!$B$122)*Assumptions!$B$124*Assumptions!$B$49</f>
        <v/>
      </c>
      <c r="L69" s="41">
        <f>L55*(1-Assumptions!$B$122)*Assumptions!$B$124*Assumptions!$B$49</f>
        <v/>
      </c>
      <c r="M69" s="41">
        <f>M55*(1-Assumptions!$B$122)*Assumptions!$B$124*Assumptions!$B$49</f>
        <v/>
      </c>
      <c r="N69" s="41">
        <f>N55*(1-Assumptions!$B$122)*Assumptions!$B$124*Assumptions!$B$49</f>
        <v/>
      </c>
      <c r="O69" s="41">
        <f>O55*(1-Assumptions!$B$122)*Assumptions!$B$124*Assumptions!$B$49</f>
        <v/>
      </c>
      <c r="P69" s="41">
        <f>P55*(1-Assumptions!$B$122)*Assumptions!$B$124*Assumptions!$B$49</f>
        <v/>
      </c>
      <c r="Q69" s="41">
        <f>Q55*(1-Assumptions!$B$122)*Assumptions!$B$124*Assumptions!$B$49</f>
        <v/>
      </c>
      <c r="R69" s="41">
        <f>R55*(1-Assumptions!$B$122)*Assumptions!$B$124*Assumptions!$B$49</f>
        <v/>
      </c>
      <c r="S69" s="41">
        <f>S55*(1-Assumptions!$B$122)*Assumptions!$B$124*Assumptions!$B$49</f>
        <v/>
      </c>
      <c r="T69" s="41">
        <f>T55*(1-Assumptions!$B$122)*Assumptions!$B$124*Assumptions!$B$49</f>
        <v/>
      </c>
      <c r="U69" s="41">
        <f>U55*(1-Assumptions!$B$122)*Assumptions!$B$124*Assumptions!$B$49</f>
        <v/>
      </c>
      <c r="V69" s="41">
        <f>V55*(1-Assumptions!$B$122)*Assumptions!$B$124*Assumptions!$B$49</f>
        <v/>
      </c>
      <c r="W69" s="41">
        <f>W55*(1-Assumptions!$B$122)*Assumptions!$B$124*Assumptions!$B$49</f>
        <v/>
      </c>
      <c r="X69" s="41">
        <f>X55*(1-Assumptions!$B$122)*Assumptions!$B$124*Assumptions!$B$49</f>
        <v/>
      </c>
      <c r="Y69" s="41">
        <f>Y55*(1-Assumptions!$B$122)*Assumptions!$B$124*Assumptions!$B$49</f>
        <v/>
      </c>
      <c r="Z69" s="41">
        <f>Z55*(1-Assumptions!$B$122)*Assumptions!$B$124*Assumptions!$B$49</f>
        <v/>
      </c>
      <c r="AA69" s="41">
        <f>AA55*(1-Assumptions!$B$122)*Assumptions!$B$124*Assumptions!$B$49</f>
        <v/>
      </c>
      <c r="AB69" s="41">
        <f>AB55*(1-Assumptions!$B$122)*Assumptions!$B$124*Assumptions!$B$49</f>
        <v/>
      </c>
      <c r="AC69" s="41">
        <f>AC55*(1-Assumptions!$B$122)*Assumptions!$B$124*Assumptions!$B$49</f>
        <v/>
      </c>
      <c r="AD69" s="41">
        <f>AD55*(1-Assumptions!$B$122)*Assumptions!$B$124*Assumptions!$B$49</f>
        <v/>
      </c>
      <c r="AE69" s="41">
        <f>AE55*(1-Assumptions!$B$122)*Assumptions!$B$124*Assumptions!$B$49</f>
        <v/>
      </c>
      <c r="AF69" s="41">
        <f>AF55*(1-Assumptions!$B$122)*Assumptions!$B$124*Assumptions!$B$49</f>
        <v/>
      </c>
      <c r="AG69" s="41">
        <f>AG55*(1-Assumptions!$B$122)*Assumptions!$B$124*Assumptions!$B$49</f>
        <v/>
      </c>
      <c r="AH69" s="41">
        <f>AH55*(1-Assumptions!$B$122)*Assumptions!$B$124*Assumptions!$B$49</f>
        <v/>
      </c>
      <c r="AI69" s="41">
        <f>AI55*(1-Assumptions!$B$122)*Assumptions!$B$124*Assumptions!$B$49</f>
        <v/>
      </c>
      <c r="AJ69" s="41">
        <f>AJ55*(1-Assumptions!$B$122)*Assumptions!$B$124*Assumptions!$B$49</f>
        <v/>
      </c>
      <c r="AK69" s="41">
        <f>AK55*(1-Assumptions!$B$122)*Assumptions!$B$124*Assumptions!$B$49</f>
        <v/>
      </c>
      <c r="AL69" s="41">
        <f>AL55*(1-Assumptions!$B$122)*Assumptions!$B$124*Assumptions!$B$49</f>
        <v/>
      </c>
      <c r="AM69" s="41">
        <f>AM55*(1-Assumptions!$B$122)*Assumptions!$B$124*Assumptions!$B$49</f>
        <v/>
      </c>
      <c r="AN69" s="41">
        <f>AN55*(1-Assumptions!$B$122)*Assumptions!$B$124*Assumptions!$B$49</f>
        <v/>
      </c>
      <c r="AO69" s="41">
        <f>AO55*(1-Assumptions!$B$122)*Assumptions!$B$124*Assumptions!$B$49</f>
        <v/>
      </c>
      <c r="AP69" s="41">
        <f>AP55*(1-Assumptions!$B$122)*Assumptions!$B$124*Assumptions!$B$49</f>
        <v/>
      </c>
      <c r="AQ69" s="41">
        <f>AQ55*(1-Assumptions!$B$122)*Assumptions!$B$124*Assumptions!$B$49</f>
        <v/>
      </c>
      <c r="AR69" s="41">
        <f>AR55*(1-Assumptions!$B$122)*Assumptions!$B$124*Assumptions!$B$49</f>
        <v/>
      </c>
      <c r="AS69" s="41">
        <f>AS55*(1-Assumptions!$B$122)*Assumptions!$B$124*Assumptions!$B$49</f>
        <v/>
      </c>
      <c r="AT69" s="41">
        <f>AT55*(1-Assumptions!$B$122)*Assumptions!$B$124*Assumptions!$B$49</f>
        <v/>
      </c>
      <c r="AU69" s="41">
        <f>AU55*(1-Assumptions!$B$122)*Assumptions!$B$124*Assumptions!$B$49</f>
        <v/>
      </c>
      <c r="AV69" s="41">
        <f>AV55*(1-Assumptions!$B$122)*Assumptions!$B$124*Assumptions!$B$49</f>
        <v/>
      </c>
      <c r="AW69" s="41">
        <f>AW55*(1-Assumptions!$B$122)*Assumptions!$B$124*Assumptions!$B$49</f>
        <v/>
      </c>
      <c r="AX69" s="41">
        <f>AX55*(1-Assumptions!$B$122)*Assumptions!$B$124*Assumptions!$B$49</f>
        <v/>
      </c>
      <c r="AY69" s="41">
        <f>AY55*(1-Assumptions!$B$122)*Assumptions!$B$124*Assumptions!$B$49</f>
        <v/>
      </c>
      <c r="AZ69" s="41">
        <f>AZ55*(1-Assumptions!$B$122)*Assumptions!$B$124*Assumptions!$B$49</f>
        <v/>
      </c>
      <c r="BA69" s="41">
        <f>BA55*(1-Assumptions!$B$122)*Assumptions!$B$124*Assumptions!$B$49</f>
        <v/>
      </c>
      <c r="BB69" s="41">
        <f>BB55*(1-Assumptions!$B$122)*Assumptions!$B$124*Assumptions!$B$49</f>
        <v/>
      </c>
      <c r="BC69" s="41">
        <f>BC55*(1-Assumptions!$B$122)*Assumptions!$B$124*Assumptions!$B$49</f>
        <v/>
      </c>
      <c r="BD69" s="41">
        <f>BD55*(1-Assumptions!$B$122)*Assumptions!$B$124*Assumptions!$B$49</f>
        <v/>
      </c>
      <c r="BE69" s="41">
        <f>BE55*(1-Assumptions!$B$122)*Assumptions!$B$124*Assumptions!$B$49</f>
        <v/>
      </c>
      <c r="BF69" s="41">
        <f>BF55*(1-Assumptions!$B$122)*Assumptions!$B$124*Assumptions!$B$49</f>
        <v/>
      </c>
      <c r="BG69" s="41">
        <f>BG55*(1-Assumptions!$B$122)*Assumptions!$B$124*Assumptions!$B$49</f>
        <v/>
      </c>
      <c r="BH69" s="41">
        <f>BH55*(1-Assumptions!$B$122)*Assumptions!$B$124*Assumptions!$B$49</f>
        <v/>
      </c>
      <c r="BI69" s="41">
        <f>BI55*(1-Assumptions!$B$122)*Assumptions!$B$124*Assumptions!$B$49</f>
        <v/>
      </c>
      <c r="BJ69" s="41">
        <f>BJ55*(1-Assumptions!$B$122)*Assumptions!$B$124*Assumptions!$B$49</f>
        <v/>
      </c>
    </row>
    <row r="70">
      <c r="A70" s="4" t="inlineStr">
        <is>
          <t>Solo sign-ups wanted: Botswana &amp; Namibia</t>
        </is>
      </c>
      <c r="B70" s="17" t="inlineStr">
        <is>
          <t>workspaces</t>
        </is>
      </c>
      <c r="C70" s="41">
        <f>C56*Assumptions!$B$122*Assumptions!$B$123*Assumptions!$B$49</f>
        <v/>
      </c>
      <c r="D70" s="41">
        <f>D56*Assumptions!$B$122*Assumptions!$B$123*Assumptions!$B$49</f>
        <v/>
      </c>
      <c r="E70" s="41">
        <f>E56*Assumptions!$B$122*Assumptions!$B$123*Assumptions!$B$49</f>
        <v/>
      </c>
      <c r="F70" s="41">
        <f>F56*Assumptions!$B$122*Assumptions!$B$123*Assumptions!$B$49</f>
        <v/>
      </c>
      <c r="G70" s="41">
        <f>G56*Assumptions!$B$122*Assumptions!$B$123*Assumptions!$B$49</f>
        <v/>
      </c>
      <c r="H70" s="41">
        <f>H56*Assumptions!$B$122*Assumptions!$B$123*Assumptions!$B$49</f>
        <v/>
      </c>
      <c r="I70" s="41">
        <f>I56*Assumptions!$B$122*Assumptions!$B$123*Assumptions!$B$49</f>
        <v/>
      </c>
      <c r="J70" s="41">
        <f>J56*Assumptions!$B$122*Assumptions!$B$123*Assumptions!$B$49</f>
        <v/>
      </c>
      <c r="K70" s="41">
        <f>K56*Assumptions!$B$122*Assumptions!$B$123*Assumptions!$B$49</f>
        <v/>
      </c>
      <c r="L70" s="41">
        <f>L56*Assumptions!$B$122*Assumptions!$B$123*Assumptions!$B$49</f>
        <v/>
      </c>
      <c r="M70" s="41">
        <f>M56*Assumptions!$B$122*Assumptions!$B$123*Assumptions!$B$49</f>
        <v/>
      </c>
      <c r="N70" s="41">
        <f>N56*Assumptions!$B$122*Assumptions!$B$123*Assumptions!$B$49</f>
        <v/>
      </c>
      <c r="O70" s="41">
        <f>O56*Assumptions!$B$122*Assumptions!$B$123*Assumptions!$B$49</f>
        <v/>
      </c>
      <c r="P70" s="41">
        <f>P56*Assumptions!$B$122*Assumptions!$B$123*Assumptions!$B$49</f>
        <v/>
      </c>
      <c r="Q70" s="41">
        <f>Q56*Assumptions!$B$122*Assumptions!$B$123*Assumptions!$B$49</f>
        <v/>
      </c>
      <c r="R70" s="41">
        <f>R56*Assumptions!$B$122*Assumptions!$B$123*Assumptions!$B$49</f>
        <v/>
      </c>
      <c r="S70" s="41">
        <f>S56*Assumptions!$B$122*Assumptions!$B$123*Assumptions!$B$49</f>
        <v/>
      </c>
      <c r="T70" s="41">
        <f>T56*Assumptions!$B$122*Assumptions!$B$123*Assumptions!$B$49</f>
        <v/>
      </c>
      <c r="U70" s="41">
        <f>U56*Assumptions!$B$122*Assumptions!$B$123*Assumptions!$B$49</f>
        <v/>
      </c>
      <c r="V70" s="41">
        <f>V56*Assumptions!$B$122*Assumptions!$B$123*Assumptions!$B$49</f>
        <v/>
      </c>
      <c r="W70" s="41">
        <f>W56*Assumptions!$B$122*Assumptions!$B$123*Assumptions!$B$49</f>
        <v/>
      </c>
      <c r="X70" s="41">
        <f>X56*Assumptions!$B$122*Assumptions!$B$123*Assumptions!$B$49</f>
        <v/>
      </c>
      <c r="Y70" s="41">
        <f>Y56*Assumptions!$B$122*Assumptions!$B$123*Assumptions!$B$49</f>
        <v/>
      </c>
      <c r="Z70" s="41">
        <f>Z56*Assumptions!$B$122*Assumptions!$B$123*Assumptions!$B$49</f>
        <v/>
      </c>
      <c r="AA70" s="41">
        <f>AA56*Assumptions!$B$122*Assumptions!$B$123*Assumptions!$B$49</f>
        <v/>
      </c>
      <c r="AB70" s="41">
        <f>AB56*Assumptions!$B$122*Assumptions!$B$123*Assumptions!$B$49</f>
        <v/>
      </c>
      <c r="AC70" s="41">
        <f>AC56*Assumptions!$B$122*Assumptions!$B$123*Assumptions!$B$49</f>
        <v/>
      </c>
      <c r="AD70" s="41">
        <f>AD56*Assumptions!$B$122*Assumptions!$B$123*Assumptions!$B$49</f>
        <v/>
      </c>
      <c r="AE70" s="41">
        <f>AE56*Assumptions!$B$122*Assumptions!$B$123*Assumptions!$B$49</f>
        <v/>
      </c>
      <c r="AF70" s="41">
        <f>AF56*Assumptions!$B$122*Assumptions!$B$123*Assumptions!$B$49</f>
        <v/>
      </c>
      <c r="AG70" s="41">
        <f>AG56*Assumptions!$B$122*Assumptions!$B$123*Assumptions!$B$49</f>
        <v/>
      </c>
      <c r="AH70" s="41">
        <f>AH56*Assumptions!$B$122*Assumptions!$B$123*Assumptions!$B$49</f>
        <v/>
      </c>
      <c r="AI70" s="41">
        <f>AI56*Assumptions!$B$122*Assumptions!$B$123*Assumptions!$B$49</f>
        <v/>
      </c>
      <c r="AJ70" s="41">
        <f>AJ56*Assumptions!$B$122*Assumptions!$B$123*Assumptions!$B$49</f>
        <v/>
      </c>
      <c r="AK70" s="41">
        <f>AK56*Assumptions!$B$122*Assumptions!$B$123*Assumptions!$B$49</f>
        <v/>
      </c>
      <c r="AL70" s="41">
        <f>AL56*Assumptions!$B$122*Assumptions!$B$123*Assumptions!$B$49</f>
        <v/>
      </c>
      <c r="AM70" s="41">
        <f>AM56*Assumptions!$B$122*Assumptions!$B$123*Assumptions!$B$49</f>
        <v/>
      </c>
      <c r="AN70" s="41">
        <f>AN56*Assumptions!$B$122*Assumptions!$B$123*Assumptions!$B$49</f>
        <v/>
      </c>
      <c r="AO70" s="41">
        <f>AO56*Assumptions!$B$122*Assumptions!$B$123*Assumptions!$B$49</f>
        <v/>
      </c>
      <c r="AP70" s="41">
        <f>AP56*Assumptions!$B$122*Assumptions!$B$123*Assumptions!$B$49</f>
        <v/>
      </c>
      <c r="AQ70" s="41">
        <f>AQ56*Assumptions!$B$122*Assumptions!$B$123*Assumptions!$B$49</f>
        <v/>
      </c>
      <c r="AR70" s="41">
        <f>AR56*Assumptions!$B$122*Assumptions!$B$123*Assumptions!$B$49</f>
        <v/>
      </c>
      <c r="AS70" s="41">
        <f>AS56*Assumptions!$B$122*Assumptions!$B$123*Assumptions!$B$49</f>
        <v/>
      </c>
      <c r="AT70" s="41">
        <f>AT56*Assumptions!$B$122*Assumptions!$B$123*Assumptions!$B$49</f>
        <v/>
      </c>
      <c r="AU70" s="41">
        <f>AU56*Assumptions!$B$122*Assumptions!$B$123*Assumptions!$B$49</f>
        <v/>
      </c>
      <c r="AV70" s="41">
        <f>AV56*Assumptions!$B$122*Assumptions!$B$123*Assumptions!$B$49</f>
        <v/>
      </c>
      <c r="AW70" s="41">
        <f>AW56*Assumptions!$B$122*Assumptions!$B$123*Assumptions!$B$49</f>
        <v/>
      </c>
      <c r="AX70" s="41">
        <f>AX56*Assumptions!$B$122*Assumptions!$B$123*Assumptions!$B$49</f>
        <v/>
      </c>
      <c r="AY70" s="41">
        <f>AY56*Assumptions!$B$122*Assumptions!$B$123*Assumptions!$B$49</f>
        <v/>
      </c>
      <c r="AZ70" s="41">
        <f>AZ56*Assumptions!$B$122*Assumptions!$B$123*Assumptions!$B$49</f>
        <v/>
      </c>
      <c r="BA70" s="41">
        <f>BA56*Assumptions!$B$122*Assumptions!$B$123*Assumptions!$B$49</f>
        <v/>
      </c>
      <c r="BB70" s="41">
        <f>BB56*Assumptions!$B$122*Assumptions!$B$123*Assumptions!$B$49</f>
        <v/>
      </c>
      <c r="BC70" s="41">
        <f>BC56*Assumptions!$B$122*Assumptions!$B$123*Assumptions!$B$49</f>
        <v/>
      </c>
      <c r="BD70" s="41">
        <f>BD56*Assumptions!$B$122*Assumptions!$B$123*Assumptions!$B$49</f>
        <v/>
      </c>
      <c r="BE70" s="41">
        <f>BE56*Assumptions!$B$122*Assumptions!$B$123*Assumptions!$B$49</f>
        <v/>
      </c>
      <c r="BF70" s="41">
        <f>BF56*Assumptions!$B$122*Assumptions!$B$123*Assumptions!$B$49</f>
        <v/>
      </c>
      <c r="BG70" s="41">
        <f>BG56*Assumptions!$B$122*Assumptions!$B$123*Assumptions!$B$49</f>
        <v/>
      </c>
      <c r="BH70" s="41">
        <f>BH56*Assumptions!$B$122*Assumptions!$B$123*Assumptions!$B$49</f>
        <v/>
      </c>
      <c r="BI70" s="41">
        <f>BI56*Assumptions!$B$122*Assumptions!$B$123*Assumptions!$B$49</f>
        <v/>
      </c>
      <c r="BJ70" s="41">
        <f>BJ56*Assumptions!$B$122*Assumptions!$B$123*Assumptions!$B$49</f>
        <v/>
      </c>
    </row>
    <row r="71">
      <c r="A71" s="4" t="inlineStr">
        <is>
          <t>SME sign-ups wanted: Botswana &amp; Namibia</t>
        </is>
      </c>
      <c r="B71" s="17" t="inlineStr">
        <is>
          <t>workspaces</t>
        </is>
      </c>
      <c r="C71" s="41">
        <f>C56*(1-Assumptions!$B$122)*Assumptions!$B$124*Assumptions!$B$49</f>
        <v/>
      </c>
      <c r="D71" s="41">
        <f>D56*(1-Assumptions!$B$122)*Assumptions!$B$124*Assumptions!$B$49</f>
        <v/>
      </c>
      <c r="E71" s="41">
        <f>E56*(1-Assumptions!$B$122)*Assumptions!$B$124*Assumptions!$B$49</f>
        <v/>
      </c>
      <c r="F71" s="41">
        <f>F56*(1-Assumptions!$B$122)*Assumptions!$B$124*Assumptions!$B$49</f>
        <v/>
      </c>
      <c r="G71" s="41">
        <f>G56*(1-Assumptions!$B$122)*Assumptions!$B$124*Assumptions!$B$49</f>
        <v/>
      </c>
      <c r="H71" s="41">
        <f>H56*(1-Assumptions!$B$122)*Assumptions!$B$124*Assumptions!$B$49</f>
        <v/>
      </c>
      <c r="I71" s="41">
        <f>I56*(1-Assumptions!$B$122)*Assumptions!$B$124*Assumptions!$B$49</f>
        <v/>
      </c>
      <c r="J71" s="41">
        <f>J56*(1-Assumptions!$B$122)*Assumptions!$B$124*Assumptions!$B$49</f>
        <v/>
      </c>
      <c r="K71" s="41">
        <f>K56*(1-Assumptions!$B$122)*Assumptions!$B$124*Assumptions!$B$49</f>
        <v/>
      </c>
      <c r="L71" s="41">
        <f>L56*(1-Assumptions!$B$122)*Assumptions!$B$124*Assumptions!$B$49</f>
        <v/>
      </c>
      <c r="M71" s="41">
        <f>M56*(1-Assumptions!$B$122)*Assumptions!$B$124*Assumptions!$B$49</f>
        <v/>
      </c>
      <c r="N71" s="41">
        <f>N56*(1-Assumptions!$B$122)*Assumptions!$B$124*Assumptions!$B$49</f>
        <v/>
      </c>
      <c r="O71" s="41">
        <f>O56*(1-Assumptions!$B$122)*Assumptions!$B$124*Assumptions!$B$49</f>
        <v/>
      </c>
      <c r="P71" s="41">
        <f>P56*(1-Assumptions!$B$122)*Assumptions!$B$124*Assumptions!$B$49</f>
        <v/>
      </c>
      <c r="Q71" s="41">
        <f>Q56*(1-Assumptions!$B$122)*Assumptions!$B$124*Assumptions!$B$49</f>
        <v/>
      </c>
      <c r="R71" s="41">
        <f>R56*(1-Assumptions!$B$122)*Assumptions!$B$124*Assumptions!$B$49</f>
        <v/>
      </c>
      <c r="S71" s="41">
        <f>S56*(1-Assumptions!$B$122)*Assumptions!$B$124*Assumptions!$B$49</f>
        <v/>
      </c>
      <c r="T71" s="41">
        <f>T56*(1-Assumptions!$B$122)*Assumptions!$B$124*Assumptions!$B$49</f>
        <v/>
      </c>
      <c r="U71" s="41">
        <f>U56*(1-Assumptions!$B$122)*Assumptions!$B$124*Assumptions!$B$49</f>
        <v/>
      </c>
      <c r="V71" s="41">
        <f>V56*(1-Assumptions!$B$122)*Assumptions!$B$124*Assumptions!$B$49</f>
        <v/>
      </c>
      <c r="W71" s="41">
        <f>W56*(1-Assumptions!$B$122)*Assumptions!$B$124*Assumptions!$B$49</f>
        <v/>
      </c>
      <c r="X71" s="41">
        <f>X56*(1-Assumptions!$B$122)*Assumptions!$B$124*Assumptions!$B$49</f>
        <v/>
      </c>
      <c r="Y71" s="41">
        <f>Y56*(1-Assumptions!$B$122)*Assumptions!$B$124*Assumptions!$B$49</f>
        <v/>
      </c>
      <c r="Z71" s="41">
        <f>Z56*(1-Assumptions!$B$122)*Assumptions!$B$124*Assumptions!$B$49</f>
        <v/>
      </c>
      <c r="AA71" s="41">
        <f>AA56*(1-Assumptions!$B$122)*Assumptions!$B$124*Assumptions!$B$49</f>
        <v/>
      </c>
      <c r="AB71" s="41">
        <f>AB56*(1-Assumptions!$B$122)*Assumptions!$B$124*Assumptions!$B$49</f>
        <v/>
      </c>
      <c r="AC71" s="41">
        <f>AC56*(1-Assumptions!$B$122)*Assumptions!$B$124*Assumptions!$B$49</f>
        <v/>
      </c>
      <c r="AD71" s="41">
        <f>AD56*(1-Assumptions!$B$122)*Assumptions!$B$124*Assumptions!$B$49</f>
        <v/>
      </c>
      <c r="AE71" s="41">
        <f>AE56*(1-Assumptions!$B$122)*Assumptions!$B$124*Assumptions!$B$49</f>
        <v/>
      </c>
      <c r="AF71" s="41">
        <f>AF56*(1-Assumptions!$B$122)*Assumptions!$B$124*Assumptions!$B$49</f>
        <v/>
      </c>
      <c r="AG71" s="41">
        <f>AG56*(1-Assumptions!$B$122)*Assumptions!$B$124*Assumptions!$B$49</f>
        <v/>
      </c>
      <c r="AH71" s="41">
        <f>AH56*(1-Assumptions!$B$122)*Assumptions!$B$124*Assumptions!$B$49</f>
        <v/>
      </c>
      <c r="AI71" s="41">
        <f>AI56*(1-Assumptions!$B$122)*Assumptions!$B$124*Assumptions!$B$49</f>
        <v/>
      </c>
      <c r="AJ71" s="41">
        <f>AJ56*(1-Assumptions!$B$122)*Assumptions!$B$124*Assumptions!$B$49</f>
        <v/>
      </c>
      <c r="AK71" s="41">
        <f>AK56*(1-Assumptions!$B$122)*Assumptions!$B$124*Assumptions!$B$49</f>
        <v/>
      </c>
      <c r="AL71" s="41">
        <f>AL56*(1-Assumptions!$B$122)*Assumptions!$B$124*Assumptions!$B$49</f>
        <v/>
      </c>
      <c r="AM71" s="41">
        <f>AM56*(1-Assumptions!$B$122)*Assumptions!$B$124*Assumptions!$B$49</f>
        <v/>
      </c>
      <c r="AN71" s="41">
        <f>AN56*(1-Assumptions!$B$122)*Assumptions!$B$124*Assumptions!$B$49</f>
        <v/>
      </c>
      <c r="AO71" s="41">
        <f>AO56*(1-Assumptions!$B$122)*Assumptions!$B$124*Assumptions!$B$49</f>
        <v/>
      </c>
      <c r="AP71" s="41">
        <f>AP56*(1-Assumptions!$B$122)*Assumptions!$B$124*Assumptions!$B$49</f>
        <v/>
      </c>
      <c r="AQ71" s="41">
        <f>AQ56*(1-Assumptions!$B$122)*Assumptions!$B$124*Assumptions!$B$49</f>
        <v/>
      </c>
      <c r="AR71" s="41">
        <f>AR56*(1-Assumptions!$B$122)*Assumptions!$B$124*Assumptions!$B$49</f>
        <v/>
      </c>
      <c r="AS71" s="41">
        <f>AS56*(1-Assumptions!$B$122)*Assumptions!$B$124*Assumptions!$B$49</f>
        <v/>
      </c>
      <c r="AT71" s="41">
        <f>AT56*(1-Assumptions!$B$122)*Assumptions!$B$124*Assumptions!$B$49</f>
        <v/>
      </c>
      <c r="AU71" s="41">
        <f>AU56*(1-Assumptions!$B$122)*Assumptions!$B$124*Assumptions!$B$49</f>
        <v/>
      </c>
      <c r="AV71" s="41">
        <f>AV56*(1-Assumptions!$B$122)*Assumptions!$B$124*Assumptions!$B$49</f>
        <v/>
      </c>
      <c r="AW71" s="41">
        <f>AW56*(1-Assumptions!$B$122)*Assumptions!$B$124*Assumptions!$B$49</f>
        <v/>
      </c>
      <c r="AX71" s="41">
        <f>AX56*(1-Assumptions!$B$122)*Assumptions!$B$124*Assumptions!$B$49</f>
        <v/>
      </c>
      <c r="AY71" s="41">
        <f>AY56*(1-Assumptions!$B$122)*Assumptions!$B$124*Assumptions!$B$49</f>
        <v/>
      </c>
      <c r="AZ71" s="41">
        <f>AZ56*(1-Assumptions!$B$122)*Assumptions!$B$124*Assumptions!$B$49</f>
        <v/>
      </c>
      <c r="BA71" s="41">
        <f>BA56*(1-Assumptions!$B$122)*Assumptions!$B$124*Assumptions!$B$49</f>
        <v/>
      </c>
      <c r="BB71" s="41">
        <f>BB56*(1-Assumptions!$B$122)*Assumptions!$B$124*Assumptions!$B$49</f>
        <v/>
      </c>
      <c r="BC71" s="41">
        <f>BC56*(1-Assumptions!$B$122)*Assumptions!$B$124*Assumptions!$B$49</f>
        <v/>
      </c>
      <c r="BD71" s="41">
        <f>BD56*(1-Assumptions!$B$122)*Assumptions!$B$124*Assumptions!$B$49</f>
        <v/>
      </c>
      <c r="BE71" s="41">
        <f>BE56*(1-Assumptions!$B$122)*Assumptions!$B$124*Assumptions!$B$49</f>
        <v/>
      </c>
      <c r="BF71" s="41">
        <f>BF56*(1-Assumptions!$B$122)*Assumptions!$B$124*Assumptions!$B$49</f>
        <v/>
      </c>
      <c r="BG71" s="41">
        <f>BG56*(1-Assumptions!$B$122)*Assumptions!$B$124*Assumptions!$B$49</f>
        <v/>
      </c>
      <c r="BH71" s="41">
        <f>BH56*(1-Assumptions!$B$122)*Assumptions!$B$124*Assumptions!$B$49</f>
        <v/>
      </c>
      <c r="BI71" s="41">
        <f>BI56*(1-Assumptions!$B$122)*Assumptions!$B$124*Assumptions!$B$49</f>
        <v/>
      </c>
      <c r="BJ71" s="41">
        <f>BJ56*(1-Assumptions!$B$122)*Assumptions!$B$124*Assumptions!$B$49</f>
        <v/>
      </c>
    </row>
    <row r="72"/>
    <row r="73">
      <c r="A73" s="19" t="inlineStr">
        <is>
          <t>COST DISCIPLINE: paid acquisition budget = MIN(desired, floor + cap % x last month's MRR); zero before the seed</t>
        </is>
      </c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19" t="n"/>
      <c r="AM73" s="19" t="n"/>
      <c r="AN73" s="19" t="n"/>
      <c r="AO73" s="19" t="n"/>
      <c r="AP73" s="19" t="n"/>
      <c r="AQ73" s="19" t="n"/>
      <c r="AR73" s="19" t="n"/>
      <c r="AS73" s="19" t="n"/>
      <c r="AT73" s="19" t="n"/>
      <c r="AU73" s="19" t="n"/>
      <c r="AV73" s="19" t="n"/>
      <c r="AW73" s="19" t="n"/>
      <c r="AX73" s="19" t="n"/>
      <c r="AY73" s="19" t="n"/>
      <c r="AZ73" s="19" t="n"/>
      <c r="BA73" s="19" t="n"/>
      <c r="BB73" s="19" t="n"/>
      <c r="BC73" s="19" t="n"/>
      <c r="BD73" s="19" t="n"/>
      <c r="BE73" s="19" t="n"/>
      <c r="BF73" s="19" t="n"/>
      <c r="BG73" s="19" t="n"/>
      <c r="BH73" s="19" t="n"/>
      <c r="BI73" s="19" t="n"/>
      <c r="BJ73" s="19" t="n"/>
    </row>
    <row r="74">
      <c r="A74" s="4" t="inlineStr">
        <is>
          <t>Share of sign-ups needing paid acquisition</t>
        </is>
      </c>
      <c r="B74" s="17" t="inlineStr">
        <is>
          <t>%</t>
        </is>
      </c>
      <c r="C74" s="9">
        <f>CHOOSE(C$5,Assumptions!$B$117,Assumptions!$B$118,Assumptions!$B$119,Assumptions!$B$120,Assumptions!$B$121)</f>
        <v/>
      </c>
      <c r="D74" s="9">
        <f>CHOOSE(D$5,Assumptions!$B$117,Assumptions!$B$118,Assumptions!$B$119,Assumptions!$B$120,Assumptions!$B$121)</f>
        <v/>
      </c>
      <c r="E74" s="9">
        <f>CHOOSE(E$5,Assumptions!$B$117,Assumptions!$B$118,Assumptions!$B$119,Assumptions!$B$120,Assumptions!$B$121)</f>
        <v/>
      </c>
      <c r="F74" s="9">
        <f>CHOOSE(F$5,Assumptions!$B$117,Assumptions!$B$118,Assumptions!$B$119,Assumptions!$B$120,Assumptions!$B$121)</f>
        <v/>
      </c>
      <c r="G74" s="9">
        <f>CHOOSE(G$5,Assumptions!$B$117,Assumptions!$B$118,Assumptions!$B$119,Assumptions!$B$120,Assumptions!$B$121)</f>
        <v/>
      </c>
      <c r="H74" s="9">
        <f>CHOOSE(H$5,Assumptions!$B$117,Assumptions!$B$118,Assumptions!$B$119,Assumptions!$B$120,Assumptions!$B$121)</f>
        <v/>
      </c>
      <c r="I74" s="9">
        <f>CHOOSE(I$5,Assumptions!$B$117,Assumptions!$B$118,Assumptions!$B$119,Assumptions!$B$120,Assumptions!$B$121)</f>
        <v/>
      </c>
      <c r="J74" s="9">
        <f>CHOOSE(J$5,Assumptions!$B$117,Assumptions!$B$118,Assumptions!$B$119,Assumptions!$B$120,Assumptions!$B$121)</f>
        <v/>
      </c>
      <c r="K74" s="9">
        <f>CHOOSE(K$5,Assumptions!$B$117,Assumptions!$B$118,Assumptions!$B$119,Assumptions!$B$120,Assumptions!$B$121)</f>
        <v/>
      </c>
      <c r="L74" s="9">
        <f>CHOOSE(L$5,Assumptions!$B$117,Assumptions!$B$118,Assumptions!$B$119,Assumptions!$B$120,Assumptions!$B$121)</f>
        <v/>
      </c>
      <c r="M74" s="9">
        <f>CHOOSE(M$5,Assumptions!$B$117,Assumptions!$B$118,Assumptions!$B$119,Assumptions!$B$120,Assumptions!$B$121)</f>
        <v/>
      </c>
      <c r="N74" s="9">
        <f>CHOOSE(N$5,Assumptions!$B$117,Assumptions!$B$118,Assumptions!$B$119,Assumptions!$B$120,Assumptions!$B$121)</f>
        <v/>
      </c>
      <c r="O74" s="9">
        <f>CHOOSE(O$5,Assumptions!$B$117,Assumptions!$B$118,Assumptions!$B$119,Assumptions!$B$120,Assumptions!$B$121)</f>
        <v/>
      </c>
      <c r="P74" s="9">
        <f>CHOOSE(P$5,Assumptions!$B$117,Assumptions!$B$118,Assumptions!$B$119,Assumptions!$B$120,Assumptions!$B$121)</f>
        <v/>
      </c>
      <c r="Q74" s="9">
        <f>CHOOSE(Q$5,Assumptions!$B$117,Assumptions!$B$118,Assumptions!$B$119,Assumptions!$B$120,Assumptions!$B$121)</f>
        <v/>
      </c>
      <c r="R74" s="9">
        <f>CHOOSE(R$5,Assumptions!$B$117,Assumptions!$B$118,Assumptions!$B$119,Assumptions!$B$120,Assumptions!$B$121)</f>
        <v/>
      </c>
      <c r="S74" s="9">
        <f>CHOOSE(S$5,Assumptions!$B$117,Assumptions!$B$118,Assumptions!$B$119,Assumptions!$B$120,Assumptions!$B$121)</f>
        <v/>
      </c>
      <c r="T74" s="9">
        <f>CHOOSE(T$5,Assumptions!$B$117,Assumptions!$B$118,Assumptions!$B$119,Assumptions!$B$120,Assumptions!$B$121)</f>
        <v/>
      </c>
      <c r="U74" s="9">
        <f>CHOOSE(U$5,Assumptions!$B$117,Assumptions!$B$118,Assumptions!$B$119,Assumptions!$B$120,Assumptions!$B$121)</f>
        <v/>
      </c>
      <c r="V74" s="9">
        <f>CHOOSE(V$5,Assumptions!$B$117,Assumptions!$B$118,Assumptions!$B$119,Assumptions!$B$120,Assumptions!$B$121)</f>
        <v/>
      </c>
      <c r="W74" s="9">
        <f>CHOOSE(W$5,Assumptions!$B$117,Assumptions!$B$118,Assumptions!$B$119,Assumptions!$B$120,Assumptions!$B$121)</f>
        <v/>
      </c>
      <c r="X74" s="9">
        <f>CHOOSE(X$5,Assumptions!$B$117,Assumptions!$B$118,Assumptions!$B$119,Assumptions!$B$120,Assumptions!$B$121)</f>
        <v/>
      </c>
      <c r="Y74" s="9">
        <f>CHOOSE(Y$5,Assumptions!$B$117,Assumptions!$B$118,Assumptions!$B$119,Assumptions!$B$120,Assumptions!$B$121)</f>
        <v/>
      </c>
      <c r="Z74" s="9">
        <f>CHOOSE(Z$5,Assumptions!$B$117,Assumptions!$B$118,Assumptions!$B$119,Assumptions!$B$120,Assumptions!$B$121)</f>
        <v/>
      </c>
      <c r="AA74" s="9">
        <f>CHOOSE(AA$5,Assumptions!$B$117,Assumptions!$B$118,Assumptions!$B$119,Assumptions!$B$120,Assumptions!$B$121)</f>
        <v/>
      </c>
      <c r="AB74" s="9">
        <f>CHOOSE(AB$5,Assumptions!$B$117,Assumptions!$B$118,Assumptions!$B$119,Assumptions!$B$120,Assumptions!$B$121)</f>
        <v/>
      </c>
      <c r="AC74" s="9">
        <f>CHOOSE(AC$5,Assumptions!$B$117,Assumptions!$B$118,Assumptions!$B$119,Assumptions!$B$120,Assumptions!$B$121)</f>
        <v/>
      </c>
      <c r="AD74" s="9">
        <f>CHOOSE(AD$5,Assumptions!$B$117,Assumptions!$B$118,Assumptions!$B$119,Assumptions!$B$120,Assumptions!$B$121)</f>
        <v/>
      </c>
      <c r="AE74" s="9">
        <f>CHOOSE(AE$5,Assumptions!$B$117,Assumptions!$B$118,Assumptions!$B$119,Assumptions!$B$120,Assumptions!$B$121)</f>
        <v/>
      </c>
      <c r="AF74" s="9">
        <f>CHOOSE(AF$5,Assumptions!$B$117,Assumptions!$B$118,Assumptions!$B$119,Assumptions!$B$120,Assumptions!$B$121)</f>
        <v/>
      </c>
      <c r="AG74" s="9">
        <f>CHOOSE(AG$5,Assumptions!$B$117,Assumptions!$B$118,Assumptions!$B$119,Assumptions!$B$120,Assumptions!$B$121)</f>
        <v/>
      </c>
      <c r="AH74" s="9">
        <f>CHOOSE(AH$5,Assumptions!$B$117,Assumptions!$B$118,Assumptions!$B$119,Assumptions!$B$120,Assumptions!$B$121)</f>
        <v/>
      </c>
      <c r="AI74" s="9">
        <f>CHOOSE(AI$5,Assumptions!$B$117,Assumptions!$B$118,Assumptions!$B$119,Assumptions!$B$120,Assumptions!$B$121)</f>
        <v/>
      </c>
      <c r="AJ74" s="9">
        <f>CHOOSE(AJ$5,Assumptions!$B$117,Assumptions!$B$118,Assumptions!$B$119,Assumptions!$B$120,Assumptions!$B$121)</f>
        <v/>
      </c>
      <c r="AK74" s="9">
        <f>CHOOSE(AK$5,Assumptions!$B$117,Assumptions!$B$118,Assumptions!$B$119,Assumptions!$B$120,Assumptions!$B$121)</f>
        <v/>
      </c>
      <c r="AL74" s="9">
        <f>CHOOSE(AL$5,Assumptions!$B$117,Assumptions!$B$118,Assumptions!$B$119,Assumptions!$B$120,Assumptions!$B$121)</f>
        <v/>
      </c>
      <c r="AM74" s="9">
        <f>CHOOSE(AM$5,Assumptions!$B$117,Assumptions!$B$118,Assumptions!$B$119,Assumptions!$B$120,Assumptions!$B$121)</f>
        <v/>
      </c>
      <c r="AN74" s="9">
        <f>CHOOSE(AN$5,Assumptions!$B$117,Assumptions!$B$118,Assumptions!$B$119,Assumptions!$B$120,Assumptions!$B$121)</f>
        <v/>
      </c>
      <c r="AO74" s="9">
        <f>CHOOSE(AO$5,Assumptions!$B$117,Assumptions!$B$118,Assumptions!$B$119,Assumptions!$B$120,Assumptions!$B$121)</f>
        <v/>
      </c>
      <c r="AP74" s="9">
        <f>CHOOSE(AP$5,Assumptions!$B$117,Assumptions!$B$118,Assumptions!$B$119,Assumptions!$B$120,Assumptions!$B$121)</f>
        <v/>
      </c>
      <c r="AQ74" s="9">
        <f>CHOOSE(AQ$5,Assumptions!$B$117,Assumptions!$B$118,Assumptions!$B$119,Assumptions!$B$120,Assumptions!$B$121)</f>
        <v/>
      </c>
      <c r="AR74" s="9">
        <f>CHOOSE(AR$5,Assumptions!$B$117,Assumptions!$B$118,Assumptions!$B$119,Assumptions!$B$120,Assumptions!$B$121)</f>
        <v/>
      </c>
      <c r="AS74" s="9">
        <f>CHOOSE(AS$5,Assumptions!$B$117,Assumptions!$B$118,Assumptions!$B$119,Assumptions!$B$120,Assumptions!$B$121)</f>
        <v/>
      </c>
      <c r="AT74" s="9">
        <f>CHOOSE(AT$5,Assumptions!$B$117,Assumptions!$B$118,Assumptions!$B$119,Assumptions!$B$120,Assumptions!$B$121)</f>
        <v/>
      </c>
      <c r="AU74" s="9">
        <f>CHOOSE(AU$5,Assumptions!$B$117,Assumptions!$B$118,Assumptions!$B$119,Assumptions!$B$120,Assumptions!$B$121)</f>
        <v/>
      </c>
      <c r="AV74" s="9">
        <f>CHOOSE(AV$5,Assumptions!$B$117,Assumptions!$B$118,Assumptions!$B$119,Assumptions!$B$120,Assumptions!$B$121)</f>
        <v/>
      </c>
      <c r="AW74" s="9">
        <f>CHOOSE(AW$5,Assumptions!$B$117,Assumptions!$B$118,Assumptions!$B$119,Assumptions!$B$120,Assumptions!$B$121)</f>
        <v/>
      </c>
      <c r="AX74" s="9">
        <f>CHOOSE(AX$5,Assumptions!$B$117,Assumptions!$B$118,Assumptions!$B$119,Assumptions!$B$120,Assumptions!$B$121)</f>
        <v/>
      </c>
      <c r="AY74" s="9">
        <f>CHOOSE(AY$5,Assumptions!$B$117,Assumptions!$B$118,Assumptions!$B$119,Assumptions!$B$120,Assumptions!$B$121)</f>
        <v/>
      </c>
      <c r="AZ74" s="9">
        <f>CHOOSE(AZ$5,Assumptions!$B$117,Assumptions!$B$118,Assumptions!$B$119,Assumptions!$B$120,Assumptions!$B$121)</f>
        <v/>
      </c>
      <c r="BA74" s="9">
        <f>CHOOSE(BA$5,Assumptions!$B$117,Assumptions!$B$118,Assumptions!$B$119,Assumptions!$B$120,Assumptions!$B$121)</f>
        <v/>
      </c>
      <c r="BB74" s="9">
        <f>CHOOSE(BB$5,Assumptions!$B$117,Assumptions!$B$118,Assumptions!$B$119,Assumptions!$B$120,Assumptions!$B$121)</f>
        <v/>
      </c>
      <c r="BC74" s="9">
        <f>CHOOSE(BC$5,Assumptions!$B$117,Assumptions!$B$118,Assumptions!$B$119,Assumptions!$B$120,Assumptions!$B$121)</f>
        <v/>
      </c>
      <c r="BD74" s="9">
        <f>CHOOSE(BD$5,Assumptions!$B$117,Assumptions!$B$118,Assumptions!$B$119,Assumptions!$B$120,Assumptions!$B$121)</f>
        <v/>
      </c>
      <c r="BE74" s="9">
        <f>CHOOSE(BE$5,Assumptions!$B$117,Assumptions!$B$118,Assumptions!$B$119,Assumptions!$B$120,Assumptions!$B$121)</f>
        <v/>
      </c>
      <c r="BF74" s="9">
        <f>CHOOSE(BF$5,Assumptions!$B$117,Assumptions!$B$118,Assumptions!$B$119,Assumptions!$B$120,Assumptions!$B$121)</f>
        <v/>
      </c>
      <c r="BG74" s="9">
        <f>CHOOSE(BG$5,Assumptions!$B$117,Assumptions!$B$118,Assumptions!$B$119,Assumptions!$B$120,Assumptions!$B$121)</f>
        <v/>
      </c>
      <c r="BH74" s="9">
        <f>CHOOSE(BH$5,Assumptions!$B$117,Assumptions!$B$118,Assumptions!$B$119,Assumptions!$B$120,Assumptions!$B$121)</f>
        <v/>
      </c>
      <c r="BI74" s="9">
        <f>CHOOSE(BI$5,Assumptions!$B$117,Assumptions!$B$118,Assumptions!$B$119,Assumptions!$B$120,Assumptions!$B$121)</f>
        <v/>
      </c>
      <c r="BJ74" s="9">
        <f>CHOOSE(BJ$5,Assumptions!$B$117,Assumptions!$B$118,Assumptions!$B$119,Assumptions!$B$120,Assumptions!$B$121)</f>
        <v/>
      </c>
    </row>
    <row r="75">
      <c r="A75" s="4" t="inlineStr">
        <is>
          <t>CAC inflation factor</t>
        </is>
      </c>
      <c r="B75" s="17" t="inlineStr">
        <is>
          <t>x</t>
        </is>
      </c>
      <c r="C75" s="36">
        <f>(1+Assumptions!$B$178)^(C$5-1)</f>
        <v/>
      </c>
      <c r="D75" s="36">
        <f>(1+Assumptions!$B$178)^(D$5-1)</f>
        <v/>
      </c>
      <c r="E75" s="36">
        <f>(1+Assumptions!$B$178)^(E$5-1)</f>
        <v/>
      </c>
      <c r="F75" s="36">
        <f>(1+Assumptions!$B$178)^(F$5-1)</f>
        <v/>
      </c>
      <c r="G75" s="36">
        <f>(1+Assumptions!$B$178)^(G$5-1)</f>
        <v/>
      </c>
      <c r="H75" s="36">
        <f>(1+Assumptions!$B$178)^(H$5-1)</f>
        <v/>
      </c>
      <c r="I75" s="36">
        <f>(1+Assumptions!$B$178)^(I$5-1)</f>
        <v/>
      </c>
      <c r="J75" s="36">
        <f>(1+Assumptions!$B$178)^(J$5-1)</f>
        <v/>
      </c>
      <c r="K75" s="36">
        <f>(1+Assumptions!$B$178)^(K$5-1)</f>
        <v/>
      </c>
      <c r="L75" s="36">
        <f>(1+Assumptions!$B$178)^(L$5-1)</f>
        <v/>
      </c>
      <c r="M75" s="36">
        <f>(1+Assumptions!$B$178)^(M$5-1)</f>
        <v/>
      </c>
      <c r="N75" s="36">
        <f>(1+Assumptions!$B$178)^(N$5-1)</f>
        <v/>
      </c>
      <c r="O75" s="36">
        <f>(1+Assumptions!$B$178)^(O$5-1)</f>
        <v/>
      </c>
      <c r="P75" s="36">
        <f>(1+Assumptions!$B$178)^(P$5-1)</f>
        <v/>
      </c>
      <c r="Q75" s="36">
        <f>(1+Assumptions!$B$178)^(Q$5-1)</f>
        <v/>
      </c>
      <c r="R75" s="36">
        <f>(1+Assumptions!$B$178)^(R$5-1)</f>
        <v/>
      </c>
      <c r="S75" s="36">
        <f>(1+Assumptions!$B$178)^(S$5-1)</f>
        <v/>
      </c>
      <c r="T75" s="36">
        <f>(1+Assumptions!$B$178)^(T$5-1)</f>
        <v/>
      </c>
      <c r="U75" s="36">
        <f>(1+Assumptions!$B$178)^(U$5-1)</f>
        <v/>
      </c>
      <c r="V75" s="36">
        <f>(1+Assumptions!$B$178)^(V$5-1)</f>
        <v/>
      </c>
      <c r="W75" s="36">
        <f>(1+Assumptions!$B$178)^(W$5-1)</f>
        <v/>
      </c>
      <c r="X75" s="36">
        <f>(1+Assumptions!$B$178)^(X$5-1)</f>
        <v/>
      </c>
      <c r="Y75" s="36">
        <f>(1+Assumptions!$B$178)^(Y$5-1)</f>
        <v/>
      </c>
      <c r="Z75" s="36">
        <f>(1+Assumptions!$B$178)^(Z$5-1)</f>
        <v/>
      </c>
      <c r="AA75" s="36">
        <f>(1+Assumptions!$B$178)^(AA$5-1)</f>
        <v/>
      </c>
      <c r="AB75" s="36">
        <f>(1+Assumptions!$B$178)^(AB$5-1)</f>
        <v/>
      </c>
      <c r="AC75" s="36">
        <f>(1+Assumptions!$B$178)^(AC$5-1)</f>
        <v/>
      </c>
      <c r="AD75" s="36">
        <f>(1+Assumptions!$B$178)^(AD$5-1)</f>
        <v/>
      </c>
      <c r="AE75" s="36">
        <f>(1+Assumptions!$B$178)^(AE$5-1)</f>
        <v/>
      </c>
      <c r="AF75" s="36">
        <f>(1+Assumptions!$B$178)^(AF$5-1)</f>
        <v/>
      </c>
      <c r="AG75" s="36">
        <f>(1+Assumptions!$B$178)^(AG$5-1)</f>
        <v/>
      </c>
      <c r="AH75" s="36">
        <f>(1+Assumptions!$B$178)^(AH$5-1)</f>
        <v/>
      </c>
      <c r="AI75" s="36">
        <f>(1+Assumptions!$B$178)^(AI$5-1)</f>
        <v/>
      </c>
      <c r="AJ75" s="36">
        <f>(1+Assumptions!$B$178)^(AJ$5-1)</f>
        <v/>
      </c>
      <c r="AK75" s="36">
        <f>(1+Assumptions!$B$178)^(AK$5-1)</f>
        <v/>
      </c>
      <c r="AL75" s="36">
        <f>(1+Assumptions!$B$178)^(AL$5-1)</f>
        <v/>
      </c>
      <c r="AM75" s="36">
        <f>(1+Assumptions!$B$178)^(AM$5-1)</f>
        <v/>
      </c>
      <c r="AN75" s="36">
        <f>(1+Assumptions!$B$178)^(AN$5-1)</f>
        <v/>
      </c>
      <c r="AO75" s="36">
        <f>(1+Assumptions!$B$178)^(AO$5-1)</f>
        <v/>
      </c>
      <c r="AP75" s="36">
        <f>(1+Assumptions!$B$178)^(AP$5-1)</f>
        <v/>
      </c>
      <c r="AQ75" s="36">
        <f>(1+Assumptions!$B$178)^(AQ$5-1)</f>
        <v/>
      </c>
      <c r="AR75" s="36">
        <f>(1+Assumptions!$B$178)^(AR$5-1)</f>
        <v/>
      </c>
      <c r="AS75" s="36">
        <f>(1+Assumptions!$B$178)^(AS$5-1)</f>
        <v/>
      </c>
      <c r="AT75" s="36">
        <f>(1+Assumptions!$B$178)^(AT$5-1)</f>
        <v/>
      </c>
      <c r="AU75" s="36">
        <f>(1+Assumptions!$B$178)^(AU$5-1)</f>
        <v/>
      </c>
      <c r="AV75" s="36">
        <f>(1+Assumptions!$B$178)^(AV$5-1)</f>
        <v/>
      </c>
      <c r="AW75" s="36">
        <f>(1+Assumptions!$B$178)^(AW$5-1)</f>
        <v/>
      </c>
      <c r="AX75" s="36">
        <f>(1+Assumptions!$B$178)^(AX$5-1)</f>
        <v/>
      </c>
      <c r="AY75" s="36">
        <f>(1+Assumptions!$B$178)^(AY$5-1)</f>
        <v/>
      </c>
      <c r="AZ75" s="36">
        <f>(1+Assumptions!$B$178)^(AZ$5-1)</f>
        <v/>
      </c>
      <c r="BA75" s="36">
        <f>(1+Assumptions!$B$178)^(BA$5-1)</f>
        <v/>
      </c>
      <c r="BB75" s="36">
        <f>(1+Assumptions!$B$178)^(BB$5-1)</f>
        <v/>
      </c>
      <c r="BC75" s="36">
        <f>(1+Assumptions!$B$178)^(BC$5-1)</f>
        <v/>
      </c>
      <c r="BD75" s="36">
        <f>(1+Assumptions!$B$178)^(BD$5-1)</f>
        <v/>
      </c>
      <c r="BE75" s="36">
        <f>(1+Assumptions!$B$178)^(BE$5-1)</f>
        <v/>
      </c>
      <c r="BF75" s="36">
        <f>(1+Assumptions!$B$178)^(BF$5-1)</f>
        <v/>
      </c>
      <c r="BG75" s="36">
        <f>(1+Assumptions!$B$178)^(BG$5-1)</f>
        <v/>
      </c>
      <c r="BH75" s="36">
        <f>(1+Assumptions!$B$178)^(BH$5-1)</f>
        <v/>
      </c>
      <c r="BI75" s="36">
        <f>(1+Assumptions!$B$178)^(BI$5-1)</f>
        <v/>
      </c>
      <c r="BJ75" s="36">
        <f>(1+Assumptions!$B$178)^(BJ$5-1)</f>
        <v/>
      </c>
    </row>
    <row r="76">
      <c r="A76" s="4" t="inlineStr">
        <is>
          <t>Price escalator factor (list prices +escalator each October)</t>
        </is>
      </c>
      <c r="B76" s="17" t="inlineStr">
        <is>
          <t>x</t>
        </is>
      </c>
      <c r="C76" s="36">
        <f>(1+Pricing!$B$12)^(C$5-1)</f>
        <v/>
      </c>
      <c r="D76" s="36">
        <f>(1+Pricing!$B$12)^(D$5-1)</f>
        <v/>
      </c>
      <c r="E76" s="36">
        <f>(1+Pricing!$B$12)^(E$5-1)</f>
        <v/>
      </c>
      <c r="F76" s="36">
        <f>(1+Pricing!$B$12)^(F$5-1)</f>
        <v/>
      </c>
      <c r="G76" s="36">
        <f>(1+Pricing!$B$12)^(G$5-1)</f>
        <v/>
      </c>
      <c r="H76" s="36">
        <f>(1+Pricing!$B$12)^(H$5-1)</f>
        <v/>
      </c>
      <c r="I76" s="36">
        <f>(1+Pricing!$B$12)^(I$5-1)</f>
        <v/>
      </c>
      <c r="J76" s="36">
        <f>(1+Pricing!$B$12)^(J$5-1)</f>
        <v/>
      </c>
      <c r="K76" s="36">
        <f>(1+Pricing!$B$12)^(K$5-1)</f>
        <v/>
      </c>
      <c r="L76" s="36">
        <f>(1+Pricing!$B$12)^(L$5-1)</f>
        <v/>
      </c>
      <c r="M76" s="36">
        <f>(1+Pricing!$B$12)^(M$5-1)</f>
        <v/>
      </c>
      <c r="N76" s="36">
        <f>(1+Pricing!$B$12)^(N$5-1)</f>
        <v/>
      </c>
      <c r="O76" s="36">
        <f>(1+Pricing!$B$12)^(O$5-1)</f>
        <v/>
      </c>
      <c r="P76" s="36">
        <f>(1+Pricing!$B$12)^(P$5-1)</f>
        <v/>
      </c>
      <c r="Q76" s="36">
        <f>(1+Pricing!$B$12)^(Q$5-1)</f>
        <v/>
      </c>
      <c r="R76" s="36">
        <f>(1+Pricing!$B$12)^(R$5-1)</f>
        <v/>
      </c>
      <c r="S76" s="36">
        <f>(1+Pricing!$B$12)^(S$5-1)</f>
        <v/>
      </c>
      <c r="T76" s="36">
        <f>(1+Pricing!$B$12)^(T$5-1)</f>
        <v/>
      </c>
      <c r="U76" s="36">
        <f>(1+Pricing!$B$12)^(U$5-1)</f>
        <v/>
      </c>
      <c r="V76" s="36">
        <f>(1+Pricing!$B$12)^(V$5-1)</f>
        <v/>
      </c>
      <c r="W76" s="36">
        <f>(1+Pricing!$B$12)^(W$5-1)</f>
        <v/>
      </c>
      <c r="X76" s="36">
        <f>(1+Pricing!$B$12)^(X$5-1)</f>
        <v/>
      </c>
      <c r="Y76" s="36">
        <f>(1+Pricing!$B$12)^(Y$5-1)</f>
        <v/>
      </c>
      <c r="Z76" s="36">
        <f>(1+Pricing!$B$12)^(Z$5-1)</f>
        <v/>
      </c>
      <c r="AA76" s="36">
        <f>(1+Pricing!$B$12)^(AA$5-1)</f>
        <v/>
      </c>
      <c r="AB76" s="36">
        <f>(1+Pricing!$B$12)^(AB$5-1)</f>
        <v/>
      </c>
      <c r="AC76" s="36">
        <f>(1+Pricing!$B$12)^(AC$5-1)</f>
        <v/>
      </c>
      <c r="AD76" s="36">
        <f>(1+Pricing!$B$12)^(AD$5-1)</f>
        <v/>
      </c>
      <c r="AE76" s="36">
        <f>(1+Pricing!$B$12)^(AE$5-1)</f>
        <v/>
      </c>
      <c r="AF76" s="36">
        <f>(1+Pricing!$B$12)^(AF$5-1)</f>
        <v/>
      </c>
      <c r="AG76" s="36">
        <f>(1+Pricing!$B$12)^(AG$5-1)</f>
        <v/>
      </c>
      <c r="AH76" s="36">
        <f>(1+Pricing!$B$12)^(AH$5-1)</f>
        <v/>
      </c>
      <c r="AI76" s="36">
        <f>(1+Pricing!$B$12)^(AI$5-1)</f>
        <v/>
      </c>
      <c r="AJ76" s="36">
        <f>(1+Pricing!$B$12)^(AJ$5-1)</f>
        <v/>
      </c>
      <c r="AK76" s="36">
        <f>(1+Pricing!$B$12)^(AK$5-1)</f>
        <v/>
      </c>
      <c r="AL76" s="36">
        <f>(1+Pricing!$B$12)^(AL$5-1)</f>
        <v/>
      </c>
      <c r="AM76" s="36">
        <f>(1+Pricing!$B$12)^(AM$5-1)</f>
        <v/>
      </c>
      <c r="AN76" s="36">
        <f>(1+Pricing!$B$12)^(AN$5-1)</f>
        <v/>
      </c>
      <c r="AO76" s="36">
        <f>(1+Pricing!$B$12)^(AO$5-1)</f>
        <v/>
      </c>
      <c r="AP76" s="36">
        <f>(1+Pricing!$B$12)^(AP$5-1)</f>
        <v/>
      </c>
      <c r="AQ76" s="36">
        <f>(1+Pricing!$B$12)^(AQ$5-1)</f>
        <v/>
      </c>
      <c r="AR76" s="36">
        <f>(1+Pricing!$B$12)^(AR$5-1)</f>
        <v/>
      </c>
      <c r="AS76" s="36">
        <f>(1+Pricing!$B$12)^(AS$5-1)</f>
        <v/>
      </c>
      <c r="AT76" s="36">
        <f>(1+Pricing!$B$12)^(AT$5-1)</f>
        <v/>
      </c>
      <c r="AU76" s="36">
        <f>(1+Pricing!$B$12)^(AU$5-1)</f>
        <v/>
      </c>
      <c r="AV76" s="36">
        <f>(1+Pricing!$B$12)^(AV$5-1)</f>
        <v/>
      </c>
      <c r="AW76" s="36">
        <f>(1+Pricing!$B$12)^(AW$5-1)</f>
        <v/>
      </c>
      <c r="AX76" s="36">
        <f>(1+Pricing!$B$12)^(AX$5-1)</f>
        <v/>
      </c>
      <c r="AY76" s="36">
        <f>(1+Pricing!$B$12)^(AY$5-1)</f>
        <v/>
      </c>
      <c r="AZ76" s="36">
        <f>(1+Pricing!$B$12)^(AZ$5-1)</f>
        <v/>
      </c>
      <c r="BA76" s="36">
        <f>(1+Pricing!$B$12)^(BA$5-1)</f>
        <v/>
      </c>
      <c r="BB76" s="36">
        <f>(1+Pricing!$B$12)^(BB$5-1)</f>
        <v/>
      </c>
      <c r="BC76" s="36">
        <f>(1+Pricing!$B$12)^(BC$5-1)</f>
        <v/>
      </c>
      <c r="BD76" s="36">
        <f>(1+Pricing!$B$12)^(BD$5-1)</f>
        <v/>
      </c>
      <c r="BE76" s="36">
        <f>(1+Pricing!$B$12)^(BE$5-1)</f>
        <v/>
      </c>
      <c r="BF76" s="36">
        <f>(1+Pricing!$B$12)^(BF$5-1)</f>
        <v/>
      </c>
      <c r="BG76" s="36">
        <f>(1+Pricing!$B$12)^(BG$5-1)</f>
        <v/>
      </c>
      <c r="BH76" s="36">
        <f>(1+Pricing!$B$12)^(BH$5-1)</f>
        <v/>
      </c>
      <c r="BI76" s="36">
        <f>(1+Pricing!$B$12)^(BI$5-1)</f>
        <v/>
      </c>
      <c r="BJ76" s="36">
        <f>(1+Pricing!$B$12)^(BJ$5-1)</f>
        <v/>
      </c>
    </row>
    <row r="77"/>
    <row r="78">
      <c r="A78" s="19" t="inlineStr">
        <is>
          <t>COST DISCIPLINE: CAC payback test by segment &amp; market (paid acquisition off where payback &gt; maximum)</t>
        </is>
      </c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  <c r="AA78" s="19" t="n"/>
      <c r="AB78" s="19" t="n"/>
      <c r="AC78" s="19" t="n"/>
      <c r="AD78" s="19" t="n"/>
      <c r="AE78" s="19" t="n"/>
      <c r="AF78" s="19" t="n"/>
      <c r="AG78" s="19" t="n"/>
      <c r="AH78" s="19" t="n"/>
      <c r="AI78" s="19" t="n"/>
      <c r="AJ78" s="19" t="n"/>
      <c r="AK78" s="19" t="n"/>
      <c r="AL78" s="19" t="n"/>
      <c r="AM78" s="19" t="n"/>
      <c r="AN78" s="19" t="n"/>
      <c r="AO78" s="19" t="n"/>
      <c r="AP78" s="19" t="n"/>
      <c r="AQ78" s="19" t="n"/>
      <c r="AR78" s="19" t="n"/>
      <c r="AS78" s="19" t="n"/>
      <c r="AT78" s="19" t="n"/>
      <c r="AU78" s="19" t="n"/>
      <c r="AV78" s="19" t="n"/>
      <c r="AW78" s="19" t="n"/>
      <c r="AX78" s="19" t="n"/>
      <c r="AY78" s="19" t="n"/>
      <c r="AZ78" s="19" t="n"/>
      <c r="BA78" s="19" t="n"/>
      <c r="BB78" s="19" t="n"/>
      <c r="BC78" s="19" t="n"/>
      <c r="BD78" s="19" t="n"/>
      <c r="BE78" s="19" t="n"/>
      <c r="BF78" s="19" t="n"/>
      <c r="BG78" s="19" t="n"/>
      <c r="BH78" s="19" t="n"/>
      <c r="BI78" s="19" t="n"/>
      <c r="BJ78" s="19" t="n"/>
    </row>
    <row r="79">
      <c r="A79" s="4" t="inlineStr">
        <is>
          <t>CAC payback, Solo: South Africa</t>
        </is>
      </c>
      <c r="B79" s="17" t="inlineStr">
        <is>
          <t>months</t>
        </is>
      </c>
      <c r="C79" s="41">
        <f>Assumptions!$B$51*C75*Assumptions!$B$176/(C76*Pricing!$B$15*Assumptions!$B$130*((1-Assumptions!$B$125)*Pricing!$B$31+Assumptions!$B$125*Pricing!$B$32))</f>
        <v/>
      </c>
      <c r="D79" s="41">
        <f>Assumptions!$B$51*D75*Assumptions!$B$176/(D76*Pricing!$B$15*Assumptions!$B$130*((1-Assumptions!$B$125)*Pricing!$B$31+Assumptions!$B$125*Pricing!$B$32))</f>
        <v/>
      </c>
      <c r="E79" s="41">
        <f>Assumptions!$B$51*E75*Assumptions!$B$176/(E76*Pricing!$B$15*Assumptions!$B$130*((1-Assumptions!$B$125)*Pricing!$B$31+Assumptions!$B$125*Pricing!$B$32))</f>
        <v/>
      </c>
      <c r="F79" s="41">
        <f>Assumptions!$B$51*F75*Assumptions!$B$176/(F76*Pricing!$B$15*Assumptions!$B$130*((1-Assumptions!$B$125)*Pricing!$B$31+Assumptions!$B$125*Pricing!$B$32))</f>
        <v/>
      </c>
      <c r="G79" s="41">
        <f>Assumptions!$B$51*G75*Assumptions!$B$176/(G76*Pricing!$B$15*Assumptions!$B$130*((1-Assumptions!$B$125)*Pricing!$B$31+Assumptions!$B$125*Pricing!$B$32))</f>
        <v/>
      </c>
      <c r="H79" s="41">
        <f>Assumptions!$B$51*H75*Assumptions!$B$176/(H76*Pricing!$B$15*Assumptions!$B$130*((1-Assumptions!$B$125)*Pricing!$B$31+Assumptions!$B$125*Pricing!$B$32))</f>
        <v/>
      </c>
      <c r="I79" s="41">
        <f>Assumptions!$B$51*I75*Assumptions!$B$176/(I76*Pricing!$B$15*Assumptions!$B$130*((1-Assumptions!$B$125)*Pricing!$B$31+Assumptions!$B$125*Pricing!$B$32))</f>
        <v/>
      </c>
      <c r="J79" s="41">
        <f>Assumptions!$B$51*J75*Assumptions!$B$176/(J76*Pricing!$B$15*Assumptions!$B$130*((1-Assumptions!$B$125)*Pricing!$B$31+Assumptions!$B$125*Pricing!$B$32))</f>
        <v/>
      </c>
      <c r="K79" s="41">
        <f>Assumptions!$B$51*K75*Assumptions!$B$176/(K76*Pricing!$B$15*Assumptions!$B$130*((1-Assumptions!$B$125)*Pricing!$B$31+Assumptions!$B$125*Pricing!$B$32))</f>
        <v/>
      </c>
      <c r="L79" s="41">
        <f>Assumptions!$B$51*L75*Assumptions!$B$176/(L76*Pricing!$B$15*Assumptions!$B$130*((1-Assumptions!$B$125)*Pricing!$B$31+Assumptions!$B$125*Pricing!$B$32))</f>
        <v/>
      </c>
      <c r="M79" s="41">
        <f>Assumptions!$B$51*M75*Assumptions!$B$176/(M76*Pricing!$B$15*Assumptions!$B$130*((1-Assumptions!$B$125)*Pricing!$B$31+Assumptions!$B$125*Pricing!$B$32))</f>
        <v/>
      </c>
      <c r="N79" s="41">
        <f>Assumptions!$B$51*N75*Assumptions!$B$176/(N76*Pricing!$B$15*Assumptions!$B$130*((1-Assumptions!$B$125)*Pricing!$B$31+Assumptions!$B$125*Pricing!$B$32))</f>
        <v/>
      </c>
      <c r="O79" s="41">
        <f>Assumptions!$B$51*O75*Assumptions!$B$176/(O76*Pricing!$B$15*Assumptions!$B$130*((1-Assumptions!$B$125)*Pricing!$B$31+Assumptions!$B$125*Pricing!$B$32))</f>
        <v/>
      </c>
      <c r="P79" s="41">
        <f>Assumptions!$B$51*P75*Assumptions!$B$176/(P76*Pricing!$B$15*Assumptions!$B$130*((1-Assumptions!$B$125)*Pricing!$B$31+Assumptions!$B$125*Pricing!$B$32))</f>
        <v/>
      </c>
      <c r="Q79" s="41">
        <f>Assumptions!$B$51*Q75*Assumptions!$B$176/(Q76*Pricing!$B$15*Assumptions!$B$130*((1-Assumptions!$B$125)*Pricing!$B$31+Assumptions!$B$125*Pricing!$B$32))</f>
        <v/>
      </c>
      <c r="R79" s="41">
        <f>Assumptions!$B$51*R75*Assumptions!$B$176/(R76*Pricing!$B$15*Assumptions!$B$130*((1-Assumptions!$B$125)*Pricing!$B$31+Assumptions!$B$125*Pricing!$B$32))</f>
        <v/>
      </c>
      <c r="S79" s="41">
        <f>Assumptions!$B$51*S75*Assumptions!$B$176/(S76*Pricing!$B$15*Assumptions!$B$130*((1-Assumptions!$B$125)*Pricing!$B$31+Assumptions!$B$125*Pricing!$B$32))</f>
        <v/>
      </c>
      <c r="T79" s="41">
        <f>Assumptions!$B$51*T75*Assumptions!$B$176/(T76*Pricing!$B$15*Assumptions!$B$130*((1-Assumptions!$B$125)*Pricing!$B$31+Assumptions!$B$125*Pricing!$B$32))</f>
        <v/>
      </c>
      <c r="U79" s="41">
        <f>Assumptions!$B$51*U75*Assumptions!$B$176/(U76*Pricing!$B$15*Assumptions!$B$130*((1-Assumptions!$B$125)*Pricing!$B$31+Assumptions!$B$125*Pricing!$B$32))</f>
        <v/>
      </c>
      <c r="V79" s="41">
        <f>Assumptions!$B$51*V75*Assumptions!$B$176/(V76*Pricing!$B$15*Assumptions!$B$130*((1-Assumptions!$B$125)*Pricing!$B$31+Assumptions!$B$125*Pricing!$B$32))</f>
        <v/>
      </c>
      <c r="W79" s="41">
        <f>Assumptions!$B$51*W75*Assumptions!$B$176/(W76*Pricing!$B$15*Assumptions!$B$130*((1-Assumptions!$B$125)*Pricing!$B$31+Assumptions!$B$125*Pricing!$B$32))</f>
        <v/>
      </c>
      <c r="X79" s="41">
        <f>Assumptions!$B$51*X75*Assumptions!$B$176/(X76*Pricing!$B$15*Assumptions!$B$130*((1-Assumptions!$B$125)*Pricing!$B$31+Assumptions!$B$125*Pricing!$B$32))</f>
        <v/>
      </c>
      <c r="Y79" s="41">
        <f>Assumptions!$B$51*Y75*Assumptions!$B$176/(Y76*Pricing!$B$15*Assumptions!$B$130*((1-Assumptions!$B$125)*Pricing!$B$31+Assumptions!$B$125*Pricing!$B$32))</f>
        <v/>
      </c>
      <c r="Z79" s="41">
        <f>Assumptions!$B$51*Z75*Assumptions!$B$176/(Z76*Pricing!$B$15*Assumptions!$B$130*((1-Assumptions!$B$125)*Pricing!$B$31+Assumptions!$B$125*Pricing!$B$32))</f>
        <v/>
      </c>
      <c r="AA79" s="41">
        <f>Assumptions!$B$51*AA75*Assumptions!$B$176/(AA76*Pricing!$B$15*Assumptions!$B$130*((1-Assumptions!$B$125)*Pricing!$B$31+Assumptions!$B$125*Pricing!$B$32))</f>
        <v/>
      </c>
      <c r="AB79" s="41">
        <f>Assumptions!$B$51*AB75*Assumptions!$B$176/(AB76*Pricing!$B$15*Assumptions!$B$130*((1-Assumptions!$B$125)*Pricing!$B$31+Assumptions!$B$125*Pricing!$B$32))</f>
        <v/>
      </c>
      <c r="AC79" s="41">
        <f>Assumptions!$B$51*AC75*Assumptions!$B$176/(AC76*Pricing!$B$15*Assumptions!$B$130*((1-Assumptions!$B$125)*Pricing!$B$31+Assumptions!$B$125*Pricing!$B$32))</f>
        <v/>
      </c>
      <c r="AD79" s="41">
        <f>Assumptions!$B$51*AD75*Assumptions!$B$176/(AD76*Pricing!$B$15*Assumptions!$B$130*((1-Assumptions!$B$125)*Pricing!$B$31+Assumptions!$B$125*Pricing!$B$32))</f>
        <v/>
      </c>
      <c r="AE79" s="41">
        <f>Assumptions!$B$51*AE75*Assumptions!$B$176/(AE76*Pricing!$B$15*Assumptions!$B$130*((1-Assumptions!$B$125)*Pricing!$B$31+Assumptions!$B$125*Pricing!$B$32))</f>
        <v/>
      </c>
      <c r="AF79" s="41">
        <f>Assumptions!$B$51*AF75*Assumptions!$B$176/(AF76*Pricing!$B$15*Assumptions!$B$130*((1-Assumptions!$B$125)*Pricing!$B$31+Assumptions!$B$125*Pricing!$B$32))</f>
        <v/>
      </c>
      <c r="AG79" s="41">
        <f>Assumptions!$B$51*AG75*Assumptions!$B$176/(AG76*Pricing!$B$15*Assumptions!$B$130*((1-Assumptions!$B$125)*Pricing!$B$31+Assumptions!$B$125*Pricing!$B$32))</f>
        <v/>
      </c>
      <c r="AH79" s="41">
        <f>Assumptions!$B$51*AH75*Assumptions!$B$176/(AH76*Pricing!$B$15*Assumptions!$B$130*((1-Assumptions!$B$125)*Pricing!$B$31+Assumptions!$B$125*Pricing!$B$32))</f>
        <v/>
      </c>
      <c r="AI79" s="41">
        <f>Assumptions!$B$51*AI75*Assumptions!$B$176/(AI76*Pricing!$B$15*Assumptions!$B$130*((1-Assumptions!$B$125)*Pricing!$B$31+Assumptions!$B$125*Pricing!$B$32))</f>
        <v/>
      </c>
      <c r="AJ79" s="41">
        <f>Assumptions!$B$51*AJ75*Assumptions!$B$176/(AJ76*Pricing!$B$15*Assumptions!$B$130*((1-Assumptions!$B$125)*Pricing!$B$31+Assumptions!$B$125*Pricing!$B$32))</f>
        <v/>
      </c>
      <c r="AK79" s="41">
        <f>Assumptions!$B$51*AK75*Assumptions!$B$176/(AK76*Pricing!$B$15*Assumptions!$B$130*((1-Assumptions!$B$125)*Pricing!$B$31+Assumptions!$B$125*Pricing!$B$32))</f>
        <v/>
      </c>
      <c r="AL79" s="41">
        <f>Assumptions!$B$51*AL75*Assumptions!$B$176/(AL76*Pricing!$B$15*Assumptions!$B$130*((1-Assumptions!$B$125)*Pricing!$B$31+Assumptions!$B$125*Pricing!$B$32))</f>
        <v/>
      </c>
      <c r="AM79" s="41">
        <f>Assumptions!$B$51*AM75*Assumptions!$B$176/(AM76*Pricing!$B$15*Assumptions!$B$130*((1-Assumptions!$B$125)*Pricing!$B$31+Assumptions!$B$125*Pricing!$B$32))</f>
        <v/>
      </c>
      <c r="AN79" s="41">
        <f>Assumptions!$B$51*AN75*Assumptions!$B$176/(AN76*Pricing!$B$15*Assumptions!$B$130*((1-Assumptions!$B$125)*Pricing!$B$31+Assumptions!$B$125*Pricing!$B$32))</f>
        <v/>
      </c>
      <c r="AO79" s="41">
        <f>Assumptions!$B$51*AO75*Assumptions!$B$176/(AO76*Pricing!$B$15*Assumptions!$B$130*((1-Assumptions!$B$125)*Pricing!$B$31+Assumptions!$B$125*Pricing!$B$32))</f>
        <v/>
      </c>
      <c r="AP79" s="41">
        <f>Assumptions!$B$51*AP75*Assumptions!$B$176/(AP76*Pricing!$B$15*Assumptions!$B$130*((1-Assumptions!$B$125)*Pricing!$B$31+Assumptions!$B$125*Pricing!$B$32))</f>
        <v/>
      </c>
      <c r="AQ79" s="41">
        <f>Assumptions!$B$51*AQ75*Assumptions!$B$176/(AQ76*Pricing!$B$15*Assumptions!$B$130*((1-Assumptions!$B$125)*Pricing!$B$31+Assumptions!$B$125*Pricing!$B$32))</f>
        <v/>
      </c>
      <c r="AR79" s="41">
        <f>Assumptions!$B$51*AR75*Assumptions!$B$176/(AR76*Pricing!$B$15*Assumptions!$B$130*((1-Assumptions!$B$125)*Pricing!$B$31+Assumptions!$B$125*Pricing!$B$32))</f>
        <v/>
      </c>
      <c r="AS79" s="41">
        <f>Assumptions!$B$51*AS75*Assumptions!$B$176/(AS76*Pricing!$B$15*Assumptions!$B$130*((1-Assumptions!$B$125)*Pricing!$B$31+Assumptions!$B$125*Pricing!$B$32))</f>
        <v/>
      </c>
      <c r="AT79" s="41">
        <f>Assumptions!$B$51*AT75*Assumptions!$B$176/(AT76*Pricing!$B$15*Assumptions!$B$130*((1-Assumptions!$B$125)*Pricing!$B$31+Assumptions!$B$125*Pricing!$B$32))</f>
        <v/>
      </c>
      <c r="AU79" s="41">
        <f>Assumptions!$B$51*AU75*Assumptions!$B$176/(AU76*Pricing!$B$15*Assumptions!$B$130*((1-Assumptions!$B$125)*Pricing!$B$31+Assumptions!$B$125*Pricing!$B$32))</f>
        <v/>
      </c>
      <c r="AV79" s="41">
        <f>Assumptions!$B$51*AV75*Assumptions!$B$176/(AV76*Pricing!$B$15*Assumptions!$B$130*((1-Assumptions!$B$125)*Pricing!$B$31+Assumptions!$B$125*Pricing!$B$32))</f>
        <v/>
      </c>
      <c r="AW79" s="41">
        <f>Assumptions!$B$51*AW75*Assumptions!$B$176/(AW76*Pricing!$B$15*Assumptions!$B$130*((1-Assumptions!$B$125)*Pricing!$B$31+Assumptions!$B$125*Pricing!$B$32))</f>
        <v/>
      </c>
      <c r="AX79" s="41">
        <f>Assumptions!$B$51*AX75*Assumptions!$B$176/(AX76*Pricing!$B$15*Assumptions!$B$130*((1-Assumptions!$B$125)*Pricing!$B$31+Assumptions!$B$125*Pricing!$B$32))</f>
        <v/>
      </c>
      <c r="AY79" s="41">
        <f>Assumptions!$B$51*AY75*Assumptions!$B$176/(AY76*Pricing!$B$15*Assumptions!$B$130*((1-Assumptions!$B$125)*Pricing!$B$31+Assumptions!$B$125*Pricing!$B$32))</f>
        <v/>
      </c>
      <c r="AZ79" s="41">
        <f>Assumptions!$B$51*AZ75*Assumptions!$B$176/(AZ76*Pricing!$B$15*Assumptions!$B$130*((1-Assumptions!$B$125)*Pricing!$B$31+Assumptions!$B$125*Pricing!$B$32))</f>
        <v/>
      </c>
      <c r="BA79" s="41">
        <f>Assumptions!$B$51*BA75*Assumptions!$B$176/(BA76*Pricing!$B$15*Assumptions!$B$130*((1-Assumptions!$B$125)*Pricing!$B$31+Assumptions!$B$125*Pricing!$B$32))</f>
        <v/>
      </c>
      <c r="BB79" s="41">
        <f>Assumptions!$B$51*BB75*Assumptions!$B$176/(BB76*Pricing!$B$15*Assumptions!$B$130*((1-Assumptions!$B$125)*Pricing!$B$31+Assumptions!$B$125*Pricing!$B$32))</f>
        <v/>
      </c>
      <c r="BC79" s="41">
        <f>Assumptions!$B$51*BC75*Assumptions!$B$176/(BC76*Pricing!$B$15*Assumptions!$B$130*((1-Assumptions!$B$125)*Pricing!$B$31+Assumptions!$B$125*Pricing!$B$32))</f>
        <v/>
      </c>
      <c r="BD79" s="41">
        <f>Assumptions!$B$51*BD75*Assumptions!$B$176/(BD76*Pricing!$B$15*Assumptions!$B$130*((1-Assumptions!$B$125)*Pricing!$B$31+Assumptions!$B$125*Pricing!$B$32))</f>
        <v/>
      </c>
      <c r="BE79" s="41">
        <f>Assumptions!$B$51*BE75*Assumptions!$B$176/(BE76*Pricing!$B$15*Assumptions!$B$130*((1-Assumptions!$B$125)*Pricing!$B$31+Assumptions!$B$125*Pricing!$B$32))</f>
        <v/>
      </c>
      <c r="BF79" s="41">
        <f>Assumptions!$B$51*BF75*Assumptions!$B$176/(BF76*Pricing!$B$15*Assumptions!$B$130*((1-Assumptions!$B$125)*Pricing!$B$31+Assumptions!$B$125*Pricing!$B$32))</f>
        <v/>
      </c>
      <c r="BG79" s="41">
        <f>Assumptions!$B$51*BG75*Assumptions!$B$176/(BG76*Pricing!$B$15*Assumptions!$B$130*((1-Assumptions!$B$125)*Pricing!$B$31+Assumptions!$B$125*Pricing!$B$32))</f>
        <v/>
      </c>
      <c r="BH79" s="41">
        <f>Assumptions!$B$51*BH75*Assumptions!$B$176/(BH76*Pricing!$B$15*Assumptions!$B$130*((1-Assumptions!$B$125)*Pricing!$B$31+Assumptions!$B$125*Pricing!$B$32))</f>
        <v/>
      </c>
      <c r="BI79" s="41">
        <f>Assumptions!$B$51*BI75*Assumptions!$B$176/(BI76*Pricing!$B$15*Assumptions!$B$130*((1-Assumptions!$B$125)*Pricing!$B$31+Assumptions!$B$125*Pricing!$B$32))</f>
        <v/>
      </c>
      <c r="BJ79" s="41">
        <f>Assumptions!$B$51*BJ75*Assumptions!$B$176/(BJ76*Pricing!$B$15*Assumptions!$B$130*((1-Assumptions!$B$125)*Pricing!$B$31+Assumptions!$B$125*Pricing!$B$32))</f>
        <v/>
      </c>
    </row>
    <row r="80">
      <c r="A80" s="4" t="inlineStr">
        <is>
          <t>Paid acquisition allowed (payback &lt;= max), Solo: South Africa</t>
        </is>
      </c>
      <c r="B80" s="17" t="inlineStr">
        <is>
          <t>flag</t>
        </is>
      </c>
      <c r="C80" s="10">
        <f>IF(C79&lt;=Assumptions!$B$129,1,0)</f>
        <v/>
      </c>
      <c r="D80" s="10">
        <f>IF(D79&lt;=Assumptions!$B$129,1,0)</f>
        <v/>
      </c>
      <c r="E80" s="10">
        <f>IF(E79&lt;=Assumptions!$B$129,1,0)</f>
        <v/>
      </c>
      <c r="F80" s="10">
        <f>IF(F79&lt;=Assumptions!$B$129,1,0)</f>
        <v/>
      </c>
      <c r="G80" s="10">
        <f>IF(G79&lt;=Assumptions!$B$129,1,0)</f>
        <v/>
      </c>
      <c r="H80" s="10">
        <f>IF(H79&lt;=Assumptions!$B$129,1,0)</f>
        <v/>
      </c>
      <c r="I80" s="10">
        <f>IF(I79&lt;=Assumptions!$B$129,1,0)</f>
        <v/>
      </c>
      <c r="J80" s="10">
        <f>IF(J79&lt;=Assumptions!$B$129,1,0)</f>
        <v/>
      </c>
      <c r="K80" s="10">
        <f>IF(K79&lt;=Assumptions!$B$129,1,0)</f>
        <v/>
      </c>
      <c r="L80" s="10">
        <f>IF(L79&lt;=Assumptions!$B$129,1,0)</f>
        <v/>
      </c>
      <c r="M80" s="10">
        <f>IF(M79&lt;=Assumptions!$B$129,1,0)</f>
        <v/>
      </c>
      <c r="N80" s="10">
        <f>IF(N79&lt;=Assumptions!$B$129,1,0)</f>
        <v/>
      </c>
      <c r="O80" s="10">
        <f>IF(O79&lt;=Assumptions!$B$129,1,0)</f>
        <v/>
      </c>
      <c r="P80" s="10">
        <f>IF(P79&lt;=Assumptions!$B$129,1,0)</f>
        <v/>
      </c>
      <c r="Q80" s="10">
        <f>IF(Q79&lt;=Assumptions!$B$129,1,0)</f>
        <v/>
      </c>
      <c r="R80" s="10">
        <f>IF(R79&lt;=Assumptions!$B$129,1,0)</f>
        <v/>
      </c>
      <c r="S80" s="10">
        <f>IF(S79&lt;=Assumptions!$B$129,1,0)</f>
        <v/>
      </c>
      <c r="T80" s="10">
        <f>IF(T79&lt;=Assumptions!$B$129,1,0)</f>
        <v/>
      </c>
      <c r="U80" s="10">
        <f>IF(U79&lt;=Assumptions!$B$129,1,0)</f>
        <v/>
      </c>
      <c r="V80" s="10">
        <f>IF(V79&lt;=Assumptions!$B$129,1,0)</f>
        <v/>
      </c>
      <c r="W80" s="10">
        <f>IF(W79&lt;=Assumptions!$B$129,1,0)</f>
        <v/>
      </c>
      <c r="X80" s="10">
        <f>IF(X79&lt;=Assumptions!$B$129,1,0)</f>
        <v/>
      </c>
      <c r="Y80" s="10">
        <f>IF(Y79&lt;=Assumptions!$B$129,1,0)</f>
        <v/>
      </c>
      <c r="Z80" s="10">
        <f>IF(Z79&lt;=Assumptions!$B$129,1,0)</f>
        <v/>
      </c>
      <c r="AA80" s="10">
        <f>IF(AA79&lt;=Assumptions!$B$129,1,0)</f>
        <v/>
      </c>
      <c r="AB80" s="10">
        <f>IF(AB79&lt;=Assumptions!$B$129,1,0)</f>
        <v/>
      </c>
      <c r="AC80" s="10">
        <f>IF(AC79&lt;=Assumptions!$B$129,1,0)</f>
        <v/>
      </c>
      <c r="AD80" s="10">
        <f>IF(AD79&lt;=Assumptions!$B$129,1,0)</f>
        <v/>
      </c>
      <c r="AE80" s="10">
        <f>IF(AE79&lt;=Assumptions!$B$129,1,0)</f>
        <v/>
      </c>
      <c r="AF80" s="10">
        <f>IF(AF79&lt;=Assumptions!$B$129,1,0)</f>
        <v/>
      </c>
      <c r="AG80" s="10">
        <f>IF(AG79&lt;=Assumptions!$B$129,1,0)</f>
        <v/>
      </c>
      <c r="AH80" s="10">
        <f>IF(AH79&lt;=Assumptions!$B$129,1,0)</f>
        <v/>
      </c>
      <c r="AI80" s="10">
        <f>IF(AI79&lt;=Assumptions!$B$129,1,0)</f>
        <v/>
      </c>
      <c r="AJ80" s="10">
        <f>IF(AJ79&lt;=Assumptions!$B$129,1,0)</f>
        <v/>
      </c>
      <c r="AK80" s="10">
        <f>IF(AK79&lt;=Assumptions!$B$129,1,0)</f>
        <v/>
      </c>
      <c r="AL80" s="10">
        <f>IF(AL79&lt;=Assumptions!$B$129,1,0)</f>
        <v/>
      </c>
      <c r="AM80" s="10">
        <f>IF(AM79&lt;=Assumptions!$B$129,1,0)</f>
        <v/>
      </c>
      <c r="AN80" s="10">
        <f>IF(AN79&lt;=Assumptions!$B$129,1,0)</f>
        <v/>
      </c>
      <c r="AO80" s="10">
        <f>IF(AO79&lt;=Assumptions!$B$129,1,0)</f>
        <v/>
      </c>
      <c r="AP80" s="10">
        <f>IF(AP79&lt;=Assumptions!$B$129,1,0)</f>
        <v/>
      </c>
      <c r="AQ80" s="10">
        <f>IF(AQ79&lt;=Assumptions!$B$129,1,0)</f>
        <v/>
      </c>
      <c r="AR80" s="10">
        <f>IF(AR79&lt;=Assumptions!$B$129,1,0)</f>
        <v/>
      </c>
      <c r="AS80" s="10">
        <f>IF(AS79&lt;=Assumptions!$B$129,1,0)</f>
        <v/>
      </c>
      <c r="AT80" s="10">
        <f>IF(AT79&lt;=Assumptions!$B$129,1,0)</f>
        <v/>
      </c>
      <c r="AU80" s="10">
        <f>IF(AU79&lt;=Assumptions!$B$129,1,0)</f>
        <v/>
      </c>
      <c r="AV80" s="10">
        <f>IF(AV79&lt;=Assumptions!$B$129,1,0)</f>
        <v/>
      </c>
      <c r="AW80" s="10">
        <f>IF(AW79&lt;=Assumptions!$B$129,1,0)</f>
        <v/>
      </c>
      <c r="AX80" s="10">
        <f>IF(AX79&lt;=Assumptions!$B$129,1,0)</f>
        <v/>
      </c>
      <c r="AY80" s="10">
        <f>IF(AY79&lt;=Assumptions!$B$129,1,0)</f>
        <v/>
      </c>
      <c r="AZ80" s="10">
        <f>IF(AZ79&lt;=Assumptions!$B$129,1,0)</f>
        <v/>
      </c>
      <c r="BA80" s="10">
        <f>IF(BA79&lt;=Assumptions!$B$129,1,0)</f>
        <v/>
      </c>
      <c r="BB80" s="10">
        <f>IF(BB79&lt;=Assumptions!$B$129,1,0)</f>
        <v/>
      </c>
      <c r="BC80" s="10">
        <f>IF(BC79&lt;=Assumptions!$B$129,1,0)</f>
        <v/>
      </c>
      <c r="BD80" s="10">
        <f>IF(BD79&lt;=Assumptions!$B$129,1,0)</f>
        <v/>
      </c>
      <c r="BE80" s="10">
        <f>IF(BE79&lt;=Assumptions!$B$129,1,0)</f>
        <v/>
      </c>
      <c r="BF80" s="10">
        <f>IF(BF79&lt;=Assumptions!$B$129,1,0)</f>
        <v/>
      </c>
      <c r="BG80" s="10">
        <f>IF(BG79&lt;=Assumptions!$B$129,1,0)</f>
        <v/>
      </c>
      <c r="BH80" s="10">
        <f>IF(BH79&lt;=Assumptions!$B$129,1,0)</f>
        <v/>
      </c>
      <c r="BI80" s="10">
        <f>IF(BI79&lt;=Assumptions!$B$129,1,0)</f>
        <v/>
      </c>
      <c r="BJ80" s="10">
        <f>IF(BJ79&lt;=Assumptions!$B$129,1,0)</f>
        <v/>
      </c>
    </row>
    <row r="81">
      <c r="A81" s="4" t="inlineStr">
        <is>
          <t>CAC payback, Solo: Nigeria</t>
        </is>
      </c>
      <c r="B81" s="17" t="inlineStr">
        <is>
          <t>months</t>
        </is>
      </c>
      <c r="C81" s="41">
        <f>Assumptions!$B$51*C75*Assumptions!$B$176*Assumptions!$B$70/(C76*Pricing!$B$15*C38*Assumptions!$B$130*((1-Assumptions!$B$125)*Pricing!$C$31+Assumptions!$B$125*Pricing!$C$32))</f>
        <v/>
      </c>
      <c r="D81" s="41">
        <f>Assumptions!$B$51*D75*Assumptions!$B$176*Assumptions!$B$70/(D76*Pricing!$B$15*D38*Assumptions!$B$130*((1-Assumptions!$B$125)*Pricing!$C$31+Assumptions!$B$125*Pricing!$C$32))</f>
        <v/>
      </c>
      <c r="E81" s="41">
        <f>Assumptions!$B$51*E75*Assumptions!$B$176*Assumptions!$B$70/(E76*Pricing!$B$15*E38*Assumptions!$B$130*((1-Assumptions!$B$125)*Pricing!$C$31+Assumptions!$B$125*Pricing!$C$32))</f>
        <v/>
      </c>
      <c r="F81" s="41">
        <f>Assumptions!$B$51*F75*Assumptions!$B$176*Assumptions!$B$70/(F76*Pricing!$B$15*F38*Assumptions!$B$130*((1-Assumptions!$B$125)*Pricing!$C$31+Assumptions!$B$125*Pricing!$C$32))</f>
        <v/>
      </c>
      <c r="G81" s="41">
        <f>Assumptions!$B$51*G75*Assumptions!$B$176*Assumptions!$B$70/(G76*Pricing!$B$15*G38*Assumptions!$B$130*((1-Assumptions!$B$125)*Pricing!$C$31+Assumptions!$B$125*Pricing!$C$32))</f>
        <v/>
      </c>
      <c r="H81" s="41">
        <f>Assumptions!$B$51*H75*Assumptions!$B$176*Assumptions!$B$70/(H76*Pricing!$B$15*H38*Assumptions!$B$130*((1-Assumptions!$B$125)*Pricing!$C$31+Assumptions!$B$125*Pricing!$C$32))</f>
        <v/>
      </c>
      <c r="I81" s="41">
        <f>Assumptions!$B$51*I75*Assumptions!$B$176*Assumptions!$B$70/(I76*Pricing!$B$15*I38*Assumptions!$B$130*((1-Assumptions!$B$125)*Pricing!$C$31+Assumptions!$B$125*Pricing!$C$32))</f>
        <v/>
      </c>
      <c r="J81" s="41">
        <f>Assumptions!$B$51*J75*Assumptions!$B$176*Assumptions!$B$70/(J76*Pricing!$B$15*J38*Assumptions!$B$130*((1-Assumptions!$B$125)*Pricing!$C$31+Assumptions!$B$125*Pricing!$C$32))</f>
        <v/>
      </c>
      <c r="K81" s="41">
        <f>Assumptions!$B$51*K75*Assumptions!$B$176*Assumptions!$B$70/(K76*Pricing!$B$15*K38*Assumptions!$B$130*((1-Assumptions!$B$125)*Pricing!$C$31+Assumptions!$B$125*Pricing!$C$32))</f>
        <v/>
      </c>
      <c r="L81" s="41">
        <f>Assumptions!$B$51*L75*Assumptions!$B$176*Assumptions!$B$70/(L76*Pricing!$B$15*L38*Assumptions!$B$130*((1-Assumptions!$B$125)*Pricing!$C$31+Assumptions!$B$125*Pricing!$C$32))</f>
        <v/>
      </c>
      <c r="M81" s="41">
        <f>Assumptions!$B$51*M75*Assumptions!$B$176*Assumptions!$B$70/(M76*Pricing!$B$15*M38*Assumptions!$B$130*((1-Assumptions!$B$125)*Pricing!$C$31+Assumptions!$B$125*Pricing!$C$32))</f>
        <v/>
      </c>
      <c r="N81" s="41">
        <f>Assumptions!$B$51*N75*Assumptions!$B$176*Assumptions!$B$70/(N76*Pricing!$B$15*N38*Assumptions!$B$130*((1-Assumptions!$B$125)*Pricing!$C$31+Assumptions!$B$125*Pricing!$C$32))</f>
        <v/>
      </c>
      <c r="O81" s="41">
        <f>Assumptions!$B$51*O75*Assumptions!$B$176*Assumptions!$B$70/(O76*Pricing!$B$15*O38*Assumptions!$B$130*((1-Assumptions!$B$125)*Pricing!$C$31+Assumptions!$B$125*Pricing!$C$32))</f>
        <v/>
      </c>
      <c r="P81" s="41">
        <f>Assumptions!$B$51*P75*Assumptions!$B$176*Assumptions!$B$70/(P76*Pricing!$B$15*P38*Assumptions!$B$130*((1-Assumptions!$B$125)*Pricing!$C$31+Assumptions!$B$125*Pricing!$C$32))</f>
        <v/>
      </c>
      <c r="Q81" s="41">
        <f>Assumptions!$B$51*Q75*Assumptions!$B$176*Assumptions!$B$70/(Q76*Pricing!$B$15*Q38*Assumptions!$B$130*((1-Assumptions!$B$125)*Pricing!$C$31+Assumptions!$B$125*Pricing!$C$32))</f>
        <v/>
      </c>
      <c r="R81" s="41">
        <f>Assumptions!$B$51*R75*Assumptions!$B$176*Assumptions!$B$70/(R76*Pricing!$B$15*R38*Assumptions!$B$130*((1-Assumptions!$B$125)*Pricing!$C$31+Assumptions!$B$125*Pricing!$C$32))</f>
        <v/>
      </c>
      <c r="S81" s="41">
        <f>Assumptions!$B$51*S75*Assumptions!$B$176*Assumptions!$B$70/(S76*Pricing!$B$15*S38*Assumptions!$B$130*((1-Assumptions!$B$125)*Pricing!$C$31+Assumptions!$B$125*Pricing!$C$32))</f>
        <v/>
      </c>
      <c r="T81" s="41">
        <f>Assumptions!$B$51*T75*Assumptions!$B$176*Assumptions!$B$70/(T76*Pricing!$B$15*T38*Assumptions!$B$130*((1-Assumptions!$B$125)*Pricing!$C$31+Assumptions!$B$125*Pricing!$C$32))</f>
        <v/>
      </c>
      <c r="U81" s="41">
        <f>Assumptions!$B$51*U75*Assumptions!$B$176*Assumptions!$B$70/(U76*Pricing!$B$15*U38*Assumptions!$B$130*((1-Assumptions!$B$125)*Pricing!$C$31+Assumptions!$B$125*Pricing!$C$32))</f>
        <v/>
      </c>
      <c r="V81" s="41">
        <f>Assumptions!$B$51*V75*Assumptions!$B$176*Assumptions!$B$70/(V76*Pricing!$B$15*V38*Assumptions!$B$130*((1-Assumptions!$B$125)*Pricing!$C$31+Assumptions!$B$125*Pricing!$C$32))</f>
        <v/>
      </c>
      <c r="W81" s="41">
        <f>Assumptions!$B$51*W75*Assumptions!$B$176*Assumptions!$B$70/(W76*Pricing!$B$15*W38*Assumptions!$B$130*((1-Assumptions!$B$125)*Pricing!$C$31+Assumptions!$B$125*Pricing!$C$32))</f>
        <v/>
      </c>
      <c r="X81" s="41">
        <f>Assumptions!$B$51*X75*Assumptions!$B$176*Assumptions!$B$70/(X76*Pricing!$B$15*X38*Assumptions!$B$130*((1-Assumptions!$B$125)*Pricing!$C$31+Assumptions!$B$125*Pricing!$C$32))</f>
        <v/>
      </c>
      <c r="Y81" s="41">
        <f>Assumptions!$B$51*Y75*Assumptions!$B$176*Assumptions!$B$70/(Y76*Pricing!$B$15*Y38*Assumptions!$B$130*((1-Assumptions!$B$125)*Pricing!$C$31+Assumptions!$B$125*Pricing!$C$32))</f>
        <v/>
      </c>
      <c r="Z81" s="41">
        <f>Assumptions!$B$51*Z75*Assumptions!$B$176*Assumptions!$B$70/(Z76*Pricing!$B$15*Z38*Assumptions!$B$130*((1-Assumptions!$B$125)*Pricing!$C$31+Assumptions!$B$125*Pricing!$C$32))</f>
        <v/>
      </c>
      <c r="AA81" s="41">
        <f>Assumptions!$B$51*AA75*Assumptions!$B$176*Assumptions!$B$70/(AA76*Pricing!$B$15*AA38*Assumptions!$B$130*((1-Assumptions!$B$125)*Pricing!$C$31+Assumptions!$B$125*Pricing!$C$32))</f>
        <v/>
      </c>
      <c r="AB81" s="41">
        <f>Assumptions!$B$51*AB75*Assumptions!$B$176*Assumptions!$B$70/(AB76*Pricing!$B$15*AB38*Assumptions!$B$130*((1-Assumptions!$B$125)*Pricing!$C$31+Assumptions!$B$125*Pricing!$C$32))</f>
        <v/>
      </c>
      <c r="AC81" s="41">
        <f>Assumptions!$B$51*AC75*Assumptions!$B$176*Assumptions!$B$70/(AC76*Pricing!$B$15*AC38*Assumptions!$B$130*((1-Assumptions!$B$125)*Pricing!$C$31+Assumptions!$B$125*Pricing!$C$32))</f>
        <v/>
      </c>
      <c r="AD81" s="41">
        <f>Assumptions!$B$51*AD75*Assumptions!$B$176*Assumptions!$B$70/(AD76*Pricing!$B$15*AD38*Assumptions!$B$130*((1-Assumptions!$B$125)*Pricing!$C$31+Assumptions!$B$125*Pricing!$C$32))</f>
        <v/>
      </c>
      <c r="AE81" s="41">
        <f>Assumptions!$B$51*AE75*Assumptions!$B$176*Assumptions!$B$70/(AE76*Pricing!$B$15*AE38*Assumptions!$B$130*((1-Assumptions!$B$125)*Pricing!$C$31+Assumptions!$B$125*Pricing!$C$32))</f>
        <v/>
      </c>
      <c r="AF81" s="41">
        <f>Assumptions!$B$51*AF75*Assumptions!$B$176*Assumptions!$B$70/(AF76*Pricing!$B$15*AF38*Assumptions!$B$130*((1-Assumptions!$B$125)*Pricing!$C$31+Assumptions!$B$125*Pricing!$C$32))</f>
        <v/>
      </c>
      <c r="AG81" s="41">
        <f>Assumptions!$B$51*AG75*Assumptions!$B$176*Assumptions!$B$70/(AG76*Pricing!$B$15*AG38*Assumptions!$B$130*((1-Assumptions!$B$125)*Pricing!$C$31+Assumptions!$B$125*Pricing!$C$32))</f>
        <v/>
      </c>
      <c r="AH81" s="41">
        <f>Assumptions!$B$51*AH75*Assumptions!$B$176*Assumptions!$B$70/(AH76*Pricing!$B$15*AH38*Assumptions!$B$130*((1-Assumptions!$B$125)*Pricing!$C$31+Assumptions!$B$125*Pricing!$C$32))</f>
        <v/>
      </c>
      <c r="AI81" s="41">
        <f>Assumptions!$B$51*AI75*Assumptions!$B$176*Assumptions!$B$70/(AI76*Pricing!$B$15*AI38*Assumptions!$B$130*((1-Assumptions!$B$125)*Pricing!$C$31+Assumptions!$B$125*Pricing!$C$32))</f>
        <v/>
      </c>
      <c r="AJ81" s="41">
        <f>Assumptions!$B$51*AJ75*Assumptions!$B$176*Assumptions!$B$70/(AJ76*Pricing!$B$15*AJ38*Assumptions!$B$130*((1-Assumptions!$B$125)*Pricing!$C$31+Assumptions!$B$125*Pricing!$C$32))</f>
        <v/>
      </c>
      <c r="AK81" s="41">
        <f>Assumptions!$B$51*AK75*Assumptions!$B$176*Assumptions!$B$70/(AK76*Pricing!$B$15*AK38*Assumptions!$B$130*((1-Assumptions!$B$125)*Pricing!$C$31+Assumptions!$B$125*Pricing!$C$32))</f>
        <v/>
      </c>
      <c r="AL81" s="41">
        <f>Assumptions!$B$51*AL75*Assumptions!$B$176*Assumptions!$B$70/(AL76*Pricing!$B$15*AL38*Assumptions!$B$130*((1-Assumptions!$B$125)*Pricing!$C$31+Assumptions!$B$125*Pricing!$C$32))</f>
        <v/>
      </c>
      <c r="AM81" s="41">
        <f>Assumptions!$B$51*AM75*Assumptions!$B$176*Assumptions!$B$70/(AM76*Pricing!$B$15*AM38*Assumptions!$B$130*((1-Assumptions!$B$125)*Pricing!$C$31+Assumptions!$B$125*Pricing!$C$32))</f>
        <v/>
      </c>
      <c r="AN81" s="41">
        <f>Assumptions!$B$51*AN75*Assumptions!$B$176*Assumptions!$B$70/(AN76*Pricing!$B$15*AN38*Assumptions!$B$130*((1-Assumptions!$B$125)*Pricing!$C$31+Assumptions!$B$125*Pricing!$C$32))</f>
        <v/>
      </c>
      <c r="AO81" s="41">
        <f>Assumptions!$B$51*AO75*Assumptions!$B$176*Assumptions!$B$70/(AO76*Pricing!$B$15*AO38*Assumptions!$B$130*((1-Assumptions!$B$125)*Pricing!$C$31+Assumptions!$B$125*Pricing!$C$32))</f>
        <v/>
      </c>
      <c r="AP81" s="41">
        <f>Assumptions!$B$51*AP75*Assumptions!$B$176*Assumptions!$B$70/(AP76*Pricing!$B$15*AP38*Assumptions!$B$130*((1-Assumptions!$B$125)*Pricing!$C$31+Assumptions!$B$125*Pricing!$C$32))</f>
        <v/>
      </c>
      <c r="AQ81" s="41">
        <f>Assumptions!$B$51*AQ75*Assumptions!$B$176*Assumptions!$B$70/(AQ76*Pricing!$B$15*AQ38*Assumptions!$B$130*((1-Assumptions!$B$125)*Pricing!$C$31+Assumptions!$B$125*Pricing!$C$32))</f>
        <v/>
      </c>
      <c r="AR81" s="41">
        <f>Assumptions!$B$51*AR75*Assumptions!$B$176*Assumptions!$B$70/(AR76*Pricing!$B$15*AR38*Assumptions!$B$130*((1-Assumptions!$B$125)*Pricing!$C$31+Assumptions!$B$125*Pricing!$C$32))</f>
        <v/>
      </c>
      <c r="AS81" s="41">
        <f>Assumptions!$B$51*AS75*Assumptions!$B$176*Assumptions!$B$70/(AS76*Pricing!$B$15*AS38*Assumptions!$B$130*((1-Assumptions!$B$125)*Pricing!$C$31+Assumptions!$B$125*Pricing!$C$32))</f>
        <v/>
      </c>
      <c r="AT81" s="41">
        <f>Assumptions!$B$51*AT75*Assumptions!$B$176*Assumptions!$B$70/(AT76*Pricing!$B$15*AT38*Assumptions!$B$130*((1-Assumptions!$B$125)*Pricing!$C$31+Assumptions!$B$125*Pricing!$C$32))</f>
        <v/>
      </c>
      <c r="AU81" s="41">
        <f>Assumptions!$B$51*AU75*Assumptions!$B$176*Assumptions!$B$70/(AU76*Pricing!$B$15*AU38*Assumptions!$B$130*((1-Assumptions!$B$125)*Pricing!$C$31+Assumptions!$B$125*Pricing!$C$32))</f>
        <v/>
      </c>
      <c r="AV81" s="41">
        <f>Assumptions!$B$51*AV75*Assumptions!$B$176*Assumptions!$B$70/(AV76*Pricing!$B$15*AV38*Assumptions!$B$130*((1-Assumptions!$B$125)*Pricing!$C$31+Assumptions!$B$125*Pricing!$C$32))</f>
        <v/>
      </c>
      <c r="AW81" s="41">
        <f>Assumptions!$B$51*AW75*Assumptions!$B$176*Assumptions!$B$70/(AW76*Pricing!$B$15*AW38*Assumptions!$B$130*((1-Assumptions!$B$125)*Pricing!$C$31+Assumptions!$B$125*Pricing!$C$32))</f>
        <v/>
      </c>
      <c r="AX81" s="41">
        <f>Assumptions!$B$51*AX75*Assumptions!$B$176*Assumptions!$B$70/(AX76*Pricing!$B$15*AX38*Assumptions!$B$130*((1-Assumptions!$B$125)*Pricing!$C$31+Assumptions!$B$125*Pricing!$C$32))</f>
        <v/>
      </c>
      <c r="AY81" s="41">
        <f>Assumptions!$B$51*AY75*Assumptions!$B$176*Assumptions!$B$70/(AY76*Pricing!$B$15*AY38*Assumptions!$B$130*((1-Assumptions!$B$125)*Pricing!$C$31+Assumptions!$B$125*Pricing!$C$32))</f>
        <v/>
      </c>
      <c r="AZ81" s="41">
        <f>Assumptions!$B$51*AZ75*Assumptions!$B$176*Assumptions!$B$70/(AZ76*Pricing!$B$15*AZ38*Assumptions!$B$130*((1-Assumptions!$B$125)*Pricing!$C$31+Assumptions!$B$125*Pricing!$C$32))</f>
        <v/>
      </c>
      <c r="BA81" s="41">
        <f>Assumptions!$B$51*BA75*Assumptions!$B$176*Assumptions!$B$70/(BA76*Pricing!$B$15*BA38*Assumptions!$B$130*((1-Assumptions!$B$125)*Pricing!$C$31+Assumptions!$B$125*Pricing!$C$32))</f>
        <v/>
      </c>
      <c r="BB81" s="41">
        <f>Assumptions!$B$51*BB75*Assumptions!$B$176*Assumptions!$B$70/(BB76*Pricing!$B$15*BB38*Assumptions!$B$130*((1-Assumptions!$B$125)*Pricing!$C$31+Assumptions!$B$125*Pricing!$C$32))</f>
        <v/>
      </c>
      <c r="BC81" s="41">
        <f>Assumptions!$B$51*BC75*Assumptions!$B$176*Assumptions!$B$70/(BC76*Pricing!$B$15*BC38*Assumptions!$B$130*((1-Assumptions!$B$125)*Pricing!$C$31+Assumptions!$B$125*Pricing!$C$32))</f>
        <v/>
      </c>
      <c r="BD81" s="41">
        <f>Assumptions!$B$51*BD75*Assumptions!$B$176*Assumptions!$B$70/(BD76*Pricing!$B$15*BD38*Assumptions!$B$130*((1-Assumptions!$B$125)*Pricing!$C$31+Assumptions!$B$125*Pricing!$C$32))</f>
        <v/>
      </c>
      <c r="BE81" s="41">
        <f>Assumptions!$B$51*BE75*Assumptions!$B$176*Assumptions!$B$70/(BE76*Pricing!$B$15*BE38*Assumptions!$B$130*((1-Assumptions!$B$125)*Pricing!$C$31+Assumptions!$B$125*Pricing!$C$32))</f>
        <v/>
      </c>
      <c r="BF81" s="41">
        <f>Assumptions!$B$51*BF75*Assumptions!$B$176*Assumptions!$B$70/(BF76*Pricing!$B$15*BF38*Assumptions!$B$130*((1-Assumptions!$B$125)*Pricing!$C$31+Assumptions!$B$125*Pricing!$C$32))</f>
        <v/>
      </c>
      <c r="BG81" s="41">
        <f>Assumptions!$B$51*BG75*Assumptions!$B$176*Assumptions!$B$70/(BG76*Pricing!$B$15*BG38*Assumptions!$B$130*((1-Assumptions!$B$125)*Pricing!$C$31+Assumptions!$B$125*Pricing!$C$32))</f>
        <v/>
      </c>
      <c r="BH81" s="41">
        <f>Assumptions!$B$51*BH75*Assumptions!$B$176*Assumptions!$B$70/(BH76*Pricing!$B$15*BH38*Assumptions!$B$130*((1-Assumptions!$B$125)*Pricing!$C$31+Assumptions!$B$125*Pricing!$C$32))</f>
        <v/>
      </c>
      <c r="BI81" s="41">
        <f>Assumptions!$B$51*BI75*Assumptions!$B$176*Assumptions!$B$70/(BI76*Pricing!$B$15*BI38*Assumptions!$B$130*((1-Assumptions!$B$125)*Pricing!$C$31+Assumptions!$B$125*Pricing!$C$32))</f>
        <v/>
      </c>
      <c r="BJ81" s="41">
        <f>Assumptions!$B$51*BJ75*Assumptions!$B$176*Assumptions!$B$70/(BJ76*Pricing!$B$15*BJ38*Assumptions!$B$130*((1-Assumptions!$B$125)*Pricing!$C$31+Assumptions!$B$125*Pricing!$C$32))</f>
        <v/>
      </c>
    </row>
    <row r="82">
      <c r="A82" s="4" t="inlineStr">
        <is>
          <t>Paid acquisition allowed (payback &lt;= max), Solo: Nigeria</t>
        </is>
      </c>
      <c r="B82" s="17" t="inlineStr">
        <is>
          <t>flag</t>
        </is>
      </c>
      <c r="C82" s="10">
        <f>IF(C81&lt;=Assumptions!$B$129,1,0)</f>
        <v/>
      </c>
      <c r="D82" s="10">
        <f>IF(D81&lt;=Assumptions!$B$129,1,0)</f>
        <v/>
      </c>
      <c r="E82" s="10">
        <f>IF(E81&lt;=Assumptions!$B$129,1,0)</f>
        <v/>
      </c>
      <c r="F82" s="10">
        <f>IF(F81&lt;=Assumptions!$B$129,1,0)</f>
        <v/>
      </c>
      <c r="G82" s="10">
        <f>IF(G81&lt;=Assumptions!$B$129,1,0)</f>
        <v/>
      </c>
      <c r="H82" s="10">
        <f>IF(H81&lt;=Assumptions!$B$129,1,0)</f>
        <v/>
      </c>
      <c r="I82" s="10">
        <f>IF(I81&lt;=Assumptions!$B$129,1,0)</f>
        <v/>
      </c>
      <c r="J82" s="10">
        <f>IF(J81&lt;=Assumptions!$B$129,1,0)</f>
        <v/>
      </c>
      <c r="K82" s="10">
        <f>IF(K81&lt;=Assumptions!$B$129,1,0)</f>
        <v/>
      </c>
      <c r="L82" s="10">
        <f>IF(L81&lt;=Assumptions!$B$129,1,0)</f>
        <v/>
      </c>
      <c r="M82" s="10">
        <f>IF(M81&lt;=Assumptions!$B$129,1,0)</f>
        <v/>
      </c>
      <c r="N82" s="10">
        <f>IF(N81&lt;=Assumptions!$B$129,1,0)</f>
        <v/>
      </c>
      <c r="O82" s="10">
        <f>IF(O81&lt;=Assumptions!$B$129,1,0)</f>
        <v/>
      </c>
      <c r="P82" s="10">
        <f>IF(P81&lt;=Assumptions!$B$129,1,0)</f>
        <v/>
      </c>
      <c r="Q82" s="10">
        <f>IF(Q81&lt;=Assumptions!$B$129,1,0)</f>
        <v/>
      </c>
      <c r="R82" s="10">
        <f>IF(R81&lt;=Assumptions!$B$129,1,0)</f>
        <v/>
      </c>
      <c r="S82" s="10">
        <f>IF(S81&lt;=Assumptions!$B$129,1,0)</f>
        <v/>
      </c>
      <c r="T82" s="10">
        <f>IF(T81&lt;=Assumptions!$B$129,1,0)</f>
        <v/>
      </c>
      <c r="U82" s="10">
        <f>IF(U81&lt;=Assumptions!$B$129,1,0)</f>
        <v/>
      </c>
      <c r="V82" s="10">
        <f>IF(V81&lt;=Assumptions!$B$129,1,0)</f>
        <v/>
      </c>
      <c r="W82" s="10">
        <f>IF(W81&lt;=Assumptions!$B$129,1,0)</f>
        <v/>
      </c>
      <c r="X82" s="10">
        <f>IF(X81&lt;=Assumptions!$B$129,1,0)</f>
        <v/>
      </c>
      <c r="Y82" s="10">
        <f>IF(Y81&lt;=Assumptions!$B$129,1,0)</f>
        <v/>
      </c>
      <c r="Z82" s="10">
        <f>IF(Z81&lt;=Assumptions!$B$129,1,0)</f>
        <v/>
      </c>
      <c r="AA82" s="10">
        <f>IF(AA81&lt;=Assumptions!$B$129,1,0)</f>
        <v/>
      </c>
      <c r="AB82" s="10">
        <f>IF(AB81&lt;=Assumptions!$B$129,1,0)</f>
        <v/>
      </c>
      <c r="AC82" s="10">
        <f>IF(AC81&lt;=Assumptions!$B$129,1,0)</f>
        <v/>
      </c>
      <c r="AD82" s="10">
        <f>IF(AD81&lt;=Assumptions!$B$129,1,0)</f>
        <v/>
      </c>
      <c r="AE82" s="10">
        <f>IF(AE81&lt;=Assumptions!$B$129,1,0)</f>
        <v/>
      </c>
      <c r="AF82" s="10">
        <f>IF(AF81&lt;=Assumptions!$B$129,1,0)</f>
        <v/>
      </c>
      <c r="AG82" s="10">
        <f>IF(AG81&lt;=Assumptions!$B$129,1,0)</f>
        <v/>
      </c>
      <c r="AH82" s="10">
        <f>IF(AH81&lt;=Assumptions!$B$129,1,0)</f>
        <v/>
      </c>
      <c r="AI82" s="10">
        <f>IF(AI81&lt;=Assumptions!$B$129,1,0)</f>
        <v/>
      </c>
      <c r="AJ82" s="10">
        <f>IF(AJ81&lt;=Assumptions!$B$129,1,0)</f>
        <v/>
      </c>
      <c r="AK82" s="10">
        <f>IF(AK81&lt;=Assumptions!$B$129,1,0)</f>
        <v/>
      </c>
      <c r="AL82" s="10">
        <f>IF(AL81&lt;=Assumptions!$B$129,1,0)</f>
        <v/>
      </c>
      <c r="AM82" s="10">
        <f>IF(AM81&lt;=Assumptions!$B$129,1,0)</f>
        <v/>
      </c>
      <c r="AN82" s="10">
        <f>IF(AN81&lt;=Assumptions!$B$129,1,0)</f>
        <v/>
      </c>
      <c r="AO82" s="10">
        <f>IF(AO81&lt;=Assumptions!$B$129,1,0)</f>
        <v/>
      </c>
      <c r="AP82" s="10">
        <f>IF(AP81&lt;=Assumptions!$B$129,1,0)</f>
        <v/>
      </c>
      <c r="AQ82" s="10">
        <f>IF(AQ81&lt;=Assumptions!$B$129,1,0)</f>
        <v/>
      </c>
      <c r="AR82" s="10">
        <f>IF(AR81&lt;=Assumptions!$B$129,1,0)</f>
        <v/>
      </c>
      <c r="AS82" s="10">
        <f>IF(AS81&lt;=Assumptions!$B$129,1,0)</f>
        <v/>
      </c>
      <c r="AT82" s="10">
        <f>IF(AT81&lt;=Assumptions!$B$129,1,0)</f>
        <v/>
      </c>
      <c r="AU82" s="10">
        <f>IF(AU81&lt;=Assumptions!$B$129,1,0)</f>
        <v/>
      </c>
      <c r="AV82" s="10">
        <f>IF(AV81&lt;=Assumptions!$B$129,1,0)</f>
        <v/>
      </c>
      <c r="AW82" s="10">
        <f>IF(AW81&lt;=Assumptions!$B$129,1,0)</f>
        <v/>
      </c>
      <c r="AX82" s="10">
        <f>IF(AX81&lt;=Assumptions!$B$129,1,0)</f>
        <v/>
      </c>
      <c r="AY82" s="10">
        <f>IF(AY81&lt;=Assumptions!$B$129,1,0)</f>
        <v/>
      </c>
      <c r="AZ82" s="10">
        <f>IF(AZ81&lt;=Assumptions!$B$129,1,0)</f>
        <v/>
      </c>
      <c r="BA82" s="10">
        <f>IF(BA81&lt;=Assumptions!$B$129,1,0)</f>
        <v/>
      </c>
      <c r="BB82" s="10">
        <f>IF(BB81&lt;=Assumptions!$B$129,1,0)</f>
        <v/>
      </c>
      <c r="BC82" s="10">
        <f>IF(BC81&lt;=Assumptions!$B$129,1,0)</f>
        <v/>
      </c>
      <c r="BD82" s="10">
        <f>IF(BD81&lt;=Assumptions!$B$129,1,0)</f>
        <v/>
      </c>
      <c r="BE82" s="10">
        <f>IF(BE81&lt;=Assumptions!$B$129,1,0)</f>
        <v/>
      </c>
      <c r="BF82" s="10">
        <f>IF(BF81&lt;=Assumptions!$B$129,1,0)</f>
        <v/>
      </c>
      <c r="BG82" s="10">
        <f>IF(BG81&lt;=Assumptions!$B$129,1,0)</f>
        <v/>
      </c>
      <c r="BH82" s="10">
        <f>IF(BH81&lt;=Assumptions!$B$129,1,0)</f>
        <v/>
      </c>
      <c r="BI82" s="10">
        <f>IF(BI81&lt;=Assumptions!$B$129,1,0)</f>
        <v/>
      </c>
      <c r="BJ82" s="10">
        <f>IF(BJ81&lt;=Assumptions!$B$129,1,0)</f>
        <v/>
      </c>
    </row>
    <row r="83">
      <c r="A83" s="4" t="inlineStr">
        <is>
          <t>CAC payback, Solo: Kenya</t>
        </is>
      </c>
      <c r="B83" s="17" t="inlineStr">
        <is>
          <t>months</t>
        </is>
      </c>
      <c r="C83" s="41">
        <f>Assumptions!$B$51*C75*Assumptions!$B$176*Assumptions!$B$80/(C76*Pricing!$B$15*C41*Assumptions!$B$130*((1-Assumptions!$B$125)*Pricing!$D$31+Assumptions!$B$125*Pricing!$D$32))</f>
        <v/>
      </c>
      <c r="D83" s="41">
        <f>Assumptions!$B$51*D75*Assumptions!$B$176*Assumptions!$B$80/(D76*Pricing!$B$15*D41*Assumptions!$B$130*((1-Assumptions!$B$125)*Pricing!$D$31+Assumptions!$B$125*Pricing!$D$32))</f>
        <v/>
      </c>
      <c r="E83" s="41">
        <f>Assumptions!$B$51*E75*Assumptions!$B$176*Assumptions!$B$80/(E76*Pricing!$B$15*E41*Assumptions!$B$130*((1-Assumptions!$B$125)*Pricing!$D$31+Assumptions!$B$125*Pricing!$D$32))</f>
        <v/>
      </c>
      <c r="F83" s="41">
        <f>Assumptions!$B$51*F75*Assumptions!$B$176*Assumptions!$B$80/(F76*Pricing!$B$15*F41*Assumptions!$B$130*((1-Assumptions!$B$125)*Pricing!$D$31+Assumptions!$B$125*Pricing!$D$32))</f>
        <v/>
      </c>
      <c r="G83" s="41">
        <f>Assumptions!$B$51*G75*Assumptions!$B$176*Assumptions!$B$80/(G76*Pricing!$B$15*G41*Assumptions!$B$130*((1-Assumptions!$B$125)*Pricing!$D$31+Assumptions!$B$125*Pricing!$D$32))</f>
        <v/>
      </c>
      <c r="H83" s="41">
        <f>Assumptions!$B$51*H75*Assumptions!$B$176*Assumptions!$B$80/(H76*Pricing!$B$15*H41*Assumptions!$B$130*((1-Assumptions!$B$125)*Pricing!$D$31+Assumptions!$B$125*Pricing!$D$32))</f>
        <v/>
      </c>
      <c r="I83" s="41">
        <f>Assumptions!$B$51*I75*Assumptions!$B$176*Assumptions!$B$80/(I76*Pricing!$B$15*I41*Assumptions!$B$130*((1-Assumptions!$B$125)*Pricing!$D$31+Assumptions!$B$125*Pricing!$D$32))</f>
        <v/>
      </c>
      <c r="J83" s="41">
        <f>Assumptions!$B$51*J75*Assumptions!$B$176*Assumptions!$B$80/(J76*Pricing!$B$15*J41*Assumptions!$B$130*((1-Assumptions!$B$125)*Pricing!$D$31+Assumptions!$B$125*Pricing!$D$32))</f>
        <v/>
      </c>
      <c r="K83" s="41">
        <f>Assumptions!$B$51*K75*Assumptions!$B$176*Assumptions!$B$80/(K76*Pricing!$B$15*K41*Assumptions!$B$130*((1-Assumptions!$B$125)*Pricing!$D$31+Assumptions!$B$125*Pricing!$D$32))</f>
        <v/>
      </c>
      <c r="L83" s="41">
        <f>Assumptions!$B$51*L75*Assumptions!$B$176*Assumptions!$B$80/(L76*Pricing!$B$15*L41*Assumptions!$B$130*((1-Assumptions!$B$125)*Pricing!$D$31+Assumptions!$B$125*Pricing!$D$32))</f>
        <v/>
      </c>
      <c r="M83" s="41">
        <f>Assumptions!$B$51*M75*Assumptions!$B$176*Assumptions!$B$80/(M76*Pricing!$B$15*M41*Assumptions!$B$130*((1-Assumptions!$B$125)*Pricing!$D$31+Assumptions!$B$125*Pricing!$D$32))</f>
        <v/>
      </c>
      <c r="N83" s="41">
        <f>Assumptions!$B$51*N75*Assumptions!$B$176*Assumptions!$B$80/(N76*Pricing!$B$15*N41*Assumptions!$B$130*((1-Assumptions!$B$125)*Pricing!$D$31+Assumptions!$B$125*Pricing!$D$32))</f>
        <v/>
      </c>
      <c r="O83" s="41">
        <f>Assumptions!$B$51*O75*Assumptions!$B$176*Assumptions!$B$80/(O76*Pricing!$B$15*O41*Assumptions!$B$130*((1-Assumptions!$B$125)*Pricing!$D$31+Assumptions!$B$125*Pricing!$D$32))</f>
        <v/>
      </c>
      <c r="P83" s="41">
        <f>Assumptions!$B$51*P75*Assumptions!$B$176*Assumptions!$B$80/(P76*Pricing!$B$15*P41*Assumptions!$B$130*((1-Assumptions!$B$125)*Pricing!$D$31+Assumptions!$B$125*Pricing!$D$32))</f>
        <v/>
      </c>
      <c r="Q83" s="41">
        <f>Assumptions!$B$51*Q75*Assumptions!$B$176*Assumptions!$B$80/(Q76*Pricing!$B$15*Q41*Assumptions!$B$130*((1-Assumptions!$B$125)*Pricing!$D$31+Assumptions!$B$125*Pricing!$D$32))</f>
        <v/>
      </c>
      <c r="R83" s="41">
        <f>Assumptions!$B$51*R75*Assumptions!$B$176*Assumptions!$B$80/(R76*Pricing!$B$15*R41*Assumptions!$B$130*((1-Assumptions!$B$125)*Pricing!$D$31+Assumptions!$B$125*Pricing!$D$32))</f>
        <v/>
      </c>
      <c r="S83" s="41">
        <f>Assumptions!$B$51*S75*Assumptions!$B$176*Assumptions!$B$80/(S76*Pricing!$B$15*S41*Assumptions!$B$130*((1-Assumptions!$B$125)*Pricing!$D$31+Assumptions!$B$125*Pricing!$D$32))</f>
        <v/>
      </c>
      <c r="T83" s="41">
        <f>Assumptions!$B$51*T75*Assumptions!$B$176*Assumptions!$B$80/(T76*Pricing!$B$15*T41*Assumptions!$B$130*((1-Assumptions!$B$125)*Pricing!$D$31+Assumptions!$B$125*Pricing!$D$32))</f>
        <v/>
      </c>
      <c r="U83" s="41">
        <f>Assumptions!$B$51*U75*Assumptions!$B$176*Assumptions!$B$80/(U76*Pricing!$B$15*U41*Assumptions!$B$130*((1-Assumptions!$B$125)*Pricing!$D$31+Assumptions!$B$125*Pricing!$D$32))</f>
        <v/>
      </c>
      <c r="V83" s="41">
        <f>Assumptions!$B$51*V75*Assumptions!$B$176*Assumptions!$B$80/(V76*Pricing!$B$15*V41*Assumptions!$B$130*((1-Assumptions!$B$125)*Pricing!$D$31+Assumptions!$B$125*Pricing!$D$32))</f>
        <v/>
      </c>
      <c r="W83" s="41">
        <f>Assumptions!$B$51*W75*Assumptions!$B$176*Assumptions!$B$80/(W76*Pricing!$B$15*W41*Assumptions!$B$130*((1-Assumptions!$B$125)*Pricing!$D$31+Assumptions!$B$125*Pricing!$D$32))</f>
        <v/>
      </c>
      <c r="X83" s="41">
        <f>Assumptions!$B$51*X75*Assumptions!$B$176*Assumptions!$B$80/(X76*Pricing!$B$15*X41*Assumptions!$B$130*((1-Assumptions!$B$125)*Pricing!$D$31+Assumptions!$B$125*Pricing!$D$32))</f>
        <v/>
      </c>
      <c r="Y83" s="41">
        <f>Assumptions!$B$51*Y75*Assumptions!$B$176*Assumptions!$B$80/(Y76*Pricing!$B$15*Y41*Assumptions!$B$130*((1-Assumptions!$B$125)*Pricing!$D$31+Assumptions!$B$125*Pricing!$D$32))</f>
        <v/>
      </c>
      <c r="Z83" s="41">
        <f>Assumptions!$B$51*Z75*Assumptions!$B$176*Assumptions!$B$80/(Z76*Pricing!$B$15*Z41*Assumptions!$B$130*((1-Assumptions!$B$125)*Pricing!$D$31+Assumptions!$B$125*Pricing!$D$32))</f>
        <v/>
      </c>
      <c r="AA83" s="41">
        <f>Assumptions!$B$51*AA75*Assumptions!$B$176*Assumptions!$B$80/(AA76*Pricing!$B$15*AA41*Assumptions!$B$130*((1-Assumptions!$B$125)*Pricing!$D$31+Assumptions!$B$125*Pricing!$D$32))</f>
        <v/>
      </c>
      <c r="AB83" s="41">
        <f>Assumptions!$B$51*AB75*Assumptions!$B$176*Assumptions!$B$80/(AB76*Pricing!$B$15*AB41*Assumptions!$B$130*((1-Assumptions!$B$125)*Pricing!$D$31+Assumptions!$B$125*Pricing!$D$32))</f>
        <v/>
      </c>
      <c r="AC83" s="41">
        <f>Assumptions!$B$51*AC75*Assumptions!$B$176*Assumptions!$B$80/(AC76*Pricing!$B$15*AC41*Assumptions!$B$130*((1-Assumptions!$B$125)*Pricing!$D$31+Assumptions!$B$125*Pricing!$D$32))</f>
        <v/>
      </c>
      <c r="AD83" s="41">
        <f>Assumptions!$B$51*AD75*Assumptions!$B$176*Assumptions!$B$80/(AD76*Pricing!$B$15*AD41*Assumptions!$B$130*((1-Assumptions!$B$125)*Pricing!$D$31+Assumptions!$B$125*Pricing!$D$32))</f>
        <v/>
      </c>
      <c r="AE83" s="41">
        <f>Assumptions!$B$51*AE75*Assumptions!$B$176*Assumptions!$B$80/(AE76*Pricing!$B$15*AE41*Assumptions!$B$130*((1-Assumptions!$B$125)*Pricing!$D$31+Assumptions!$B$125*Pricing!$D$32))</f>
        <v/>
      </c>
      <c r="AF83" s="41">
        <f>Assumptions!$B$51*AF75*Assumptions!$B$176*Assumptions!$B$80/(AF76*Pricing!$B$15*AF41*Assumptions!$B$130*((1-Assumptions!$B$125)*Pricing!$D$31+Assumptions!$B$125*Pricing!$D$32))</f>
        <v/>
      </c>
      <c r="AG83" s="41">
        <f>Assumptions!$B$51*AG75*Assumptions!$B$176*Assumptions!$B$80/(AG76*Pricing!$B$15*AG41*Assumptions!$B$130*((1-Assumptions!$B$125)*Pricing!$D$31+Assumptions!$B$125*Pricing!$D$32))</f>
        <v/>
      </c>
      <c r="AH83" s="41">
        <f>Assumptions!$B$51*AH75*Assumptions!$B$176*Assumptions!$B$80/(AH76*Pricing!$B$15*AH41*Assumptions!$B$130*((1-Assumptions!$B$125)*Pricing!$D$31+Assumptions!$B$125*Pricing!$D$32))</f>
        <v/>
      </c>
      <c r="AI83" s="41">
        <f>Assumptions!$B$51*AI75*Assumptions!$B$176*Assumptions!$B$80/(AI76*Pricing!$B$15*AI41*Assumptions!$B$130*((1-Assumptions!$B$125)*Pricing!$D$31+Assumptions!$B$125*Pricing!$D$32))</f>
        <v/>
      </c>
      <c r="AJ83" s="41">
        <f>Assumptions!$B$51*AJ75*Assumptions!$B$176*Assumptions!$B$80/(AJ76*Pricing!$B$15*AJ41*Assumptions!$B$130*((1-Assumptions!$B$125)*Pricing!$D$31+Assumptions!$B$125*Pricing!$D$32))</f>
        <v/>
      </c>
      <c r="AK83" s="41">
        <f>Assumptions!$B$51*AK75*Assumptions!$B$176*Assumptions!$B$80/(AK76*Pricing!$B$15*AK41*Assumptions!$B$130*((1-Assumptions!$B$125)*Pricing!$D$31+Assumptions!$B$125*Pricing!$D$32))</f>
        <v/>
      </c>
      <c r="AL83" s="41">
        <f>Assumptions!$B$51*AL75*Assumptions!$B$176*Assumptions!$B$80/(AL76*Pricing!$B$15*AL41*Assumptions!$B$130*((1-Assumptions!$B$125)*Pricing!$D$31+Assumptions!$B$125*Pricing!$D$32))</f>
        <v/>
      </c>
      <c r="AM83" s="41">
        <f>Assumptions!$B$51*AM75*Assumptions!$B$176*Assumptions!$B$80/(AM76*Pricing!$B$15*AM41*Assumptions!$B$130*((1-Assumptions!$B$125)*Pricing!$D$31+Assumptions!$B$125*Pricing!$D$32))</f>
        <v/>
      </c>
      <c r="AN83" s="41">
        <f>Assumptions!$B$51*AN75*Assumptions!$B$176*Assumptions!$B$80/(AN76*Pricing!$B$15*AN41*Assumptions!$B$130*((1-Assumptions!$B$125)*Pricing!$D$31+Assumptions!$B$125*Pricing!$D$32))</f>
        <v/>
      </c>
      <c r="AO83" s="41">
        <f>Assumptions!$B$51*AO75*Assumptions!$B$176*Assumptions!$B$80/(AO76*Pricing!$B$15*AO41*Assumptions!$B$130*((1-Assumptions!$B$125)*Pricing!$D$31+Assumptions!$B$125*Pricing!$D$32))</f>
        <v/>
      </c>
      <c r="AP83" s="41">
        <f>Assumptions!$B$51*AP75*Assumptions!$B$176*Assumptions!$B$80/(AP76*Pricing!$B$15*AP41*Assumptions!$B$130*((1-Assumptions!$B$125)*Pricing!$D$31+Assumptions!$B$125*Pricing!$D$32))</f>
        <v/>
      </c>
      <c r="AQ83" s="41">
        <f>Assumptions!$B$51*AQ75*Assumptions!$B$176*Assumptions!$B$80/(AQ76*Pricing!$B$15*AQ41*Assumptions!$B$130*((1-Assumptions!$B$125)*Pricing!$D$31+Assumptions!$B$125*Pricing!$D$32))</f>
        <v/>
      </c>
      <c r="AR83" s="41">
        <f>Assumptions!$B$51*AR75*Assumptions!$B$176*Assumptions!$B$80/(AR76*Pricing!$B$15*AR41*Assumptions!$B$130*((1-Assumptions!$B$125)*Pricing!$D$31+Assumptions!$B$125*Pricing!$D$32))</f>
        <v/>
      </c>
      <c r="AS83" s="41">
        <f>Assumptions!$B$51*AS75*Assumptions!$B$176*Assumptions!$B$80/(AS76*Pricing!$B$15*AS41*Assumptions!$B$130*((1-Assumptions!$B$125)*Pricing!$D$31+Assumptions!$B$125*Pricing!$D$32))</f>
        <v/>
      </c>
      <c r="AT83" s="41">
        <f>Assumptions!$B$51*AT75*Assumptions!$B$176*Assumptions!$B$80/(AT76*Pricing!$B$15*AT41*Assumptions!$B$130*((1-Assumptions!$B$125)*Pricing!$D$31+Assumptions!$B$125*Pricing!$D$32))</f>
        <v/>
      </c>
      <c r="AU83" s="41">
        <f>Assumptions!$B$51*AU75*Assumptions!$B$176*Assumptions!$B$80/(AU76*Pricing!$B$15*AU41*Assumptions!$B$130*((1-Assumptions!$B$125)*Pricing!$D$31+Assumptions!$B$125*Pricing!$D$32))</f>
        <v/>
      </c>
      <c r="AV83" s="41">
        <f>Assumptions!$B$51*AV75*Assumptions!$B$176*Assumptions!$B$80/(AV76*Pricing!$B$15*AV41*Assumptions!$B$130*((1-Assumptions!$B$125)*Pricing!$D$31+Assumptions!$B$125*Pricing!$D$32))</f>
        <v/>
      </c>
      <c r="AW83" s="41">
        <f>Assumptions!$B$51*AW75*Assumptions!$B$176*Assumptions!$B$80/(AW76*Pricing!$B$15*AW41*Assumptions!$B$130*((1-Assumptions!$B$125)*Pricing!$D$31+Assumptions!$B$125*Pricing!$D$32))</f>
        <v/>
      </c>
      <c r="AX83" s="41">
        <f>Assumptions!$B$51*AX75*Assumptions!$B$176*Assumptions!$B$80/(AX76*Pricing!$B$15*AX41*Assumptions!$B$130*((1-Assumptions!$B$125)*Pricing!$D$31+Assumptions!$B$125*Pricing!$D$32))</f>
        <v/>
      </c>
      <c r="AY83" s="41">
        <f>Assumptions!$B$51*AY75*Assumptions!$B$176*Assumptions!$B$80/(AY76*Pricing!$B$15*AY41*Assumptions!$B$130*((1-Assumptions!$B$125)*Pricing!$D$31+Assumptions!$B$125*Pricing!$D$32))</f>
        <v/>
      </c>
      <c r="AZ83" s="41">
        <f>Assumptions!$B$51*AZ75*Assumptions!$B$176*Assumptions!$B$80/(AZ76*Pricing!$B$15*AZ41*Assumptions!$B$130*((1-Assumptions!$B$125)*Pricing!$D$31+Assumptions!$B$125*Pricing!$D$32))</f>
        <v/>
      </c>
      <c r="BA83" s="41">
        <f>Assumptions!$B$51*BA75*Assumptions!$B$176*Assumptions!$B$80/(BA76*Pricing!$B$15*BA41*Assumptions!$B$130*((1-Assumptions!$B$125)*Pricing!$D$31+Assumptions!$B$125*Pricing!$D$32))</f>
        <v/>
      </c>
      <c r="BB83" s="41">
        <f>Assumptions!$B$51*BB75*Assumptions!$B$176*Assumptions!$B$80/(BB76*Pricing!$B$15*BB41*Assumptions!$B$130*((1-Assumptions!$B$125)*Pricing!$D$31+Assumptions!$B$125*Pricing!$D$32))</f>
        <v/>
      </c>
      <c r="BC83" s="41">
        <f>Assumptions!$B$51*BC75*Assumptions!$B$176*Assumptions!$B$80/(BC76*Pricing!$B$15*BC41*Assumptions!$B$130*((1-Assumptions!$B$125)*Pricing!$D$31+Assumptions!$B$125*Pricing!$D$32))</f>
        <v/>
      </c>
      <c r="BD83" s="41">
        <f>Assumptions!$B$51*BD75*Assumptions!$B$176*Assumptions!$B$80/(BD76*Pricing!$B$15*BD41*Assumptions!$B$130*((1-Assumptions!$B$125)*Pricing!$D$31+Assumptions!$B$125*Pricing!$D$32))</f>
        <v/>
      </c>
      <c r="BE83" s="41">
        <f>Assumptions!$B$51*BE75*Assumptions!$B$176*Assumptions!$B$80/(BE76*Pricing!$B$15*BE41*Assumptions!$B$130*((1-Assumptions!$B$125)*Pricing!$D$31+Assumptions!$B$125*Pricing!$D$32))</f>
        <v/>
      </c>
      <c r="BF83" s="41">
        <f>Assumptions!$B$51*BF75*Assumptions!$B$176*Assumptions!$B$80/(BF76*Pricing!$B$15*BF41*Assumptions!$B$130*((1-Assumptions!$B$125)*Pricing!$D$31+Assumptions!$B$125*Pricing!$D$32))</f>
        <v/>
      </c>
      <c r="BG83" s="41">
        <f>Assumptions!$B$51*BG75*Assumptions!$B$176*Assumptions!$B$80/(BG76*Pricing!$B$15*BG41*Assumptions!$B$130*((1-Assumptions!$B$125)*Pricing!$D$31+Assumptions!$B$125*Pricing!$D$32))</f>
        <v/>
      </c>
      <c r="BH83" s="41">
        <f>Assumptions!$B$51*BH75*Assumptions!$B$176*Assumptions!$B$80/(BH76*Pricing!$B$15*BH41*Assumptions!$B$130*((1-Assumptions!$B$125)*Pricing!$D$31+Assumptions!$B$125*Pricing!$D$32))</f>
        <v/>
      </c>
      <c r="BI83" s="41">
        <f>Assumptions!$B$51*BI75*Assumptions!$B$176*Assumptions!$B$80/(BI76*Pricing!$B$15*BI41*Assumptions!$B$130*((1-Assumptions!$B$125)*Pricing!$D$31+Assumptions!$B$125*Pricing!$D$32))</f>
        <v/>
      </c>
      <c r="BJ83" s="41">
        <f>Assumptions!$B$51*BJ75*Assumptions!$B$176*Assumptions!$B$80/(BJ76*Pricing!$B$15*BJ41*Assumptions!$B$130*((1-Assumptions!$B$125)*Pricing!$D$31+Assumptions!$B$125*Pricing!$D$32))</f>
        <v/>
      </c>
    </row>
    <row r="84">
      <c r="A84" s="4" t="inlineStr">
        <is>
          <t>Paid acquisition allowed (payback &lt;= max), Solo: Kenya</t>
        </is>
      </c>
      <c r="B84" s="17" t="inlineStr">
        <is>
          <t>flag</t>
        </is>
      </c>
      <c r="C84" s="10">
        <f>IF(C83&lt;=Assumptions!$B$129,1,0)</f>
        <v/>
      </c>
      <c r="D84" s="10">
        <f>IF(D83&lt;=Assumptions!$B$129,1,0)</f>
        <v/>
      </c>
      <c r="E84" s="10">
        <f>IF(E83&lt;=Assumptions!$B$129,1,0)</f>
        <v/>
      </c>
      <c r="F84" s="10">
        <f>IF(F83&lt;=Assumptions!$B$129,1,0)</f>
        <v/>
      </c>
      <c r="G84" s="10">
        <f>IF(G83&lt;=Assumptions!$B$129,1,0)</f>
        <v/>
      </c>
      <c r="H84" s="10">
        <f>IF(H83&lt;=Assumptions!$B$129,1,0)</f>
        <v/>
      </c>
      <c r="I84" s="10">
        <f>IF(I83&lt;=Assumptions!$B$129,1,0)</f>
        <v/>
      </c>
      <c r="J84" s="10">
        <f>IF(J83&lt;=Assumptions!$B$129,1,0)</f>
        <v/>
      </c>
      <c r="K84" s="10">
        <f>IF(K83&lt;=Assumptions!$B$129,1,0)</f>
        <v/>
      </c>
      <c r="L84" s="10">
        <f>IF(L83&lt;=Assumptions!$B$129,1,0)</f>
        <v/>
      </c>
      <c r="M84" s="10">
        <f>IF(M83&lt;=Assumptions!$B$129,1,0)</f>
        <v/>
      </c>
      <c r="N84" s="10">
        <f>IF(N83&lt;=Assumptions!$B$129,1,0)</f>
        <v/>
      </c>
      <c r="O84" s="10">
        <f>IF(O83&lt;=Assumptions!$B$129,1,0)</f>
        <v/>
      </c>
      <c r="P84" s="10">
        <f>IF(P83&lt;=Assumptions!$B$129,1,0)</f>
        <v/>
      </c>
      <c r="Q84" s="10">
        <f>IF(Q83&lt;=Assumptions!$B$129,1,0)</f>
        <v/>
      </c>
      <c r="R84" s="10">
        <f>IF(R83&lt;=Assumptions!$B$129,1,0)</f>
        <v/>
      </c>
      <c r="S84" s="10">
        <f>IF(S83&lt;=Assumptions!$B$129,1,0)</f>
        <v/>
      </c>
      <c r="T84" s="10">
        <f>IF(T83&lt;=Assumptions!$B$129,1,0)</f>
        <v/>
      </c>
      <c r="U84" s="10">
        <f>IF(U83&lt;=Assumptions!$B$129,1,0)</f>
        <v/>
      </c>
      <c r="V84" s="10">
        <f>IF(V83&lt;=Assumptions!$B$129,1,0)</f>
        <v/>
      </c>
      <c r="W84" s="10">
        <f>IF(W83&lt;=Assumptions!$B$129,1,0)</f>
        <v/>
      </c>
      <c r="X84" s="10">
        <f>IF(X83&lt;=Assumptions!$B$129,1,0)</f>
        <v/>
      </c>
      <c r="Y84" s="10">
        <f>IF(Y83&lt;=Assumptions!$B$129,1,0)</f>
        <v/>
      </c>
      <c r="Z84" s="10">
        <f>IF(Z83&lt;=Assumptions!$B$129,1,0)</f>
        <v/>
      </c>
      <c r="AA84" s="10">
        <f>IF(AA83&lt;=Assumptions!$B$129,1,0)</f>
        <v/>
      </c>
      <c r="AB84" s="10">
        <f>IF(AB83&lt;=Assumptions!$B$129,1,0)</f>
        <v/>
      </c>
      <c r="AC84" s="10">
        <f>IF(AC83&lt;=Assumptions!$B$129,1,0)</f>
        <v/>
      </c>
      <c r="AD84" s="10">
        <f>IF(AD83&lt;=Assumptions!$B$129,1,0)</f>
        <v/>
      </c>
      <c r="AE84" s="10">
        <f>IF(AE83&lt;=Assumptions!$B$129,1,0)</f>
        <v/>
      </c>
      <c r="AF84" s="10">
        <f>IF(AF83&lt;=Assumptions!$B$129,1,0)</f>
        <v/>
      </c>
      <c r="AG84" s="10">
        <f>IF(AG83&lt;=Assumptions!$B$129,1,0)</f>
        <v/>
      </c>
      <c r="AH84" s="10">
        <f>IF(AH83&lt;=Assumptions!$B$129,1,0)</f>
        <v/>
      </c>
      <c r="AI84" s="10">
        <f>IF(AI83&lt;=Assumptions!$B$129,1,0)</f>
        <v/>
      </c>
      <c r="AJ84" s="10">
        <f>IF(AJ83&lt;=Assumptions!$B$129,1,0)</f>
        <v/>
      </c>
      <c r="AK84" s="10">
        <f>IF(AK83&lt;=Assumptions!$B$129,1,0)</f>
        <v/>
      </c>
      <c r="AL84" s="10">
        <f>IF(AL83&lt;=Assumptions!$B$129,1,0)</f>
        <v/>
      </c>
      <c r="AM84" s="10">
        <f>IF(AM83&lt;=Assumptions!$B$129,1,0)</f>
        <v/>
      </c>
      <c r="AN84" s="10">
        <f>IF(AN83&lt;=Assumptions!$B$129,1,0)</f>
        <v/>
      </c>
      <c r="AO84" s="10">
        <f>IF(AO83&lt;=Assumptions!$B$129,1,0)</f>
        <v/>
      </c>
      <c r="AP84" s="10">
        <f>IF(AP83&lt;=Assumptions!$B$129,1,0)</f>
        <v/>
      </c>
      <c r="AQ84" s="10">
        <f>IF(AQ83&lt;=Assumptions!$B$129,1,0)</f>
        <v/>
      </c>
      <c r="AR84" s="10">
        <f>IF(AR83&lt;=Assumptions!$B$129,1,0)</f>
        <v/>
      </c>
      <c r="AS84" s="10">
        <f>IF(AS83&lt;=Assumptions!$B$129,1,0)</f>
        <v/>
      </c>
      <c r="AT84" s="10">
        <f>IF(AT83&lt;=Assumptions!$B$129,1,0)</f>
        <v/>
      </c>
      <c r="AU84" s="10">
        <f>IF(AU83&lt;=Assumptions!$B$129,1,0)</f>
        <v/>
      </c>
      <c r="AV84" s="10">
        <f>IF(AV83&lt;=Assumptions!$B$129,1,0)</f>
        <v/>
      </c>
      <c r="AW84" s="10">
        <f>IF(AW83&lt;=Assumptions!$B$129,1,0)</f>
        <v/>
      </c>
      <c r="AX84" s="10">
        <f>IF(AX83&lt;=Assumptions!$B$129,1,0)</f>
        <v/>
      </c>
      <c r="AY84" s="10">
        <f>IF(AY83&lt;=Assumptions!$B$129,1,0)</f>
        <v/>
      </c>
      <c r="AZ84" s="10">
        <f>IF(AZ83&lt;=Assumptions!$B$129,1,0)</f>
        <v/>
      </c>
      <c r="BA84" s="10">
        <f>IF(BA83&lt;=Assumptions!$B$129,1,0)</f>
        <v/>
      </c>
      <c r="BB84" s="10">
        <f>IF(BB83&lt;=Assumptions!$B$129,1,0)</f>
        <v/>
      </c>
      <c r="BC84" s="10">
        <f>IF(BC83&lt;=Assumptions!$B$129,1,0)</f>
        <v/>
      </c>
      <c r="BD84" s="10">
        <f>IF(BD83&lt;=Assumptions!$B$129,1,0)</f>
        <v/>
      </c>
      <c r="BE84" s="10">
        <f>IF(BE83&lt;=Assumptions!$B$129,1,0)</f>
        <v/>
      </c>
      <c r="BF84" s="10">
        <f>IF(BF83&lt;=Assumptions!$B$129,1,0)</f>
        <v/>
      </c>
      <c r="BG84" s="10">
        <f>IF(BG83&lt;=Assumptions!$B$129,1,0)</f>
        <v/>
      </c>
      <c r="BH84" s="10">
        <f>IF(BH83&lt;=Assumptions!$B$129,1,0)</f>
        <v/>
      </c>
      <c r="BI84" s="10">
        <f>IF(BI83&lt;=Assumptions!$B$129,1,0)</f>
        <v/>
      </c>
      <c r="BJ84" s="10">
        <f>IF(BJ83&lt;=Assumptions!$B$129,1,0)</f>
        <v/>
      </c>
    </row>
    <row r="85">
      <c r="A85" s="4" t="inlineStr">
        <is>
          <t>CAC payback, Solo: Ghana</t>
        </is>
      </c>
      <c r="B85" s="17" t="inlineStr">
        <is>
          <t>months</t>
        </is>
      </c>
      <c r="C85" s="41">
        <f>Assumptions!$B$51*C75*Assumptions!$B$176*Assumptions!$B$90/(C76*Pricing!$B$15*C44*Assumptions!$B$130*((1-Assumptions!$B$125)*Pricing!$E$31+Assumptions!$B$125*Pricing!$E$32))</f>
        <v/>
      </c>
      <c r="D85" s="41">
        <f>Assumptions!$B$51*D75*Assumptions!$B$176*Assumptions!$B$90/(D76*Pricing!$B$15*D44*Assumptions!$B$130*((1-Assumptions!$B$125)*Pricing!$E$31+Assumptions!$B$125*Pricing!$E$32))</f>
        <v/>
      </c>
      <c r="E85" s="41">
        <f>Assumptions!$B$51*E75*Assumptions!$B$176*Assumptions!$B$90/(E76*Pricing!$B$15*E44*Assumptions!$B$130*((1-Assumptions!$B$125)*Pricing!$E$31+Assumptions!$B$125*Pricing!$E$32))</f>
        <v/>
      </c>
      <c r="F85" s="41">
        <f>Assumptions!$B$51*F75*Assumptions!$B$176*Assumptions!$B$90/(F76*Pricing!$B$15*F44*Assumptions!$B$130*((1-Assumptions!$B$125)*Pricing!$E$31+Assumptions!$B$125*Pricing!$E$32))</f>
        <v/>
      </c>
      <c r="G85" s="41">
        <f>Assumptions!$B$51*G75*Assumptions!$B$176*Assumptions!$B$90/(G76*Pricing!$B$15*G44*Assumptions!$B$130*((1-Assumptions!$B$125)*Pricing!$E$31+Assumptions!$B$125*Pricing!$E$32))</f>
        <v/>
      </c>
      <c r="H85" s="41">
        <f>Assumptions!$B$51*H75*Assumptions!$B$176*Assumptions!$B$90/(H76*Pricing!$B$15*H44*Assumptions!$B$130*((1-Assumptions!$B$125)*Pricing!$E$31+Assumptions!$B$125*Pricing!$E$32))</f>
        <v/>
      </c>
      <c r="I85" s="41">
        <f>Assumptions!$B$51*I75*Assumptions!$B$176*Assumptions!$B$90/(I76*Pricing!$B$15*I44*Assumptions!$B$130*((1-Assumptions!$B$125)*Pricing!$E$31+Assumptions!$B$125*Pricing!$E$32))</f>
        <v/>
      </c>
      <c r="J85" s="41">
        <f>Assumptions!$B$51*J75*Assumptions!$B$176*Assumptions!$B$90/(J76*Pricing!$B$15*J44*Assumptions!$B$130*((1-Assumptions!$B$125)*Pricing!$E$31+Assumptions!$B$125*Pricing!$E$32))</f>
        <v/>
      </c>
      <c r="K85" s="41">
        <f>Assumptions!$B$51*K75*Assumptions!$B$176*Assumptions!$B$90/(K76*Pricing!$B$15*K44*Assumptions!$B$130*((1-Assumptions!$B$125)*Pricing!$E$31+Assumptions!$B$125*Pricing!$E$32))</f>
        <v/>
      </c>
      <c r="L85" s="41">
        <f>Assumptions!$B$51*L75*Assumptions!$B$176*Assumptions!$B$90/(L76*Pricing!$B$15*L44*Assumptions!$B$130*((1-Assumptions!$B$125)*Pricing!$E$31+Assumptions!$B$125*Pricing!$E$32))</f>
        <v/>
      </c>
      <c r="M85" s="41">
        <f>Assumptions!$B$51*M75*Assumptions!$B$176*Assumptions!$B$90/(M76*Pricing!$B$15*M44*Assumptions!$B$130*((1-Assumptions!$B$125)*Pricing!$E$31+Assumptions!$B$125*Pricing!$E$32))</f>
        <v/>
      </c>
      <c r="N85" s="41">
        <f>Assumptions!$B$51*N75*Assumptions!$B$176*Assumptions!$B$90/(N76*Pricing!$B$15*N44*Assumptions!$B$130*((1-Assumptions!$B$125)*Pricing!$E$31+Assumptions!$B$125*Pricing!$E$32))</f>
        <v/>
      </c>
      <c r="O85" s="41">
        <f>Assumptions!$B$51*O75*Assumptions!$B$176*Assumptions!$B$90/(O76*Pricing!$B$15*O44*Assumptions!$B$130*((1-Assumptions!$B$125)*Pricing!$E$31+Assumptions!$B$125*Pricing!$E$32))</f>
        <v/>
      </c>
      <c r="P85" s="41">
        <f>Assumptions!$B$51*P75*Assumptions!$B$176*Assumptions!$B$90/(P76*Pricing!$B$15*P44*Assumptions!$B$130*((1-Assumptions!$B$125)*Pricing!$E$31+Assumptions!$B$125*Pricing!$E$32))</f>
        <v/>
      </c>
      <c r="Q85" s="41">
        <f>Assumptions!$B$51*Q75*Assumptions!$B$176*Assumptions!$B$90/(Q76*Pricing!$B$15*Q44*Assumptions!$B$130*((1-Assumptions!$B$125)*Pricing!$E$31+Assumptions!$B$125*Pricing!$E$32))</f>
        <v/>
      </c>
      <c r="R85" s="41">
        <f>Assumptions!$B$51*R75*Assumptions!$B$176*Assumptions!$B$90/(R76*Pricing!$B$15*R44*Assumptions!$B$130*((1-Assumptions!$B$125)*Pricing!$E$31+Assumptions!$B$125*Pricing!$E$32))</f>
        <v/>
      </c>
      <c r="S85" s="41">
        <f>Assumptions!$B$51*S75*Assumptions!$B$176*Assumptions!$B$90/(S76*Pricing!$B$15*S44*Assumptions!$B$130*((1-Assumptions!$B$125)*Pricing!$E$31+Assumptions!$B$125*Pricing!$E$32))</f>
        <v/>
      </c>
      <c r="T85" s="41">
        <f>Assumptions!$B$51*T75*Assumptions!$B$176*Assumptions!$B$90/(T76*Pricing!$B$15*T44*Assumptions!$B$130*((1-Assumptions!$B$125)*Pricing!$E$31+Assumptions!$B$125*Pricing!$E$32))</f>
        <v/>
      </c>
      <c r="U85" s="41">
        <f>Assumptions!$B$51*U75*Assumptions!$B$176*Assumptions!$B$90/(U76*Pricing!$B$15*U44*Assumptions!$B$130*((1-Assumptions!$B$125)*Pricing!$E$31+Assumptions!$B$125*Pricing!$E$32))</f>
        <v/>
      </c>
      <c r="V85" s="41">
        <f>Assumptions!$B$51*V75*Assumptions!$B$176*Assumptions!$B$90/(V76*Pricing!$B$15*V44*Assumptions!$B$130*((1-Assumptions!$B$125)*Pricing!$E$31+Assumptions!$B$125*Pricing!$E$32))</f>
        <v/>
      </c>
      <c r="W85" s="41">
        <f>Assumptions!$B$51*W75*Assumptions!$B$176*Assumptions!$B$90/(W76*Pricing!$B$15*W44*Assumptions!$B$130*((1-Assumptions!$B$125)*Pricing!$E$31+Assumptions!$B$125*Pricing!$E$32))</f>
        <v/>
      </c>
      <c r="X85" s="41">
        <f>Assumptions!$B$51*X75*Assumptions!$B$176*Assumptions!$B$90/(X76*Pricing!$B$15*X44*Assumptions!$B$130*((1-Assumptions!$B$125)*Pricing!$E$31+Assumptions!$B$125*Pricing!$E$32))</f>
        <v/>
      </c>
      <c r="Y85" s="41">
        <f>Assumptions!$B$51*Y75*Assumptions!$B$176*Assumptions!$B$90/(Y76*Pricing!$B$15*Y44*Assumptions!$B$130*((1-Assumptions!$B$125)*Pricing!$E$31+Assumptions!$B$125*Pricing!$E$32))</f>
        <v/>
      </c>
      <c r="Z85" s="41">
        <f>Assumptions!$B$51*Z75*Assumptions!$B$176*Assumptions!$B$90/(Z76*Pricing!$B$15*Z44*Assumptions!$B$130*((1-Assumptions!$B$125)*Pricing!$E$31+Assumptions!$B$125*Pricing!$E$32))</f>
        <v/>
      </c>
      <c r="AA85" s="41">
        <f>Assumptions!$B$51*AA75*Assumptions!$B$176*Assumptions!$B$90/(AA76*Pricing!$B$15*AA44*Assumptions!$B$130*((1-Assumptions!$B$125)*Pricing!$E$31+Assumptions!$B$125*Pricing!$E$32))</f>
        <v/>
      </c>
      <c r="AB85" s="41">
        <f>Assumptions!$B$51*AB75*Assumptions!$B$176*Assumptions!$B$90/(AB76*Pricing!$B$15*AB44*Assumptions!$B$130*((1-Assumptions!$B$125)*Pricing!$E$31+Assumptions!$B$125*Pricing!$E$32))</f>
        <v/>
      </c>
      <c r="AC85" s="41">
        <f>Assumptions!$B$51*AC75*Assumptions!$B$176*Assumptions!$B$90/(AC76*Pricing!$B$15*AC44*Assumptions!$B$130*((1-Assumptions!$B$125)*Pricing!$E$31+Assumptions!$B$125*Pricing!$E$32))</f>
        <v/>
      </c>
      <c r="AD85" s="41">
        <f>Assumptions!$B$51*AD75*Assumptions!$B$176*Assumptions!$B$90/(AD76*Pricing!$B$15*AD44*Assumptions!$B$130*((1-Assumptions!$B$125)*Pricing!$E$31+Assumptions!$B$125*Pricing!$E$32))</f>
        <v/>
      </c>
      <c r="AE85" s="41">
        <f>Assumptions!$B$51*AE75*Assumptions!$B$176*Assumptions!$B$90/(AE76*Pricing!$B$15*AE44*Assumptions!$B$130*((1-Assumptions!$B$125)*Pricing!$E$31+Assumptions!$B$125*Pricing!$E$32))</f>
        <v/>
      </c>
      <c r="AF85" s="41">
        <f>Assumptions!$B$51*AF75*Assumptions!$B$176*Assumptions!$B$90/(AF76*Pricing!$B$15*AF44*Assumptions!$B$130*((1-Assumptions!$B$125)*Pricing!$E$31+Assumptions!$B$125*Pricing!$E$32))</f>
        <v/>
      </c>
      <c r="AG85" s="41">
        <f>Assumptions!$B$51*AG75*Assumptions!$B$176*Assumptions!$B$90/(AG76*Pricing!$B$15*AG44*Assumptions!$B$130*((1-Assumptions!$B$125)*Pricing!$E$31+Assumptions!$B$125*Pricing!$E$32))</f>
        <v/>
      </c>
      <c r="AH85" s="41">
        <f>Assumptions!$B$51*AH75*Assumptions!$B$176*Assumptions!$B$90/(AH76*Pricing!$B$15*AH44*Assumptions!$B$130*((1-Assumptions!$B$125)*Pricing!$E$31+Assumptions!$B$125*Pricing!$E$32))</f>
        <v/>
      </c>
      <c r="AI85" s="41">
        <f>Assumptions!$B$51*AI75*Assumptions!$B$176*Assumptions!$B$90/(AI76*Pricing!$B$15*AI44*Assumptions!$B$130*((1-Assumptions!$B$125)*Pricing!$E$31+Assumptions!$B$125*Pricing!$E$32))</f>
        <v/>
      </c>
      <c r="AJ85" s="41">
        <f>Assumptions!$B$51*AJ75*Assumptions!$B$176*Assumptions!$B$90/(AJ76*Pricing!$B$15*AJ44*Assumptions!$B$130*((1-Assumptions!$B$125)*Pricing!$E$31+Assumptions!$B$125*Pricing!$E$32))</f>
        <v/>
      </c>
      <c r="AK85" s="41">
        <f>Assumptions!$B$51*AK75*Assumptions!$B$176*Assumptions!$B$90/(AK76*Pricing!$B$15*AK44*Assumptions!$B$130*((1-Assumptions!$B$125)*Pricing!$E$31+Assumptions!$B$125*Pricing!$E$32))</f>
        <v/>
      </c>
      <c r="AL85" s="41">
        <f>Assumptions!$B$51*AL75*Assumptions!$B$176*Assumptions!$B$90/(AL76*Pricing!$B$15*AL44*Assumptions!$B$130*((1-Assumptions!$B$125)*Pricing!$E$31+Assumptions!$B$125*Pricing!$E$32))</f>
        <v/>
      </c>
      <c r="AM85" s="41">
        <f>Assumptions!$B$51*AM75*Assumptions!$B$176*Assumptions!$B$90/(AM76*Pricing!$B$15*AM44*Assumptions!$B$130*((1-Assumptions!$B$125)*Pricing!$E$31+Assumptions!$B$125*Pricing!$E$32))</f>
        <v/>
      </c>
      <c r="AN85" s="41">
        <f>Assumptions!$B$51*AN75*Assumptions!$B$176*Assumptions!$B$90/(AN76*Pricing!$B$15*AN44*Assumptions!$B$130*((1-Assumptions!$B$125)*Pricing!$E$31+Assumptions!$B$125*Pricing!$E$32))</f>
        <v/>
      </c>
      <c r="AO85" s="41">
        <f>Assumptions!$B$51*AO75*Assumptions!$B$176*Assumptions!$B$90/(AO76*Pricing!$B$15*AO44*Assumptions!$B$130*((1-Assumptions!$B$125)*Pricing!$E$31+Assumptions!$B$125*Pricing!$E$32))</f>
        <v/>
      </c>
      <c r="AP85" s="41">
        <f>Assumptions!$B$51*AP75*Assumptions!$B$176*Assumptions!$B$90/(AP76*Pricing!$B$15*AP44*Assumptions!$B$130*((1-Assumptions!$B$125)*Pricing!$E$31+Assumptions!$B$125*Pricing!$E$32))</f>
        <v/>
      </c>
      <c r="AQ85" s="41">
        <f>Assumptions!$B$51*AQ75*Assumptions!$B$176*Assumptions!$B$90/(AQ76*Pricing!$B$15*AQ44*Assumptions!$B$130*((1-Assumptions!$B$125)*Pricing!$E$31+Assumptions!$B$125*Pricing!$E$32))</f>
        <v/>
      </c>
      <c r="AR85" s="41">
        <f>Assumptions!$B$51*AR75*Assumptions!$B$176*Assumptions!$B$90/(AR76*Pricing!$B$15*AR44*Assumptions!$B$130*((1-Assumptions!$B$125)*Pricing!$E$31+Assumptions!$B$125*Pricing!$E$32))</f>
        <v/>
      </c>
      <c r="AS85" s="41">
        <f>Assumptions!$B$51*AS75*Assumptions!$B$176*Assumptions!$B$90/(AS76*Pricing!$B$15*AS44*Assumptions!$B$130*((1-Assumptions!$B$125)*Pricing!$E$31+Assumptions!$B$125*Pricing!$E$32))</f>
        <v/>
      </c>
      <c r="AT85" s="41">
        <f>Assumptions!$B$51*AT75*Assumptions!$B$176*Assumptions!$B$90/(AT76*Pricing!$B$15*AT44*Assumptions!$B$130*((1-Assumptions!$B$125)*Pricing!$E$31+Assumptions!$B$125*Pricing!$E$32))</f>
        <v/>
      </c>
      <c r="AU85" s="41">
        <f>Assumptions!$B$51*AU75*Assumptions!$B$176*Assumptions!$B$90/(AU76*Pricing!$B$15*AU44*Assumptions!$B$130*((1-Assumptions!$B$125)*Pricing!$E$31+Assumptions!$B$125*Pricing!$E$32))</f>
        <v/>
      </c>
      <c r="AV85" s="41">
        <f>Assumptions!$B$51*AV75*Assumptions!$B$176*Assumptions!$B$90/(AV76*Pricing!$B$15*AV44*Assumptions!$B$130*((1-Assumptions!$B$125)*Pricing!$E$31+Assumptions!$B$125*Pricing!$E$32))</f>
        <v/>
      </c>
      <c r="AW85" s="41">
        <f>Assumptions!$B$51*AW75*Assumptions!$B$176*Assumptions!$B$90/(AW76*Pricing!$B$15*AW44*Assumptions!$B$130*((1-Assumptions!$B$125)*Pricing!$E$31+Assumptions!$B$125*Pricing!$E$32))</f>
        <v/>
      </c>
      <c r="AX85" s="41">
        <f>Assumptions!$B$51*AX75*Assumptions!$B$176*Assumptions!$B$90/(AX76*Pricing!$B$15*AX44*Assumptions!$B$130*((1-Assumptions!$B$125)*Pricing!$E$31+Assumptions!$B$125*Pricing!$E$32))</f>
        <v/>
      </c>
      <c r="AY85" s="41">
        <f>Assumptions!$B$51*AY75*Assumptions!$B$176*Assumptions!$B$90/(AY76*Pricing!$B$15*AY44*Assumptions!$B$130*((1-Assumptions!$B$125)*Pricing!$E$31+Assumptions!$B$125*Pricing!$E$32))</f>
        <v/>
      </c>
      <c r="AZ85" s="41">
        <f>Assumptions!$B$51*AZ75*Assumptions!$B$176*Assumptions!$B$90/(AZ76*Pricing!$B$15*AZ44*Assumptions!$B$130*((1-Assumptions!$B$125)*Pricing!$E$31+Assumptions!$B$125*Pricing!$E$32))</f>
        <v/>
      </c>
      <c r="BA85" s="41">
        <f>Assumptions!$B$51*BA75*Assumptions!$B$176*Assumptions!$B$90/(BA76*Pricing!$B$15*BA44*Assumptions!$B$130*((1-Assumptions!$B$125)*Pricing!$E$31+Assumptions!$B$125*Pricing!$E$32))</f>
        <v/>
      </c>
      <c r="BB85" s="41">
        <f>Assumptions!$B$51*BB75*Assumptions!$B$176*Assumptions!$B$90/(BB76*Pricing!$B$15*BB44*Assumptions!$B$130*((1-Assumptions!$B$125)*Pricing!$E$31+Assumptions!$B$125*Pricing!$E$32))</f>
        <v/>
      </c>
      <c r="BC85" s="41">
        <f>Assumptions!$B$51*BC75*Assumptions!$B$176*Assumptions!$B$90/(BC76*Pricing!$B$15*BC44*Assumptions!$B$130*((1-Assumptions!$B$125)*Pricing!$E$31+Assumptions!$B$125*Pricing!$E$32))</f>
        <v/>
      </c>
      <c r="BD85" s="41">
        <f>Assumptions!$B$51*BD75*Assumptions!$B$176*Assumptions!$B$90/(BD76*Pricing!$B$15*BD44*Assumptions!$B$130*((1-Assumptions!$B$125)*Pricing!$E$31+Assumptions!$B$125*Pricing!$E$32))</f>
        <v/>
      </c>
      <c r="BE85" s="41">
        <f>Assumptions!$B$51*BE75*Assumptions!$B$176*Assumptions!$B$90/(BE76*Pricing!$B$15*BE44*Assumptions!$B$130*((1-Assumptions!$B$125)*Pricing!$E$31+Assumptions!$B$125*Pricing!$E$32))</f>
        <v/>
      </c>
      <c r="BF85" s="41">
        <f>Assumptions!$B$51*BF75*Assumptions!$B$176*Assumptions!$B$90/(BF76*Pricing!$B$15*BF44*Assumptions!$B$130*((1-Assumptions!$B$125)*Pricing!$E$31+Assumptions!$B$125*Pricing!$E$32))</f>
        <v/>
      </c>
      <c r="BG85" s="41">
        <f>Assumptions!$B$51*BG75*Assumptions!$B$176*Assumptions!$B$90/(BG76*Pricing!$B$15*BG44*Assumptions!$B$130*((1-Assumptions!$B$125)*Pricing!$E$31+Assumptions!$B$125*Pricing!$E$32))</f>
        <v/>
      </c>
      <c r="BH85" s="41">
        <f>Assumptions!$B$51*BH75*Assumptions!$B$176*Assumptions!$B$90/(BH76*Pricing!$B$15*BH44*Assumptions!$B$130*((1-Assumptions!$B$125)*Pricing!$E$31+Assumptions!$B$125*Pricing!$E$32))</f>
        <v/>
      </c>
      <c r="BI85" s="41">
        <f>Assumptions!$B$51*BI75*Assumptions!$B$176*Assumptions!$B$90/(BI76*Pricing!$B$15*BI44*Assumptions!$B$130*((1-Assumptions!$B$125)*Pricing!$E$31+Assumptions!$B$125*Pricing!$E$32))</f>
        <v/>
      </c>
      <c r="BJ85" s="41">
        <f>Assumptions!$B$51*BJ75*Assumptions!$B$176*Assumptions!$B$90/(BJ76*Pricing!$B$15*BJ44*Assumptions!$B$130*((1-Assumptions!$B$125)*Pricing!$E$31+Assumptions!$B$125*Pricing!$E$32))</f>
        <v/>
      </c>
    </row>
    <row r="86">
      <c r="A86" s="4" t="inlineStr">
        <is>
          <t>Paid acquisition allowed (payback &lt;= max), Solo: Ghana</t>
        </is>
      </c>
      <c r="B86" s="17" t="inlineStr">
        <is>
          <t>flag</t>
        </is>
      </c>
      <c r="C86" s="10">
        <f>IF(C85&lt;=Assumptions!$B$129,1,0)</f>
        <v/>
      </c>
      <c r="D86" s="10">
        <f>IF(D85&lt;=Assumptions!$B$129,1,0)</f>
        <v/>
      </c>
      <c r="E86" s="10">
        <f>IF(E85&lt;=Assumptions!$B$129,1,0)</f>
        <v/>
      </c>
      <c r="F86" s="10">
        <f>IF(F85&lt;=Assumptions!$B$129,1,0)</f>
        <v/>
      </c>
      <c r="G86" s="10">
        <f>IF(G85&lt;=Assumptions!$B$129,1,0)</f>
        <v/>
      </c>
      <c r="H86" s="10">
        <f>IF(H85&lt;=Assumptions!$B$129,1,0)</f>
        <v/>
      </c>
      <c r="I86" s="10">
        <f>IF(I85&lt;=Assumptions!$B$129,1,0)</f>
        <v/>
      </c>
      <c r="J86" s="10">
        <f>IF(J85&lt;=Assumptions!$B$129,1,0)</f>
        <v/>
      </c>
      <c r="K86" s="10">
        <f>IF(K85&lt;=Assumptions!$B$129,1,0)</f>
        <v/>
      </c>
      <c r="L86" s="10">
        <f>IF(L85&lt;=Assumptions!$B$129,1,0)</f>
        <v/>
      </c>
      <c r="M86" s="10">
        <f>IF(M85&lt;=Assumptions!$B$129,1,0)</f>
        <v/>
      </c>
      <c r="N86" s="10">
        <f>IF(N85&lt;=Assumptions!$B$129,1,0)</f>
        <v/>
      </c>
      <c r="O86" s="10">
        <f>IF(O85&lt;=Assumptions!$B$129,1,0)</f>
        <v/>
      </c>
      <c r="P86" s="10">
        <f>IF(P85&lt;=Assumptions!$B$129,1,0)</f>
        <v/>
      </c>
      <c r="Q86" s="10">
        <f>IF(Q85&lt;=Assumptions!$B$129,1,0)</f>
        <v/>
      </c>
      <c r="R86" s="10">
        <f>IF(R85&lt;=Assumptions!$B$129,1,0)</f>
        <v/>
      </c>
      <c r="S86" s="10">
        <f>IF(S85&lt;=Assumptions!$B$129,1,0)</f>
        <v/>
      </c>
      <c r="T86" s="10">
        <f>IF(T85&lt;=Assumptions!$B$129,1,0)</f>
        <v/>
      </c>
      <c r="U86" s="10">
        <f>IF(U85&lt;=Assumptions!$B$129,1,0)</f>
        <v/>
      </c>
      <c r="V86" s="10">
        <f>IF(V85&lt;=Assumptions!$B$129,1,0)</f>
        <v/>
      </c>
      <c r="W86" s="10">
        <f>IF(W85&lt;=Assumptions!$B$129,1,0)</f>
        <v/>
      </c>
      <c r="X86" s="10">
        <f>IF(X85&lt;=Assumptions!$B$129,1,0)</f>
        <v/>
      </c>
      <c r="Y86" s="10">
        <f>IF(Y85&lt;=Assumptions!$B$129,1,0)</f>
        <v/>
      </c>
      <c r="Z86" s="10">
        <f>IF(Z85&lt;=Assumptions!$B$129,1,0)</f>
        <v/>
      </c>
      <c r="AA86" s="10">
        <f>IF(AA85&lt;=Assumptions!$B$129,1,0)</f>
        <v/>
      </c>
      <c r="AB86" s="10">
        <f>IF(AB85&lt;=Assumptions!$B$129,1,0)</f>
        <v/>
      </c>
      <c r="AC86" s="10">
        <f>IF(AC85&lt;=Assumptions!$B$129,1,0)</f>
        <v/>
      </c>
      <c r="AD86" s="10">
        <f>IF(AD85&lt;=Assumptions!$B$129,1,0)</f>
        <v/>
      </c>
      <c r="AE86" s="10">
        <f>IF(AE85&lt;=Assumptions!$B$129,1,0)</f>
        <v/>
      </c>
      <c r="AF86" s="10">
        <f>IF(AF85&lt;=Assumptions!$B$129,1,0)</f>
        <v/>
      </c>
      <c r="AG86" s="10">
        <f>IF(AG85&lt;=Assumptions!$B$129,1,0)</f>
        <v/>
      </c>
      <c r="AH86" s="10">
        <f>IF(AH85&lt;=Assumptions!$B$129,1,0)</f>
        <v/>
      </c>
      <c r="AI86" s="10">
        <f>IF(AI85&lt;=Assumptions!$B$129,1,0)</f>
        <v/>
      </c>
      <c r="AJ86" s="10">
        <f>IF(AJ85&lt;=Assumptions!$B$129,1,0)</f>
        <v/>
      </c>
      <c r="AK86" s="10">
        <f>IF(AK85&lt;=Assumptions!$B$129,1,0)</f>
        <v/>
      </c>
      <c r="AL86" s="10">
        <f>IF(AL85&lt;=Assumptions!$B$129,1,0)</f>
        <v/>
      </c>
      <c r="AM86" s="10">
        <f>IF(AM85&lt;=Assumptions!$B$129,1,0)</f>
        <v/>
      </c>
      <c r="AN86" s="10">
        <f>IF(AN85&lt;=Assumptions!$B$129,1,0)</f>
        <v/>
      </c>
      <c r="AO86" s="10">
        <f>IF(AO85&lt;=Assumptions!$B$129,1,0)</f>
        <v/>
      </c>
      <c r="AP86" s="10">
        <f>IF(AP85&lt;=Assumptions!$B$129,1,0)</f>
        <v/>
      </c>
      <c r="AQ86" s="10">
        <f>IF(AQ85&lt;=Assumptions!$B$129,1,0)</f>
        <v/>
      </c>
      <c r="AR86" s="10">
        <f>IF(AR85&lt;=Assumptions!$B$129,1,0)</f>
        <v/>
      </c>
      <c r="AS86" s="10">
        <f>IF(AS85&lt;=Assumptions!$B$129,1,0)</f>
        <v/>
      </c>
      <c r="AT86" s="10">
        <f>IF(AT85&lt;=Assumptions!$B$129,1,0)</f>
        <v/>
      </c>
      <c r="AU86" s="10">
        <f>IF(AU85&lt;=Assumptions!$B$129,1,0)</f>
        <v/>
      </c>
      <c r="AV86" s="10">
        <f>IF(AV85&lt;=Assumptions!$B$129,1,0)</f>
        <v/>
      </c>
      <c r="AW86" s="10">
        <f>IF(AW85&lt;=Assumptions!$B$129,1,0)</f>
        <v/>
      </c>
      <c r="AX86" s="10">
        <f>IF(AX85&lt;=Assumptions!$B$129,1,0)</f>
        <v/>
      </c>
      <c r="AY86" s="10">
        <f>IF(AY85&lt;=Assumptions!$B$129,1,0)</f>
        <v/>
      </c>
      <c r="AZ86" s="10">
        <f>IF(AZ85&lt;=Assumptions!$B$129,1,0)</f>
        <v/>
      </c>
      <c r="BA86" s="10">
        <f>IF(BA85&lt;=Assumptions!$B$129,1,0)</f>
        <v/>
      </c>
      <c r="BB86" s="10">
        <f>IF(BB85&lt;=Assumptions!$B$129,1,0)</f>
        <v/>
      </c>
      <c r="BC86" s="10">
        <f>IF(BC85&lt;=Assumptions!$B$129,1,0)</f>
        <v/>
      </c>
      <c r="BD86" s="10">
        <f>IF(BD85&lt;=Assumptions!$B$129,1,0)</f>
        <v/>
      </c>
      <c r="BE86" s="10">
        <f>IF(BE85&lt;=Assumptions!$B$129,1,0)</f>
        <v/>
      </c>
      <c r="BF86" s="10">
        <f>IF(BF85&lt;=Assumptions!$B$129,1,0)</f>
        <v/>
      </c>
      <c r="BG86" s="10">
        <f>IF(BG85&lt;=Assumptions!$B$129,1,0)</f>
        <v/>
      </c>
      <c r="BH86" s="10">
        <f>IF(BH85&lt;=Assumptions!$B$129,1,0)</f>
        <v/>
      </c>
      <c r="BI86" s="10">
        <f>IF(BI85&lt;=Assumptions!$B$129,1,0)</f>
        <v/>
      </c>
      <c r="BJ86" s="10">
        <f>IF(BJ85&lt;=Assumptions!$B$129,1,0)</f>
        <v/>
      </c>
    </row>
    <row r="87">
      <c r="A87" s="4" t="inlineStr">
        <is>
          <t>CAC payback, Solo: Rest of Africa (USD)</t>
        </is>
      </c>
      <c r="B87" s="17" t="inlineStr">
        <is>
          <t>months</t>
        </is>
      </c>
      <c r="C87" s="41">
        <f>Assumptions!$B$51*C75*Assumptions!$B$176*Assumptions!$B$100/(C76*Pricing!$B$15*C47*Assumptions!$B$130*((1-Assumptions!$B$125)*Pricing!$F$31+Assumptions!$B$125*Pricing!$F$32))</f>
        <v/>
      </c>
      <c r="D87" s="41">
        <f>Assumptions!$B$51*D75*Assumptions!$B$176*Assumptions!$B$100/(D76*Pricing!$B$15*D47*Assumptions!$B$130*((1-Assumptions!$B$125)*Pricing!$F$31+Assumptions!$B$125*Pricing!$F$32))</f>
        <v/>
      </c>
      <c r="E87" s="41">
        <f>Assumptions!$B$51*E75*Assumptions!$B$176*Assumptions!$B$100/(E76*Pricing!$B$15*E47*Assumptions!$B$130*((1-Assumptions!$B$125)*Pricing!$F$31+Assumptions!$B$125*Pricing!$F$32))</f>
        <v/>
      </c>
      <c r="F87" s="41">
        <f>Assumptions!$B$51*F75*Assumptions!$B$176*Assumptions!$B$100/(F76*Pricing!$B$15*F47*Assumptions!$B$130*((1-Assumptions!$B$125)*Pricing!$F$31+Assumptions!$B$125*Pricing!$F$32))</f>
        <v/>
      </c>
      <c r="G87" s="41">
        <f>Assumptions!$B$51*G75*Assumptions!$B$176*Assumptions!$B$100/(G76*Pricing!$B$15*G47*Assumptions!$B$130*((1-Assumptions!$B$125)*Pricing!$F$31+Assumptions!$B$125*Pricing!$F$32))</f>
        <v/>
      </c>
      <c r="H87" s="41">
        <f>Assumptions!$B$51*H75*Assumptions!$B$176*Assumptions!$B$100/(H76*Pricing!$B$15*H47*Assumptions!$B$130*((1-Assumptions!$B$125)*Pricing!$F$31+Assumptions!$B$125*Pricing!$F$32))</f>
        <v/>
      </c>
      <c r="I87" s="41">
        <f>Assumptions!$B$51*I75*Assumptions!$B$176*Assumptions!$B$100/(I76*Pricing!$B$15*I47*Assumptions!$B$130*((1-Assumptions!$B$125)*Pricing!$F$31+Assumptions!$B$125*Pricing!$F$32))</f>
        <v/>
      </c>
      <c r="J87" s="41">
        <f>Assumptions!$B$51*J75*Assumptions!$B$176*Assumptions!$B$100/(J76*Pricing!$B$15*J47*Assumptions!$B$130*((1-Assumptions!$B$125)*Pricing!$F$31+Assumptions!$B$125*Pricing!$F$32))</f>
        <v/>
      </c>
      <c r="K87" s="41">
        <f>Assumptions!$B$51*K75*Assumptions!$B$176*Assumptions!$B$100/(K76*Pricing!$B$15*K47*Assumptions!$B$130*((1-Assumptions!$B$125)*Pricing!$F$31+Assumptions!$B$125*Pricing!$F$32))</f>
        <v/>
      </c>
      <c r="L87" s="41">
        <f>Assumptions!$B$51*L75*Assumptions!$B$176*Assumptions!$B$100/(L76*Pricing!$B$15*L47*Assumptions!$B$130*((1-Assumptions!$B$125)*Pricing!$F$31+Assumptions!$B$125*Pricing!$F$32))</f>
        <v/>
      </c>
      <c r="M87" s="41">
        <f>Assumptions!$B$51*M75*Assumptions!$B$176*Assumptions!$B$100/(M76*Pricing!$B$15*M47*Assumptions!$B$130*((1-Assumptions!$B$125)*Pricing!$F$31+Assumptions!$B$125*Pricing!$F$32))</f>
        <v/>
      </c>
      <c r="N87" s="41">
        <f>Assumptions!$B$51*N75*Assumptions!$B$176*Assumptions!$B$100/(N76*Pricing!$B$15*N47*Assumptions!$B$130*((1-Assumptions!$B$125)*Pricing!$F$31+Assumptions!$B$125*Pricing!$F$32))</f>
        <v/>
      </c>
      <c r="O87" s="41">
        <f>Assumptions!$B$51*O75*Assumptions!$B$176*Assumptions!$B$100/(O76*Pricing!$B$15*O47*Assumptions!$B$130*((1-Assumptions!$B$125)*Pricing!$F$31+Assumptions!$B$125*Pricing!$F$32))</f>
        <v/>
      </c>
      <c r="P87" s="41">
        <f>Assumptions!$B$51*P75*Assumptions!$B$176*Assumptions!$B$100/(P76*Pricing!$B$15*P47*Assumptions!$B$130*((1-Assumptions!$B$125)*Pricing!$F$31+Assumptions!$B$125*Pricing!$F$32))</f>
        <v/>
      </c>
      <c r="Q87" s="41">
        <f>Assumptions!$B$51*Q75*Assumptions!$B$176*Assumptions!$B$100/(Q76*Pricing!$B$15*Q47*Assumptions!$B$130*((1-Assumptions!$B$125)*Pricing!$F$31+Assumptions!$B$125*Pricing!$F$32))</f>
        <v/>
      </c>
      <c r="R87" s="41">
        <f>Assumptions!$B$51*R75*Assumptions!$B$176*Assumptions!$B$100/(R76*Pricing!$B$15*R47*Assumptions!$B$130*((1-Assumptions!$B$125)*Pricing!$F$31+Assumptions!$B$125*Pricing!$F$32))</f>
        <v/>
      </c>
      <c r="S87" s="41">
        <f>Assumptions!$B$51*S75*Assumptions!$B$176*Assumptions!$B$100/(S76*Pricing!$B$15*S47*Assumptions!$B$130*((1-Assumptions!$B$125)*Pricing!$F$31+Assumptions!$B$125*Pricing!$F$32))</f>
        <v/>
      </c>
      <c r="T87" s="41">
        <f>Assumptions!$B$51*T75*Assumptions!$B$176*Assumptions!$B$100/(T76*Pricing!$B$15*T47*Assumptions!$B$130*((1-Assumptions!$B$125)*Pricing!$F$31+Assumptions!$B$125*Pricing!$F$32))</f>
        <v/>
      </c>
      <c r="U87" s="41">
        <f>Assumptions!$B$51*U75*Assumptions!$B$176*Assumptions!$B$100/(U76*Pricing!$B$15*U47*Assumptions!$B$130*((1-Assumptions!$B$125)*Pricing!$F$31+Assumptions!$B$125*Pricing!$F$32))</f>
        <v/>
      </c>
      <c r="V87" s="41">
        <f>Assumptions!$B$51*V75*Assumptions!$B$176*Assumptions!$B$100/(V76*Pricing!$B$15*V47*Assumptions!$B$130*((1-Assumptions!$B$125)*Pricing!$F$31+Assumptions!$B$125*Pricing!$F$32))</f>
        <v/>
      </c>
      <c r="W87" s="41">
        <f>Assumptions!$B$51*W75*Assumptions!$B$176*Assumptions!$B$100/(W76*Pricing!$B$15*W47*Assumptions!$B$130*((1-Assumptions!$B$125)*Pricing!$F$31+Assumptions!$B$125*Pricing!$F$32))</f>
        <v/>
      </c>
      <c r="X87" s="41">
        <f>Assumptions!$B$51*X75*Assumptions!$B$176*Assumptions!$B$100/(X76*Pricing!$B$15*X47*Assumptions!$B$130*((1-Assumptions!$B$125)*Pricing!$F$31+Assumptions!$B$125*Pricing!$F$32))</f>
        <v/>
      </c>
      <c r="Y87" s="41">
        <f>Assumptions!$B$51*Y75*Assumptions!$B$176*Assumptions!$B$100/(Y76*Pricing!$B$15*Y47*Assumptions!$B$130*((1-Assumptions!$B$125)*Pricing!$F$31+Assumptions!$B$125*Pricing!$F$32))</f>
        <v/>
      </c>
      <c r="Z87" s="41">
        <f>Assumptions!$B$51*Z75*Assumptions!$B$176*Assumptions!$B$100/(Z76*Pricing!$B$15*Z47*Assumptions!$B$130*((1-Assumptions!$B$125)*Pricing!$F$31+Assumptions!$B$125*Pricing!$F$32))</f>
        <v/>
      </c>
      <c r="AA87" s="41">
        <f>Assumptions!$B$51*AA75*Assumptions!$B$176*Assumptions!$B$100/(AA76*Pricing!$B$15*AA47*Assumptions!$B$130*((1-Assumptions!$B$125)*Pricing!$F$31+Assumptions!$B$125*Pricing!$F$32))</f>
        <v/>
      </c>
      <c r="AB87" s="41">
        <f>Assumptions!$B$51*AB75*Assumptions!$B$176*Assumptions!$B$100/(AB76*Pricing!$B$15*AB47*Assumptions!$B$130*((1-Assumptions!$B$125)*Pricing!$F$31+Assumptions!$B$125*Pricing!$F$32))</f>
        <v/>
      </c>
      <c r="AC87" s="41">
        <f>Assumptions!$B$51*AC75*Assumptions!$B$176*Assumptions!$B$100/(AC76*Pricing!$B$15*AC47*Assumptions!$B$130*((1-Assumptions!$B$125)*Pricing!$F$31+Assumptions!$B$125*Pricing!$F$32))</f>
        <v/>
      </c>
      <c r="AD87" s="41">
        <f>Assumptions!$B$51*AD75*Assumptions!$B$176*Assumptions!$B$100/(AD76*Pricing!$B$15*AD47*Assumptions!$B$130*((1-Assumptions!$B$125)*Pricing!$F$31+Assumptions!$B$125*Pricing!$F$32))</f>
        <v/>
      </c>
      <c r="AE87" s="41">
        <f>Assumptions!$B$51*AE75*Assumptions!$B$176*Assumptions!$B$100/(AE76*Pricing!$B$15*AE47*Assumptions!$B$130*((1-Assumptions!$B$125)*Pricing!$F$31+Assumptions!$B$125*Pricing!$F$32))</f>
        <v/>
      </c>
      <c r="AF87" s="41">
        <f>Assumptions!$B$51*AF75*Assumptions!$B$176*Assumptions!$B$100/(AF76*Pricing!$B$15*AF47*Assumptions!$B$130*((1-Assumptions!$B$125)*Pricing!$F$31+Assumptions!$B$125*Pricing!$F$32))</f>
        <v/>
      </c>
      <c r="AG87" s="41">
        <f>Assumptions!$B$51*AG75*Assumptions!$B$176*Assumptions!$B$100/(AG76*Pricing!$B$15*AG47*Assumptions!$B$130*((1-Assumptions!$B$125)*Pricing!$F$31+Assumptions!$B$125*Pricing!$F$32))</f>
        <v/>
      </c>
      <c r="AH87" s="41">
        <f>Assumptions!$B$51*AH75*Assumptions!$B$176*Assumptions!$B$100/(AH76*Pricing!$B$15*AH47*Assumptions!$B$130*((1-Assumptions!$B$125)*Pricing!$F$31+Assumptions!$B$125*Pricing!$F$32))</f>
        <v/>
      </c>
      <c r="AI87" s="41">
        <f>Assumptions!$B$51*AI75*Assumptions!$B$176*Assumptions!$B$100/(AI76*Pricing!$B$15*AI47*Assumptions!$B$130*((1-Assumptions!$B$125)*Pricing!$F$31+Assumptions!$B$125*Pricing!$F$32))</f>
        <v/>
      </c>
      <c r="AJ87" s="41">
        <f>Assumptions!$B$51*AJ75*Assumptions!$B$176*Assumptions!$B$100/(AJ76*Pricing!$B$15*AJ47*Assumptions!$B$130*((1-Assumptions!$B$125)*Pricing!$F$31+Assumptions!$B$125*Pricing!$F$32))</f>
        <v/>
      </c>
      <c r="AK87" s="41">
        <f>Assumptions!$B$51*AK75*Assumptions!$B$176*Assumptions!$B$100/(AK76*Pricing!$B$15*AK47*Assumptions!$B$130*((1-Assumptions!$B$125)*Pricing!$F$31+Assumptions!$B$125*Pricing!$F$32))</f>
        <v/>
      </c>
      <c r="AL87" s="41">
        <f>Assumptions!$B$51*AL75*Assumptions!$B$176*Assumptions!$B$100/(AL76*Pricing!$B$15*AL47*Assumptions!$B$130*((1-Assumptions!$B$125)*Pricing!$F$31+Assumptions!$B$125*Pricing!$F$32))</f>
        <v/>
      </c>
      <c r="AM87" s="41">
        <f>Assumptions!$B$51*AM75*Assumptions!$B$176*Assumptions!$B$100/(AM76*Pricing!$B$15*AM47*Assumptions!$B$130*((1-Assumptions!$B$125)*Pricing!$F$31+Assumptions!$B$125*Pricing!$F$32))</f>
        <v/>
      </c>
      <c r="AN87" s="41">
        <f>Assumptions!$B$51*AN75*Assumptions!$B$176*Assumptions!$B$100/(AN76*Pricing!$B$15*AN47*Assumptions!$B$130*((1-Assumptions!$B$125)*Pricing!$F$31+Assumptions!$B$125*Pricing!$F$32))</f>
        <v/>
      </c>
      <c r="AO87" s="41">
        <f>Assumptions!$B$51*AO75*Assumptions!$B$176*Assumptions!$B$100/(AO76*Pricing!$B$15*AO47*Assumptions!$B$130*((1-Assumptions!$B$125)*Pricing!$F$31+Assumptions!$B$125*Pricing!$F$32))</f>
        <v/>
      </c>
      <c r="AP87" s="41">
        <f>Assumptions!$B$51*AP75*Assumptions!$B$176*Assumptions!$B$100/(AP76*Pricing!$B$15*AP47*Assumptions!$B$130*((1-Assumptions!$B$125)*Pricing!$F$31+Assumptions!$B$125*Pricing!$F$32))</f>
        <v/>
      </c>
      <c r="AQ87" s="41">
        <f>Assumptions!$B$51*AQ75*Assumptions!$B$176*Assumptions!$B$100/(AQ76*Pricing!$B$15*AQ47*Assumptions!$B$130*((1-Assumptions!$B$125)*Pricing!$F$31+Assumptions!$B$125*Pricing!$F$32))</f>
        <v/>
      </c>
      <c r="AR87" s="41">
        <f>Assumptions!$B$51*AR75*Assumptions!$B$176*Assumptions!$B$100/(AR76*Pricing!$B$15*AR47*Assumptions!$B$130*((1-Assumptions!$B$125)*Pricing!$F$31+Assumptions!$B$125*Pricing!$F$32))</f>
        <v/>
      </c>
      <c r="AS87" s="41">
        <f>Assumptions!$B$51*AS75*Assumptions!$B$176*Assumptions!$B$100/(AS76*Pricing!$B$15*AS47*Assumptions!$B$130*((1-Assumptions!$B$125)*Pricing!$F$31+Assumptions!$B$125*Pricing!$F$32))</f>
        <v/>
      </c>
      <c r="AT87" s="41">
        <f>Assumptions!$B$51*AT75*Assumptions!$B$176*Assumptions!$B$100/(AT76*Pricing!$B$15*AT47*Assumptions!$B$130*((1-Assumptions!$B$125)*Pricing!$F$31+Assumptions!$B$125*Pricing!$F$32))</f>
        <v/>
      </c>
      <c r="AU87" s="41">
        <f>Assumptions!$B$51*AU75*Assumptions!$B$176*Assumptions!$B$100/(AU76*Pricing!$B$15*AU47*Assumptions!$B$130*((1-Assumptions!$B$125)*Pricing!$F$31+Assumptions!$B$125*Pricing!$F$32))</f>
        <v/>
      </c>
      <c r="AV87" s="41">
        <f>Assumptions!$B$51*AV75*Assumptions!$B$176*Assumptions!$B$100/(AV76*Pricing!$B$15*AV47*Assumptions!$B$130*((1-Assumptions!$B$125)*Pricing!$F$31+Assumptions!$B$125*Pricing!$F$32))</f>
        <v/>
      </c>
      <c r="AW87" s="41">
        <f>Assumptions!$B$51*AW75*Assumptions!$B$176*Assumptions!$B$100/(AW76*Pricing!$B$15*AW47*Assumptions!$B$130*((1-Assumptions!$B$125)*Pricing!$F$31+Assumptions!$B$125*Pricing!$F$32))</f>
        <v/>
      </c>
      <c r="AX87" s="41">
        <f>Assumptions!$B$51*AX75*Assumptions!$B$176*Assumptions!$B$100/(AX76*Pricing!$B$15*AX47*Assumptions!$B$130*((1-Assumptions!$B$125)*Pricing!$F$31+Assumptions!$B$125*Pricing!$F$32))</f>
        <v/>
      </c>
      <c r="AY87" s="41">
        <f>Assumptions!$B$51*AY75*Assumptions!$B$176*Assumptions!$B$100/(AY76*Pricing!$B$15*AY47*Assumptions!$B$130*((1-Assumptions!$B$125)*Pricing!$F$31+Assumptions!$B$125*Pricing!$F$32))</f>
        <v/>
      </c>
      <c r="AZ87" s="41">
        <f>Assumptions!$B$51*AZ75*Assumptions!$B$176*Assumptions!$B$100/(AZ76*Pricing!$B$15*AZ47*Assumptions!$B$130*((1-Assumptions!$B$125)*Pricing!$F$31+Assumptions!$B$125*Pricing!$F$32))</f>
        <v/>
      </c>
      <c r="BA87" s="41">
        <f>Assumptions!$B$51*BA75*Assumptions!$B$176*Assumptions!$B$100/(BA76*Pricing!$B$15*BA47*Assumptions!$B$130*((1-Assumptions!$B$125)*Pricing!$F$31+Assumptions!$B$125*Pricing!$F$32))</f>
        <v/>
      </c>
      <c r="BB87" s="41">
        <f>Assumptions!$B$51*BB75*Assumptions!$B$176*Assumptions!$B$100/(BB76*Pricing!$B$15*BB47*Assumptions!$B$130*((1-Assumptions!$B$125)*Pricing!$F$31+Assumptions!$B$125*Pricing!$F$32))</f>
        <v/>
      </c>
      <c r="BC87" s="41">
        <f>Assumptions!$B$51*BC75*Assumptions!$B$176*Assumptions!$B$100/(BC76*Pricing!$B$15*BC47*Assumptions!$B$130*((1-Assumptions!$B$125)*Pricing!$F$31+Assumptions!$B$125*Pricing!$F$32))</f>
        <v/>
      </c>
      <c r="BD87" s="41">
        <f>Assumptions!$B$51*BD75*Assumptions!$B$176*Assumptions!$B$100/(BD76*Pricing!$B$15*BD47*Assumptions!$B$130*((1-Assumptions!$B$125)*Pricing!$F$31+Assumptions!$B$125*Pricing!$F$32))</f>
        <v/>
      </c>
      <c r="BE87" s="41">
        <f>Assumptions!$B$51*BE75*Assumptions!$B$176*Assumptions!$B$100/(BE76*Pricing!$B$15*BE47*Assumptions!$B$130*((1-Assumptions!$B$125)*Pricing!$F$31+Assumptions!$B$125*Pricing!$F$32))</f>
        <v/>
      </c>
      <c r="BF87" s="41">
        <f>Assumptions!$B$51*BF75*Assumptions!$B$176*Assumptions!$B$100/(BF76*Pricing!$B$15*BF47*Assumptions!$B$130*((1-Assumptions!$B$125)*Pricing!$F$31+Assumptions!$B$125*Pricing!$F$32))</f>
        <v/>
      </c>
      <c r="BG87" s="41">
        <f>Assumptions!$B$51*BG75*Assumptions!$B$176*Assumptions!$B$100/(BG76*Pricing!$B$15*BG47*Assumptions!$B$130*((1-Assumptions!$B$125)*Pricing!$F$31+Assumptions!$B$125*Pricing!$F$32))</f>
        <v/>
      </c>
      <c r="BH87" s="41">
        <f>Assumptions!$B$51*BH75*Assumptions!$B$176*Assumptions!$B$100/(BH76*Pricing!$B$15*BH47*Assumptions!$B$130*((1-Assumptions!$B$125)*Pricing!$F$31+Assumptions!$B$125*Pricing!$F$32))</f>
        <v/>
      </c>
      <c r="BI87" s="41">
        <f>Assumptions!$B$51*BI75*Assumptions!$B$176*Assumptions!$B$100/(BI76*Pricing!$B$15*BI47*Assumptions!$B$130*((1-Assumptions!$B$125)*Pricing!$F$31+Assumptions!$B$125*Pricing!$F$32))</f>
        <v/>
      </c>
      <c r="BJ87" s="41">
        <f>Assumptions!$B$51*BJ75*Assumptions!$B$176*Assumptions!$B$100/(BJ76*Pricing!$B$15*BJ47*Assumptions!$B$130*((1-Assumptions!$B$125)*Pricing!$F$31+Assumptions!$B$125*Pricing!$F$32))</f>
        <v/>
      </c>
    </row>
    <row r="88">
      <c r="A88" s="4" t="inlineStr">
        <is>
          <t>Paid acquisition allowed (payback &lt;= max), Solo: Rest of Africa (USD)</t>
        </is>
      </c>
      <c r="B88" s="17" t="inlineStr">
        <is>
          <t>flag</t>
        </is>
      </c>
      <c r="C88" s="10">
        <f>IF(C87&lt;=Assumptions!$B$129,1,0)</f>
        <v/>
      </c>
      <c r="D88" s="10">
        <f>IF(D87&lt;=Assumptions!$B$129,1,0)</f>
        <v/>
      </c>
      <c r="E88" s="10">
        <f>IF(E87&lt;=Assumptions!$B$129,1,0)</f>
        <v/>
      </c>
      <c r="F88" s="10">
        <f>IF(F87&lt;=Assumptions!$B$129,1,0)</f>
        <v/>
      </c>
      <c r="G88" s="10">
        <f>IF(G87&lt;=Assumptions!$B$129,1,0)</f>
        <v/>
      </c>
      <c r="H88" s="10">
        <f>IF(H87&lt;=Assumptions!$B$129,1,0)</f>
        <v/>
      </c>
      <c r="I88" s="10">
        <f>IF(I87&lt;=Assumptions!$B$129,1,0)</f>
        <v/>
      </c>
      <c r="J88" s="10">
        <f>IF(J87&lt;=Assumptions!$B$129,1,0)</f>
        <v/>
      </c>
      <c r="K88" s="10">
        <f>IF(K87&lt;=Assumptions!$B$129,1,0)</f>
        <v/>
      </c>
      <c r="L88" s="10">
        <f>IF(L87&lt;=Assumptions!$B$129,1,0)</f>
        <v/>
      </c>
      <c r="M88" s="10">
        <f>IF(M87&lt;=Assumptions!$B$129,1,0)</f>
        <v/>
      </c>
      <c r="N88" s="10">
        <f>IF(N87&lt;=Assumptions!$B$129,1,0)</f>
        <v/>
      </c>
      <c r="O88" s="10">
        <f>IF(O87&lt;=Assumptions!$B$129,1,0)</f>
        <v/>
      </c>
      <c r="P88" s="10">
        <f>IF(P87&lt;=Assumptions!$B$129,1,0)</f>
        <v/>
      </c>
      <c r="Q88" s="10">
        <f>IF(Q87&lt;=Assumptions!$B$129,1,0)</f>
        <v/>
      </c>
      <c r="R88" s="10">
        <f>IF(R87&lt;=Assumptions!$B$129,1,0)</f>
        <v/>
      </c>
      <c r="S88" s="10">
        <f>IF(S87&lt;=Assumptions!$B$129,1,0)</f>
        <v/>
      </c>
      <c r="T88" s="10">
        <f>IF(T87&lt;=Assumptions!$B$129,1,0)</f>
        <v/>
      </c>
      <c r="U88" s="10">
        <f>IF(U87&lt;=Assumptions!$B$129,1,0)</f>
        <v/>
      </c>
      <c r="V88" s="10">
        <f>IF(V87&lt;=Assumptions!$B$129,1,0)</f>
        <v/>
      </c>
      <c r="W88" s="10">
        <f>IF(W87&lt;=Assumptions!$B$129,1,0)</f>
        <v/>
      </c>
      <c r="X88" s="10">
        <f>IF(X87&lt;=Assumptions!$B$129,1,0)</f>
        <v/>
      </c>
      <c r="Y88" s="10">
        <f>IF(Y87&lt;=Assumptions!$B$129,1,0)</f>
        <v/>
      </c>
      <c r="Z88" s="10">
        <f>IF(Z87&lt;=Assumptions!$B$129,1,0)</f>
        <v/>
      </c>
      <c r="AA88" s="10">
        <f>IF(AA87&lt;=Assumptions!$B$129,1,0)</f>
        <v/>
      </c>
      <c r="AB88" s="10">
        <f>IF(AB87&lt;=Assumptions!$B$129,1,0)</f>
        <v/>
      </c>
      <c r="AC88" s="10">
        <f>IF(AC87&lt;=Assumptions!$B$129,1,0)</f>
        <v/>
      </c>
      <c r="AD88" s="10">
        <f>IF(AD87&lt;=Assumptions!$B$129,1,0)</f>
        <v/>
      </c>
      <c r="AE88" s="10">
        <f>IF(AE87&lt;=Assumptions!$B$129,1,0)</f>
        <v/>
      </c>
      <c r="AF88" s="10">
        <f>IF(AF87&lt;=Assumptions!$B$129,1,0)</f>
        <v/>
      </c>
      <c r="AG88" s="10">
        <f>IF(AG87&lt;=Assumptions!$B$129,1,0)</f>
        <v/>
      </c>
      <c r="AH88" s="10">
        <f>IF(AH87&lt;=Assumptions!$B$129,1,0)</f>
        <v/>
      </c>
      <c r="AI88" s="10">
        <f>IF(AI87&lt;=Assumptions!$B$129,1,0)</f>
        <v/>
      </c>
      <c r="AJ88" s="10">
        <f>IF(AJ87&lt;=Assumptions!$B$129,1,0)</f>
        <v/>
      </c>
      <c r="AK88" s="10">
        <f>IF(AK87&lt;=Assumptions!$B$129,1,0)</f>
        <v/>
      </c>
      <c r="AL88" s="10">
        <f>IF(AL87&lt;=Assumptions!$B$129,1,0)</f>
        <v/>
      </c>
      <c r="AM88" s="10">
        <f>IF(AM87&lt;=Assumptions!$B$129,1,0)</f>
        <v/>
      </c>
      <c r="AN88" s="10">
        <f>IF(AN87&lt;=Assumptions!$B$129,1,0)</f>
        <v/>
      </c>
      <c r="AO88" s="10">
        <f>IF(AO87&lt;=Assumptions!$B$129,1,0)</f>
        <v/>
      </c>
      <c r="AP88" s="10">
        <f>IF(AP87&lt;=Assumptions!$B$129,1,0)</f>
        <v/>
      </c>
      <c r="AQ88" s="10">
        <f>IF(AQ87&lt;=Assumptions!$B$129,1,0)</f>
        <v/>
      </c>
      <c r="AR88" s="10">
        <f>IF(AR87&lt;=Assumptions!$B$129,1,0)</f>
        <v/>
      </c>
      <c r="AS88" s="10">
        <f>IF(AS87&lt;=Assumptions!$B$129,1,0)</f>
        <v/>
      </c>
      <c r="AT88" s="10">
        <f>IF(AT87&lt;=Assumptions!$B$129,1,0)</f>
        <v/>
      </c>
      <c r="AU88" s="10">
        <f>IF(AU87&lt;=Assumptions!$B$129,1,0)</f>
        <v/>
      </c>
      <c r="AV88" s="10">
        <f>IF(AV87&lt;=Assumptions!$B$129,1,0)</f>
        <v/>
      </c>
      <c r="AW88" s="10">
        <f>IF(AW87&lt;=Assumptions!$B$129,1,0)</f>
        <v/>
      </c>
      <c r="AX88" s="10">
        <f>IF(AX87&lt;=Assumptions!$B$129,1,0)</f>
        <v/>
      </c>
      <c r="AY88" s="10">
        <f>IF(AY87&lt;=Assumptions!$B$129,1,0)</f>
        <v/>
      </c>
      <c r="AZ88" s="10">
        <f>IF(AZ87&lt;=Assumptions!$B$129,1,0)</f>
        <v/>
      </c>
      <c r="BA88" s="10">
        <f>IF(BA87&lt;=Assumptions!$B$129,1,0)</f>
        <v/>
      </c>
      <c r="BB88" s="10">
        <f>IF(BB87&lt;=Assumptions!$B$129,1,0)</f>
        <v/>
      </c>
      <c r="BC88" s="10">
        <f>IF(BC87&lt;=Assumptions!$B$129,1,0)</f>
        <v/>
      </c>
      <c r="BD88" s="10">
        <f>IF(BD87&lt;=Assumptions!$B$129,1,0)</f>
        <v/>
      </c>
      <c r="BE88" s="10">
        <f>IF(BE87&lt;=Assumptions!$B$129,1,0)</f>
        <v/>
      </c>
      <c r="BF88" s="10">
        <f>IF(BF87&lt;=Assumptions!$B$129,1,0)</f>
        <v/>
      </c>
      <c r="BG88" s="10">
        <f>IF(BG87&lt;=Assumptions!$B$129,1,0)</f>
        <v/>
      </c>
      <c r="BH88" s="10">
        <f>IF(BH87&lt;=Assumptions!$B$129,1,0)</f>
        <v/>
      </c>
      <c r="BI88" s="10">
        <f>IF(BI87&lt;=Assumptions!$B$129,1,0)</f>
        <v/>
      </c>
      <c r="BJ88" s="10">
        <f>IF(BJ87&lt;=Assumptions!$B$129,1,0)</f>
        <v/>
      </c>
    </row>
    <row r="89">
      <c r="A89" s="4" t="inlineStr">
        <is>
          <t>CAC payback, Solo: Botswana &amp; Namibia</t>
        </is>
      </c>
      <c r="B89" s="17" t="inlineStr">
        <is>
          <t>months</t>
        </is>
      </c>
      <c r="C89" s="41">
        <f>Assumptions!$B$51*C75*Assumptions!$B$176*Assumptions!$B$108/(C76*Pricing!$B$15*Assumptions!$B$130*((1-Assumptions!$B$125)*Pricing!$G$31+Assumptions!$B$125*Pricing!$G$32))</f>
        <v/>
      </c>
      <c r="D89" s="41">
        <f>Assumptions!$B$51*D75*Assumptions!$B$176*Assumptions!$B$108/(D76*Pricing!$B$15*Assumptions!$B$130*((1-Assumptions!$B$125)*Pricing!$G$31+Assumptions!$B$125*Pricing!$G$32))</f>
        <v/>
      </c>
      <c r="E89" s="41">
        <f>Assumptions!$B$51*E75*Assumptions!$B$176*Assumptions!$B$108/(E76*Pricing!$B$15*Assumptions!$B$130*((1-Assumptions!$B$125)*Pricing!$G$31+Assumptions!$B$125*Pricing!$G$32))</f>
        <v/>
      </c>
      <c r="F89" s="41">
        <f>Assumptions!$B$51*F75*Assumptions!$B$176*Assumptions!$B$108/(F76*Pricing!$B$15*Assumptions!$B$130*((1-Assumptions!$B$125)*Pricing!$G$31+Assumptions!$B$125*Pricing!$G$32))</f>
        <v/>
      </c>
      <c r="G89" s="41">
        <f>Assumptions!$B$51*G75*Assumptions!$B$176*Assumptions!$B$108/(G76*Pricing!$B$15*Assumptions!$B$130*((1-Assumptions!$B$125)*Pricing!$G$31+Assumptions!$B$125*Pricing!$G$32))</f>
        <v/>
      </c>
      <c r="H89" s="41">
        <f>Assumptions!$B$51*H75*Assumptions!$B$176*Assumptions!$B$108/(H76*Pricing!$B$15*Assumptions!$B$130*((1-Assumptions!$B$125)*Pricing!$G$31+Assumptions!$B$125*Pricing!$G$32))</f>
        <v/>
      </c>
      <c r="I89" s="41">
        <f>Assumptions!$B$51*I75*Assumptions!$B$176*Assumptions!$B$108/(I76*Pricing!$B$15*Assumptions!$B$130*((1-Assumptions!$B$125)*Pricing!$G$31+Assumptions!$B$125*Pricing!$G$32))</f>
        <v/>
      </c>
      <c r="J89" s="41">
        <f>Assumptions!$B$51*J75*Assumptions!$B$176*Assumptions!$B$108/(J76*Pricing!$B$15*Assumptions!$B$130*((1-Assumptions!$B$125)*Pricing!$G$31+Assumptions!$B$125*Pricing!$G$32))</f>
        <v/>
      </c>
      <c r="K89" s="41">
        <f>Assumptions!$B$51*K75*Assumptions!$B$176*Assumptions!$B$108/(K76*Pricing!$B$15*Assumptions!$B$130*((1-Assumptions!$B$125)*Pricing!$G$31+Assumptions!$B$125*Pricing!$G$32))</f>
        <v/>
      </c>
      <c r="L89" s="41">
        <f>Assumptions!$B$51*L75*Assumptions!$B$176*Assumptions!$B$108/(L76*Pricing!$B$15*Assumptions!$B$130*((1-Assumptions!$B$125)*Pricing!$G$31+Assumptions!$B$125*Pricing!$G$32))</f>
        <v/>
      </c>
      <c r="M89" s="41">
        <f>Assumptions!$B$51*M75*Assumptions!$B$176*Assumptions!$B$108/(M76*Pricing!$B$15*Assumptions!$B$130*((1-Assumptions!$B$125)*Pricing!$G$31+Assumptions!$B$125*Pricing!$G$32))</f>
        <v/>
      </c>
      <c r="N89" s="41">
        <f>Assumptions!$B$51*N75*Assumptions!$B$176*Assumptions!$B$108/(N76*Pricing!$B$15*Assumptions!$B$130*((1-Assumptions!$B$125)*Pricing!$G$31+Assumptions!$B$125*Pricing!$G$32))</f>
        <v/>
      </c>
      <c r="O89" s="41">
        <f>Assumptions!$B$51*O75*Assumptions!$B$176*Assumptions!$B$108/(O76*Pricing!$B$15*Assumptions!$B$130*((1-Assumptions!$B$125)*Pricing!$G$31+Assumptions!$B$125*Pricing!$G$32))</f>
        <v/>
      </c>
      <c r="P89" s="41">
        <f>Assumptions!$B$51*P75*Assumptions!$B$176*Assumptions!$B$108/(P76*Pricing!$B$15*Assumptions!$B$130*((1-Assumptions!$B$125)*Pricing!$G$31+Assumptions!$B$125*Pricing!$G$32))</f>
        <v/>
      </c>
      <c r="Q89" s="41">
        <f>Assumptions!$B$51*Q75*Assumptions!$B$176*Assumptions!$B$108/(Q76*Pricing!$B$15*Assumptions!$B$130*((1-Assumptions!$B$125)*Pricing!$G$31+Assumptions!$B$125*Pricing!$G$32))</f>
        <v/>
      </c>
      <c r="R89" s="41">
        <f>Assumptions!$B$51*R75*Assumptions!$B$176*Assumptions!$B$108/(R76*Pricing!$B$15*Assumptions!$B$130*((1-Assumptions!$B$125)*Pricing!$G$31+Assumptions!$B$125*Pricing!$G$32))</f>
        <v/>
      </c>
      <c r="S89" s="41">
        <f>Assumptions!$B$51*S75*Assumptions!$B$176*Assumptions!$B$108/(S76*Pricing!$B$15*Assumptions!$B$130*((1-Assumptions!$B$125)*Pricing!$G$31+Assumptions!$B$125*Pricing!$G$32))</f>
        <v/>
      </c>
      <c r="T89" s="41">
        <f>Assumptions!$B$51*T75*Assumptions!$B$176*Assumptions!$B$108/(T76*Pricing!$B$15*Assumptions!$B$130*((1-Assumptions!$B$125)*Pricing!$G$31+Assumptions!$B$125*Pricing!$G$32))</f>
        <v/>
      </c>
      <c r="U89" s="41">
        <f>Assumptions!$B$51*U75*Assumptions!$B$176*Assumptions!$B$108/(U76*Pricing!$B$15*Assumptions!$B$130*((1-Assumptions!$B$125)*Pricing!$G$31+Assumptions!$B$125*Pricing!$G$32))</f>
        <v/>
      </c>
      <c r="V89" s="41">
        <f>Assumptions!$B$51*V75*Assumptions!$B$176*Assumptions!$B$108/(V76*Pricing!$B$15*Assumptions!$B$130*((1-Assumptions!$B$125)*Pricing!$G$31+Assumptions!$B$125*Pricing!$G$32))</f>
        <v/>
      </c>
      <c r="W89" s="41">
        <f>Assumptions!$B$51*W75*Assumptions!$B$176*Assumptions!$B$108/(W76*Pricing!$B$15*Assumptions!$B$130*((1-Assumptions!$B$125)*Pricing!$G$31+Assumptions!$B$125*Pricing!$G$32))</f>
        <v/>
      </c>
      <c r="X89" s="41">
        <f>Assumptions!$B$51*X75*Assumptions!$B$176*Assumptions!$B$108/(X76*Pricing!$B$15*Assumptions!$B$130*((1-Assumptions!$B$125)*Pricing!$G$31+Assumptions!$B$125*Pricing!$G$32))</f>
        <v/>
      </c>
      <c r="Y89" s="41">
        <f>Assumptions!$B$51*Y75*Assumptions!$B$176*Assumptions!$B$108/(Y76*Pricing!$B$15*Assumptions!$B$130*((1-Assumptions!$B$125)*Pricing!$G$31+Assumptions!$B$125*Pricing!$G$32))</f>
        <v/>
      </c>
      <c r="Z89" s="41">
        <f>Assumptions!$B$51*Z75*Assumptions!$B$176*Assumptions!$B$108/(Z76*Pricing!$B$15*Assumptions!$B$130*((1-Assumptions!$B$125)*Pricing!$G$31+Assumptions!$B$125*Pricing!$G$32))</f>
        <v/>
      </c>
      <c r="AA89" s="41">
        <f>Assumptions!$B$51*AA75*Assumptions!$B$176*Assumptions!$B$108/(AA76*Pricing!$B$15*Assumptions!$B$130*((1-Assumptions!$B$125)*Pricing!$G$31+Assumptions!$B$125*Pricing!$G$32))</f>
        <v/>
      </c>
      <c r="AB89" s="41">
        <f>Assumptions!$B$51*AB75*Assumptions!$B$176*Assumptions!$B$108/(AB76*Pricing!$B$15*Assumptions!$B$130*((1-Assumptions!$B$125)*Pricing!$G$31+Assumptions!$B$125*Pricing!$G$32))</f>
        <v/>
      </c>
      <c r="AC89" s="41">
        <f>Assumptions!$B$51*AC75*Assumptions!$B$176*Assumptions!$B$108/(AC76*Pricing!$B$15*Assumptions!$B$130*((1-Assumptions!$B$125)*Pricing!$G$31+Assumptions!$B$125*Pricing!$G$32))</f>
        <v/>
      </c>
      <c r="AD89" s="41">
        <f>Assumptions!$B$51*AD75*Assumptions!$B$176*Assumptions!$B$108/(AD76*Pricing!$B$15*Assumptions!$B$130*((1-Assumptions!$B$125)*Pricing!$G$31+Assumptions!$B$125*Pricing!$G$32))</f>
        <v/>
      </c>
      <c r="AE89" s="41">
        <f>Assumptions!$B$51*AE75*Assumptions!$B$176*Assumptions!$B$108/(AE76*Pricing!$B$15*Assumptions!$B$130*((1-Assumptions!$B$125)*Pricing!$G$31+Assumptions!$B$125*Pricing!$G$32))</f>
        <v/>
      </c>
      <c r="AF89" s="41">
        <f>Assumptions!$B$51*AF75*Assumptions!$B$176*Assumptions!$B$108/(AF76*Pricing!$B$15*Assumptions!$B$130*((1-Assumptions!$B$125)*Pricing!$G$31+Assumptions!$B$125*Pricing!$G$32))</f>
        <v/>
      </c>
      <c r="AG89" s="41">
        <f>Assumptions!$B$51*AG75*Assumptions!$B$176*Assumptions!$B$108/(AG76*Pricing!$B$15*Assumptions!$B$130*((1-Assumptions!$B$125)*Pricing!$G$31+Assumptions!$B$125*Pricing!$G$32))</f>
        <v/>
      </c>
      <c r="AH89" s="41">
        <f>Assumptions!$B$51*AH75*Assumptions!$B$176*Assumptions!$B$108/(AH76*Pricing!$B$15*Assumptions!$B$130*((1-Assumptions!$B$125)*Pricing!$G$31+Assumptions!$B$125*Pricing!$G$32))</f>
        <v/>
      </c>
      <c r="AI89" s="41">
        <f>Assumptions!$B$51*AI75*Assumptions!$B$176*Assumptions!$B$108/(AI76*Pricing!$B$15*Assumptions!$B$130*((1-Assumptions!$B$125)*Pricing!$G$31+Assumptions!$B$125*Pricing!$G$32))</f>
        <v/>
      </c>
      <c r="AJ89" s="41">
        <f>Assumptions!$B$51*AJ75*Assumptions!$B$176*Assumptions!$B$108/(AJ76*Pricing!$B$15*Assumptions!$B$130*((1-Assumptions!$B$125)*Pricing!$G$31+Assumptions!$B$125*Pricing!$G$32))</f>
        <v/>
      </c>
      <c r="AK89" s="41">
        <f>Assumptions!$B$51*AK75*Assumptions!$B$176*Assumptions!$B$108/(AK76*Pricing!$B$15*Assumptions!$B$130*((1-Assumptions!$B$125)*Pricing!$G$31+Assumptions!$B$125*Pricing!$G$32))</f>
        <v/>
      </c>
      <c r="AL89" s="41">
        <f>Assumptions!$B$51*AL75*Assumptions!$B$176*Assumptions!$B$108/(AL76*Pricing!$B$15*Assumptions!$B$130*((1-Assumptions!$B$125)*Pricing!$G$31+Assumptions!$B$125*Pricing!$G$32))</f>
        <v/>
      </c>
      <c r="AM89" s="41">
        <f>Assumptions!$B$51*AM75*Assumptions!$B$176*Assumptions!$B$108/(AM76*Pricing!$B$15*Assumptions!$B$130*((1-Assumptions!$B$125)*Pricing!$G$31+Assumptions!$B$125*Pricing!$G$32))</f>
        <v/>
      </c>
      <c r="AN89" s="41">
        <f>Assumptions!$B$51*AN75*Assumptions!$B$176*Assumptions!$B$108/(AN76*Pricing!$B$15*Assumptions!$B$130*((1-Assumptions!$B$125)*Pricing!$G$31+Assumptions!$B$125*Pricing!$G$32))</f>
        <v/>
      </c>
      <c r="AO89" s="41">
        <f>Assumptions!$B$51*AO75*Assumptions!$B$176*Assumptions!$B$108/(AO76*Pricing!$B$15*Assumptions!$B$130*((1-Assumptions!$B$125)*Pricing!$G$31+Assumptions!$B$125*Pricing!$G$32))</f>
        <v/>
      </c>
      <c r="AP89" s="41">
        <f>Assumptions!$B$51*AP75*Assumptions!$B$176*Assumptions!$B$108/(AP76*Pricing!$B$15*Assumptions!$B$130*((1-Assumptions!$B$125)*Pricing!$G$31+Assumptions!$B$125*Pricing!$G$32))</f>
        <v/>
      </c>
      <c r="AQ89" s="41">
        <f>Assumptions!$B$51*AQ75*Assumptions!$B$176*Assumptions!$B$108/(AQ76*Pricing!$B$15*Assumptions!$B$130*((1-Assumptions!$B$125)*Pricing!$G$31+Assumptions!$B$125*Pricing!$G$32))</f>
        <v/>
      </c>
      <c r="AR89" s="41">
        <f>Assumptions!$B$51*AR75*Assumptions!$B$176*Assumptions!$B$108/(AR76*Pricing!$B$15*Assumptions!$B$130*((1-Assumptions!$B$125)*Pricing!$G$31+Assumptions!$B$125*Pricing!$G$32))</f>
        <v/>
      </c>
      <c r="AS89" s="41">
        <f>Assumptions!$B$51*AS75*Assumptions!$B$176*Assumptions!$B$108/(AS76*Pricing!$B$15*Assumptions!$B$130*((1-Assumptions!$B$125)*Pricing!$G$31+Assumptions!$B$125*Pricing!$G$32))</f>
        <v/>
      </c>
      <c r="AT89" s="41">
        <f>Assumptions!$B$51*AT75*Assumptions!$B$176*Assumptions!$B$108/(AT76*Pricing!$B$15*Assumptions!$B$130*((1-Assumptions!$B$125)*Pricing!$G$31+Assumptions!$B$125*Pricing!$G$32))</f>
        <v/>
      </c>
      <c r="AU89" s="41">
        <f>Assumptions!$B$51*AU75*Assumptions!$B$176*Assumptions!$B$108/(AU76*Pricing!$B$15*Assumptions!$B$130*((1-Assumptions!$B$125)*Pricing!$G$31+Assumptions!$B$125*Pricing!$G$32))</f>
        <v/>
      </c>
      <c r="AV89" s="41">
        <f>Assumptions!$B$51*AV75*Assumptions!$B$176*Assumptions!$B$108/(AV76*Pricing!$B$15*Assumptions!$B$130*((1-Assumptions!$B$125)*Pricing!$G$31+Assumptions!$B$125*Pricing!$G$32))</f>
        <v/>
      </c>
      <c r="AW89" s="41">
        <f>Assumptions!$B$51*AW75*Assumptions!$B$176*Assumptions!$B$108/(AW76*Pricing!$B$15*Assumptions!$B$130*((1-Assumptions!$B$125)*Pricing!$G$31+Assumptions!$B$125*Pricing!$G$32))</f>
        <v/>
      </c>
      <c r="AX89" s="41">
        <f>Assumptions!$B$51*AX75*Assumptions!$B$176*Assumptions!$B$108/(AX76*Pricing!$B$15*Assumptions!$B$130*((1-Assumptions!$B$125)*Pricing!$G$31+Assumptions!$B$125*Pricing!$G$32))</f>
        <v/>
      </c>
      <c r="AY89" s="41">
        <f>Assumptions!$B$51*AY75*Assumptions!$B$176*Assumptions!$B$108/(AY76*Pricing!$B$15*Assumptions!$B$130*((1-Assumptions!$B$125)*Pricing!$G$31+Assumptions!$B$125*Pricing!$G$32))</f>
        <v/>
      </c>
      <c r="AZ89" s="41">
        <f>Assumptions!$B$51*AZ75*Assumptions!$B$176*Assumptions!$B$108/(AZ76*Pricing!$B$15*Assumptions!$B$130*((1-Assumptions!$B$125)*Pricing!$G$31+Assumptions!$B$125*Pricing!$G$32))</f>
        <v/>
      </c>
      <c r="BA89" s="41">
        <f>Assumptions!$B$51*BA75*Assumptions!$B$176*Assumptions!$B$108/(BA76*Pricing!$B$15*Assumptions!$B$130*((1-Assumptions!$B$125)*Pricing!$G$31+Assumptions!$B$125*Pricing!$G$32))</f>
        <v/>
      </c>
      <c r="BB89" s="41">
        <f>Assumptions!$B$51*BB75*Assumptions!$B$176*Assumptions!$B$108/(BB76*Pricing!$B$15*Assumptions!$B$130*((1-Assumptions!$B$125)*Pricing!$G$31+Assumptions!$B$125*Pricing!$G$32))</f>
        <v/>
      </c>
      <c r="BC89" s="41">
        <f>Assumptions!$B$51*BC75*Assumptions!$B$176*Assumptions!$B$108/(BC76*Pricing!$B$15*Assumptions!$B$130*((1-Assumptions!$B$125)*Pricing!$G$31+Assumptions!$B$125*Pricing!$G$32))</f>
        <v/>
      </c>
      <c r="BD89" s="41">
        <f>Assumptions!$B$51*BD75*Assumptions!$B$176*Assumptions!$B$108/(BD76*Pricing!$B$15*Assumptions!$B$130*((1-Assumptions!$B$125)*Pricing!$G$31+Assumptions!$B$125*Pricing!$G$32))</f>
        <v/>
      </c>
      <c r="BE89" s="41">
        <f>Assumptions!$B$51*BE75*Assumptions!$B$176*Assumptions!$B$108/(BE76*Pricing!$B$15*Assumptions!$B$130*((1-Assumptions!$B$125)*Pricing!$G$31+Assumptions!$B$125*Pricing!$G$32))</f>
        <v/>
      </c>
      <c r="BF89" s="41">
        <f>Assumptions!$B$51*BF75*Assumptions!$B$176*Assumptions!$B$108/(BF76*Pricing!$B$15*Assumptions!$B$130*((1-Assumptions!$B$125)*Pricing!$G$31+Assumptions!$B$125*Pricing!$G$32))</f>
        <v/>
      </c>
      <c r="BG89" s="41">
        <f>Assumptions!$B$51*BG75*Assumptions!$B$176*Assumptions!$B$108/(BG76*Pricing!$B$15*Assumptions!$B$130*((1-Assumptions!$B$125)*Pricing!$G$31+Assumptions!$B$125*Pricing!$G$32))</f>
        <v/>
      </c>
      <c r="BH89" s="41">
        <f>Assumptions!$B$51*BH75*Assumptions!$B$176*Assumptions!$B$108/(BH76*Pricing!$B$15*Assumptions!$B$130*((1-Assumptions!$B$125)*Pricing!$G$31+Assumptions!$B$125*Pricing!$G$32))</f>
        <v/>
      </c>
      <c r="BI89" s="41">
        <f>Assumptions!$B$51*BI75*Assumptions!$B$176*Assumptions!$B$108/(BI76*Pricing!$B$15*Assumptions!$B$130*((1-Assumptions!$B$125)*Pricing!$G$31+Assumptions!$B$125*Pricing!$G$32))</f>
        <v/>
      </c>
      <c r="BJ89" s="41">
        <f>Assumptions!$B$51*BJ75*Assumptions!$B$176*Assumptions!$B$108/(BJ76*Pricing!$B$15*Assumptions!$B$130*((1-Assumptions!$B$125)*Pricing!$G$31+Assumptions!$B$125*Pricing!$G$32))</f>
        <v/>
      </c>
    </row>
    <row r="90">
      <c r="A90" s="4" t="inlineStr">
        <is>
          <t>Paid acquisition allowed (payback &lt;= max), Solo: Botswana &amp; Namibia</t>
        </is>
      </c>
      <c r="B90" s="17" t="inlineStr">
        <is>
          <t>flag</t>
        </is>
      </c>
      <c r="C90" s="10">
        <f>IF(C89&lt;=Assumptions!$B$129,1,0)</f>
        <v/>
      </c>
      <c r="D90" s="10">
        <f>IF(D89&lt;=Assumptions!$B$129,1,0)</f>
        <v/>
      </c>
      <c r="E90" s="10">
        <f>IF(E89&lt;=Assumptions!$B$129,1,0)</f>
        <v/>
      </c>
      <c r="F90" s="10">
        <f>IF(F89&lt;=Assumptions!$B$129,1,0)</f>
        <v/>
      </c>
      <c r="G90" s="10">
        <f>IF(G89&lt;=Assumptions!$B$129,1,0)</f>
        <v/>
      </c>
      <c r="H90" s="10">
        <f>IF(H89&lt;=Assumptions!$B$129,1,0)</f>
        <v/>
      </c>
      <c r="I90" s="10">
        <f>IF(I89&lt;=Assumptions!$B$129,1,0)</f>
        <v/>
      </c>
      <c r="J90" s="10">
        <f>IF(J89&lt;=Assumptions!$B$129,1,0)</f>
        <v/>
      </c>
      <c r="K90" s="10">
        <f>IF(K89&lt;=Assumptions!$B$129,1,0)</f>
        <v/>
      </c>
      <c r="L90" s="10">
        <f>IF(L89&lt;=Assumptions!$B$129,1,0)</f>
        <v/>
      </c>
      <c r="M90" s="10">
        <f>IF(M89&lt;=Assumptions!$B$129,1,0)</f>
        <v/>
      </c>
      <c r="N90" s="10">
        <f>IF(N89&lt;=Assumptions!$B$129,1,0)</f>
        <v/>
      </c>
      <c r="O90" s="10">
        <f>IF(O89&lt;=Assumptions!$B$129,1,0)</f>
        <v/>
      </c>
      <c r="P90" s="10">
        <f>IF(P89&lt;=Assumptions!$B$129,1,0)</f>
        <v/>
      </c>
      <c r="Q90" s="10">
        <f>IF(Q89&lt;=Assumptions!$B$129,1,0)</f>
        <v/>
      </c>
      <c r="R90" s="10">
        <f>IF(R89&lt;=Assumptions!$B$129,1,0)</f>
        <v/>
      </c>
      <c r="S90" s="10">
        <f>IF(S89&lt;=Assumptions!$B$129,1,0)</f>
        <v/>
      </c>
      <c r="T90" s="10">
        <f>IF(T89&lt;=Assumptions!$B$129,1,0)</f>
        <v/>
      </c>
      <c r="U90" s="10">
        <f>IF(U89&lt;=Assumptions!$B$129,1,0)</f>
        <v/>
      </c>
      <c r="V90" s="10">
        <f>IF(V89&lt;=Assumptions!$B$129,1,0)</f>
        <v/>
      </c>
      <c r="W90" s="10">
        <f>IF(W89&lt;=Assumptions!$B$129,1,0)</f>
        <v/>
      </c>
      <c r="X90" s="10">
        <f>IF(X89&lt;=Assumptions!$B$129,1,0)</f>
        <v/>
      </c>
      <c r="Y90" s="10">
        <f>IF(Y89&lt;=Assumptions!$B$129,1,0)</f>
        <v/>
      </c>
      <c r="Z90" s="10">
        <f>IF(Z89&lt;=Assumptions!$B$129,1,0)</f>
        <v/>
      </c>
      <c r="AA90" s="10">
        <f>IF(AA89&lt;=Assumptions!$B$129,1,0)</f>
        <v/>
      </c>
      <c r="AB90" s="10">
        <f>IF(AB89&lt;=Assumptions!$B$129,1,0)</f>
        <v/>
      </c>
      <c r="AC90" s="10">
        <f>IF(AC89&lt;=Assumptions!$B$129,1,0)</f>
        <v/>
      </c>
      <c r="AD90" s="10">
        <f>IF(AD89&lt;=Assumptions!$B$129,1,0)</f>
        <v/>
      </c>
      <c r="AE90" s="10">
        <f>IF(AE89&lt;=Assumptions!$B$129,1,0)</f>
        <v/>
      </c>
      <c r="AF90" s="10">
        <f>IF(AF89&lt;=Assumptions!$B$129,1,0)</f>
        <v/>
      </c>
      <c r="AG90" s="10">
        <f>IF(AG89&lt;=Assumptions!$B$129,1,0)</f>
        <v/>
      </c>
      <c r="AH90" s="10">
        <f>IF(AH89&lt;=Assumptions!$B$129,1,0)</f>
        <v/>
      </c>
      <c r="AI90" s="10">
        <f>IF(AI89&lt;=Assumptions!$B$129,1,0)</f>
        <v/>
      </c>
      <c r="AJ90" s="10">
        <f>IF(AJ89&lt;=Assumptions!$B$129,1,0)</f>
        <v/>
      </c>
      <c r="AK90" s="10">
        <f>IF(AK89&lt;=Assumptions!$B$129,1,0)</f>
        <v/>
      </c>
      <c r="AL90" s="10">
        <f>IF(AL89&lt;=Assumptions!$B$129,1,0)</f>
        <v/>
      </c>
      <c r="AM90" s="10">
        <f>IF(AM89&lt;=Assumptions!$B$129,1,0)</f>
        <v/>
      </c>
      <c r="AN90" s="10">
        <f>IF(AN89&lt;=Assumptions!$B$129,1,0)</f>
        <v/>
      </c>
      <c r="AO90" s="10">
        <f>IF(AO89&lt;=Assumptions!$B$129,1,0)</f>
        <v/>
      </c>
      <c r="AP90" s="10">
        <f>IF(AP89&lt;=Assumptions!$B$129,1,0)</f>
        <v/>
      </c>
      <c r="AQ90" s="10">
        <f>IF(AQ89&lt;=Assumptions!$B$129,1,0)</f>
        <v/>
      </c>
      <c r="AR90" s="10">
        <f>IF(AR89&lt;=Assumptions!$B$129,1,0)</f>
        <v/>
      </c>
      <c r="AS90" s="10">
        <f>IF(AS89&lt;=Assumptions!$B$129,1,0)</f>
        <v/>
      </c>
      <c r="AT90" s="10">
        <f>IF(AT89&lt;=Assumptions!$B$129,1,0)</f>
        <v/>
      </c>
      <c r="AU90" s="10">
        <f>IF(AU89&lt;=Assumptions!$B$129,1,0)</f>
        <v/>
      </c>
      <c r="AV90" s="10">
        <f>IF(AV89&lt;=Assumptions!$B$129,1,0)</f>
        <v/>
      </c>
      <c r="AW90" s="10">
        <f>IF(AW89&lt;=Assumptions!$B$129,1,0)</f>
        <v/>
      </c>
      <c r="AX90" s="10">
        <f>IF(AX89&lt;=Assumptions!$B$129,1,0)</f>
        <v/>
      </c>
      <c r="AY90" s="10">
        <f>IF(AY89&lt;=Assumptions!$B$129,1,0)</f>
        <v/>
      </c>
      <c r="AZ90" s="10">
        <f>IF(AZ89&lt;=Assumptions!$B$129,1,0)</f>
        <v/>
      </c>
      <c r="BA90" s="10">
        <f>IF(BA89&lt;=Assumptions!$B$129,1,0)</f>
        <v/>
      </c>
      <c r="BB90" s="10">
        <f>IF(BB89&lt;=Assumptions!$B$129,1,0)</f>
        <v/>
      </c>
      <c r="BC90" s="10">
        <f>IF(BC89&lt;=Assumptions!$B$129,1,0)</f>
        <v/>
      </c>
      <c r="BD90" s="10">
        <f>IF(BD89&lt;=Assumptions!$B$129,1,0)</f>
        <v/>
      </c>
      <c r="BE90" s="10">
        <f>IF(BE89&lt;=Assumptions!$B$129,1,0)</f>
        <v/>
      </c>
      <c r="BF90" s="10">
        <f>IF(BF89&lt;=Assumptions!$B$129,1,0)</f>
        <v/>
      </c>
      <c r="BG90" s="10">
        <f>IF(BG89&lt;=Assumptions!$B$129,1,0)</f>
        <v/>
      </c>
      <c r="BH90" s="10">
        <f>IF(BH89&lt;=Assumptions!$B$129,1,0)</f>
        <v/>
      </c>
      <c r="BI90" s="10">
        <f>IF(BI89&lt;=Assumptions!$B$129,1,0)</f>
        <v/>
      </c>
      <c r="BJ90" s="10">
        <f>IF(BJ89&lt;=Assumptions!$B$129,1,0)</f>
        <v/>
      </c>
    </row>
    <row r="91">
      <c r="A91" s="4" t="inlineStr">
        <is>
          <t>CAC payback, SMEs: South Africa</t>
        </is>
      </c>
      <c r="B91" s="17" t="inlineStr">
        <is>
          <t>months</t>
        </is>
      </c>
      <c r="C91" s="41">
        <f>Assumptions!$B$51*C75*Assumptions!$B$177/(C76*Pricing!$B$15*Assumptions!$B$130*((1-Assumptions!$B$126)*Pricing!$B$32+Assumptions!$B$126*Pricing!$B$33))</f>
        <v/>
      </c>
      <c r="D91" s="41">
        <f>Assumptions!$B$51*D75*Assumptions!$B$177/(D76*Pricing!$B$15*Assumptions!$B$130*((1-Assumptions!$B$126)*Pricing!$B$32+Assumptions!$B$126*Pricing!$B$33))</f>
        <v/>
      </c>
      <c r="E91" s="41">
        <f>Assumptions!$B$51*E75*Assumptions!$B$177/(E76*Pricing!$B$15*Assumptions!$B$130*((1-Assumptions!$B$126)*Pricing!$B$32+Assumptions!$B$126*Pricing!$B$33))</f>
        <v/>
      </c>
      <c r="F91" s="41">
        <f>Assumptions!$B$51*F75*Assumptions!$B$177/(F76*Pricing!$B$15*Assumptions!$B$130*((1-Assumptions!$B$126)*Pricing!$B$32+Assumptions!$B$126*Pricing!$B$33))</f>
        <v/>
      </c>
      <c r="G91" s="41">
        <f>Assumptions!$B$51*G75*Assumptions!$B$177/(G76*Pricing!$B$15*Assumptions!$B$130*((1-Assumptions!$B$126)*Pricing!$B$32+Assumptions!$B$126*Pricing!$B$33))</f>
        <v/>
      </c>
      <c r="H91" s="41">
        <f>Assumptions!$B$51*H75*Assumptions!$B$177/(H76*Pricing!$B$15*Assumptions!$B$130*((1-Assumptions!$B$126)*Pricing!$B$32+Assumptions!$B$126*Pricing!$B$33))</f>
        <v/>
      </c>
      <c r="I91" s="41">
        <f>Assumptions!$B$51*I75*Assumptions!$B$177/(I76*Pricing!$B$15*Assumptions!$B$130*((1-Assumptions!$B$126)*Pricing!$B$32+Assumptions!$B$126*Pricing!$B$33))</f>
        <v/>
      </c>
      <c r="J91" s="41">
        <f>Assumptions!$B$51*J75*Assumptions!$B$177/(J76*Pricing!$B$15*Assumptions!$B$130*((1-Assumptions!$B$126)*Pricing!$B$32+Assumptions!$B$126*Pricing!$B$33))</f>
        <v/>
      </c>
      <c r="K91" s="41">
        <f>Assumptions!$B$51*K75*Assumptions!$B$177/(K76*Pricing!$B$15*Assumptions!$B$130*((1-Assumptions!$B$126)*Pricing!$B$32+Assumptions!$B$126*Pricing!$B$33))</f>
        <v/>
      </c>
      <c r="L91" s="41">
        <f>Assumptions!$B$51*L75*Assumptions!$B$177/(L76*Pricing!$B$15*Assumptions!$B$130*((1-Assumptions!$B$126)*Pricing!$B$32+Assumptions!$B$126*Pricing!$B$33))</f>
        <v/>
      </c>
      <c r="M91" s="41">
        <f>Assumptions!$B$51*M75*Assumptions!$B$177/(M76*Pricing!$B$15*Assumptions!$B$130*((1-Assumptions!$B$126)*Pricing!$B$32+Assumptions!$B$126*Pricing!$B$33))</f>
        <v/>
      </c>
      <c r="N91" s="41">
        <f>Assumptions!$B$51*N75*Assumptions!$B$177/(N76*Pricing!$B$15*Assumptions!$B$130*((1-Assumptions!$B$126)*Pricing!$B$32+Assumptions!$B$126*Pricing!$B$33))</f>
        <v/>
      </c>
      <c r="O91" s="41">
        <f>Assumptions!$B$51*O75*Assumptions!$B$177/(O76*Pricing!$B$15*Assumptions!$B$130*((1-Assumptions!$B$126)*Pricing!$B$32+Assumptions!$B$126*Pricing!$B$33))</f>
        <v/>
      </c>
      <c r="P91" s="41">
        <f>Assumptions!$B$51*P75*Assumptions!$B$177/(P76*Pricing!$B$15*Assumptions!$B$130*((1-Assumptions!$B$126)*Pricing!$B$32+Assumptions!$B$126*Pricing!$B$33))</f>
        <v/>
      </c>
      <c r="Q91" s="41">
        <f>Assumptions!$B$51*Q75*Assumptions!$B$177/(Q76*Pricing!$B$15*Assumptions!$B$130*((1-Assumptions!$B$126)*Pricing!$B$32+Assumptions!$B$126*Pricing!$B$33))</f>
        <v/>
      </c>
      <c r="R91" s="41">
        <f>Assumptions!$B$51*R75*Assumptions!$B$177/(R76*Pricing!$B$15*Assumptions!$B$130*((1-Assumptions!$B$126)*Pricing!$B$32+Assumptions!$B$126*Pricing!$B$33))</f>
        <v/>
      </c>
      <c r="S91" s="41">
        <f>Assumptions!$B$51*S75*Assumptions!$B$177/(S76*Pricing!$B$15*Assumptions!$B$130*((1-Assumptions!$B$126)*Pricing!$B$32+Assumptions!$B$126*Pricing!$B$33))</f>
        <v/>
      </c>
      <c r="T91" s="41">
        <f>Assumptions!$B$51*T75*Assumptions!$B$177/(T76*Pricing!$B$15*Assumptions!$B$130*((1-Assumptions!$B$126)*Pricing!$B$32+Assumptions!$B$126*Pricing!$B$33))</f>
        <v/>
      </c>
      <c r="U91" s="41">
        <f>Assumptions!$B$51*U75*Assumptions!$B$177/(U76*Pricing!$B$15*Assumptions!$B$130*((1-Assumptions!$B$126)*Pricing!$B$32+Assumptions!$B$126*Pricing!$B$33))</f>
        <v/>
      </c>
      <c r="V91" s="41">
        <f>Assumptions!$B$51*V75*Assumptions!$B$177/(V76*Pricing!$B$15*Assumptions!$B$130*((1-Assumptions!$B$126)*Pricing!$B$32+Assumptions!$B$126*Pricing!$B$33))</f>
        <v/>
      </c>
      <c r="W91" s="41">
        <f>Assumptions!$B$51*W75*Assumptions!$B$177/(W76*Pricing!$B$15*Assumptions!$B$130*((1-Assumptions!$B$126)*Pricing!$B$32+Assumptions!$B$126*Pricing!$B$33))</f>
        <v/>
      </c>
      <c r="X91" s="41">
        <f>Assumptions!$B$51*X75*Assumptions!$B$177/(X76*Pricing!$B$15*Assumptions!$B$130*((1-Assumptions!$B$126)*Pricing!$B$32+Assumptions!$B$126*Pricing!$B$33))</f>
        <v/>
      </c>
      <c r="Y91" s="41">
        <f>Assumptions!$B$51*Y75*Assumptions!$B$177/(Y76*Pricing!$B$15*Assumptions!$B$130*((1-Assumptions!$B$126)*Pricing!$B$32+Assumptions!$B$126*Pricing!$B$33))</f>
        <v/>
      </c>
      <c r="Z91" s="41">
        <f>Assumptions!$B$51*Z75*Assumptions!$B$177/(Z76*Pricing!$B$15*Assumptions!$B$130*((1-Assumptions!$B$126)*Pricing!$B$32+Assumptions!$B$126*Pricing!$B$33))</f>
        <v/>
      </c>
      <c r="AA91" s="41">
        <f>Assumptions!$B$51*AA75*Assumptions!$B$177/(AA76*Pricing!$B$15*Assumptions!$B$130*((1-Assumptions!$B$126)*Pricing!$B$32+Assumptions!$B$126*Pricing!$B$33))</f>
        <v/>
      </c>
      <c r="AB91" s="41">
        <f>Assumptions!$B$51*AB75*Assumptions!$B$177/(AB76*Pricing!$B$15*Assumptions!$B$130*((1-Assumptions!$B$126)*Pricing!$B$32+Assumptions!$B$126*Pricing!$B$33))</f>
        <v/>
      </c>
      <c r="AC91" s="41">
        <f>Assumptions!$B$51*AC75*Assumptions!$B$177/(AC76*Pricing!$B$15*Assumptions!$B$130*((1-Assumptions!$B$126)*Pricing!$B$32+Assumptions!$B$126*Pricing!$B$33))</f>
        <v/>
      </c>
      <c r="AD91" s="41">
        <f>Assumptions!$B$51*AD75*Assumptions!$B$177/(AD76*Pricing!$B$15*Assumptions!$B$130*((1-Assumptions!$B$126)*Pricing!$B$32+Assumptions!$B$126*Pricing!$B$33))</f>
        <v/>
      </c>
      <c r="AE91" s="41">
        <f>Assumptions!$B$51*AE75*Assumptions!$B$177/(AE76*Pricing!$B$15*Assumptions!$B$130*((1-Assumptions!$B$126)*Pricing!$B$32+Assumptions!$B$126*Pricing!$B$33))</f>
        <v/>
      </c>
      <c r="AF91" s="41">
        <f>Assumptions!$B$51*AF75*Assumptions!$B$177/(AF76*Pricing!$B$15*Assumptions!$B$130*((1-Assumptions!$B$126)*Pricing!$B$32+Assumptions!$B$126*Pricing!$B$33))</f>
        <v/>
      </c>
      <c r="AG91" s="41">
        <f>Assumptions!$B$51*AG75*Assumptions!$B$177/(AG76*Pricing!$B$15*Assumptions!$B$130*((1-Assumptions!$B$126)*Pricing!$B$32+Assumptions!$B$126*Pricing!$B$33))</f>
        <v/>
      </c>
      <c r="AH91" s="41">
        <f>Assumptions!$B$51*AH75*Assumptions!$B$177/(AH76*Pricing!$B$15*Assumptions!$B$130*((1-Assumptions!$B$126)*Pricing!$B$32+Assumptions!$B$126*Pricing!$B$33))</f>
        <v/>
      </c>
      <c r="AI91" s="41">
        <f>Assumptions!$B$51*AI75*Assumptions!$B$177/(AI76*Pricing!$B$15*Assumptions!$B$130*((1-Assumptions!$B$126)*Pricing!$B$32+Assumptions!$B$126*Pricing!$B$33))</f>
        <v/>
      </c>
      <c r="AJ91" s="41">
        <f>Assumptions!$B$51*AJ75*Assumptions!$B$177/(AJ76*Pricing!$B$15*Assumptions!$B$130*((1-Assumptions!$B$126)*Pricing!$B$32+Assumptions!$B$126*Pricing!$B$33))</f>
        <v/>
      </c>
      <c r="AK91" s="41">
        <f>Assumptions!$B$51*AK75*Assumptions!$B$177/(AK76*Pricing!$B$15*Assumptions!$B$130*((1-Assumptions!$B$126)*Pricing!$B$32+Assumptions!$B$126*Pricing!$B$33))</f>
        <v/>
      </c>
      <c r="AL91" s="41">
        <f>Assumptions!$B$51*AL75*Assumptions!$B$177/(AL76*Pricing!$B$15*Assumptions!$B$130*((1-Assumptions!$B$126)*Pricing!$B$32+Assumptions!$B$126*Pricing!$B$33))</f>
        <v/>
      </c>
      <c r="AM91" s="41">
        <f>Assumptions!$B$51*AM75*Assumptions!$B$177/(AM76*Pricing!$B$15*Assumptions!$B$130*((1-Assumptions!$B$126)*Pricing!$B$32+Assumptions!$B$126*Pricing!$B$33))</f>
        <v/>
      </c>
      <c r="AN91" s="41">
        <f>Assumptions!$B$51*AN75*Assumptions!$B$177/(AN76*Pricing!$B$15*Assumptions!$B$130*((1-Assumptions!$B$126)*Pricing!$B$32+Assumptions!$B$126*Pricing!$B$33))</f>
        <v/>
      </c>
      <c r="AO91" s="41">
        <f>Assumptions!$B$51*AO75*Assumptions!$B$177/(AO76*Pricing!$B$15*Assumptions!$B$130*((1-Assumptions!$B$126)*Pricing!$B$32+Assumptions!$B$126*Pricing!$B$33))</f>
        <v/>
      </c>
      <c r="AP91" s="41">
        <f>Assumptions!$B$51*AP75*Assumptions!$B$177/(AP76*Pricing!$B$15*Assumptions!$B$130*((1-Assumptions!$B$126)*Pricing!$B$32+Assumptions!$B$126*Pricing!$B$33))</f>
        <v/>
      </c>
      <c r="AQ91" s="41">
        <f>Assumptions!$B$51*AQ75*Assumptions!$B$177/(AQ76*Pricing!$B$15*Assumptions!$B$130*((1-Assumptions!$B$126)*Pricing!$B$32+Assumptions!$B$126*Pricing!$B$33))</f>
        <v/>
      </c>
      <c r="AR91" s="41">
        <f>Assumptions!$B$51*AR75*Assumptions!$B$177/(AR76*Pricing!$B$15*Assumptions!$B$130*((1-Assumptions!$B$126)*Pricing!$B$32+Assumptions!$B$126*Pricing!$B$33))</f>
        <v/>
      </c>
      <c r="AS91" s="41">
        <f>Assumptions!$B$51*AS75*Assumptions!$B$177/(AS76*Pricing!$B$15*Assumptions!$B$130*((1-Assumptions!$B$126)*Pricing!$B$32+Assumptions!$B$126*Pricing!$B$33))</f>
        <v/>
      </c>
      <c r="AT91" s="41">
        <f>Assumptions!$B$51*AT75*Assumptions!$B$177/(AT76*Pricing!$B$15*Assumptions!$B$130*((1-Assumptions!$B$126)*Pricing!$B$32+Assumptions!$B$126*Pricing!$B$33))</f>
        <v/>
      </c>
      <c r="AU91" s="41">
        <f>Assumptions!$B$51*AU75*Assumptions!$B$177/(AU76*Pricing!$B$15*Assumptions!$B$130*((1-Assumptions!$B$126)*Pricing!$B$32+Assumptions!$B$126*Pricing!$B$33))</f>
        <v/>
      </c>
      <c r="AV91" s="41">
        <f>Assumptions!$B$51*AV75*Assumptions!$B$177/(AV76*Pricing!$B$15*Assumptions!$B$130*((1-Assumptions!$B$126)*Pricing!$B$32+Assumptions!$B$126*Pricing!$B$33))</f>
        <v/>
      </c>
      <c r="AW91" s="41">
        <f>Assumptions!$B$51*AW75*Assumptions!$B$177/(AW76*Pricing!$B$15*Assumptions!$B$130*((1-Assumptions!$B$126)*Pricing!$B$32+Assumptions!$B$126*Pricing!$B$33))</f>
        <v/>
      </c>
      <c r="AX91" s="41">
        <f>Assumptions!$B$51*AX75*Assumptions!$B$177/(AX76*Pricing!$B$15*Assumptions!$B$130*((1-Assumptions!$B$126)*Pricing!$B$32+Assumptions!$B$126*Pricing!$B$33))</f>
        <v/>
      </c>
      <c r="AY91" s="41">
        <f>Assumptions!$B$51*AY75*Assumptions!$B$177/(AY76*Pricing!$B$15*Assumptions!$B$130*((1-Assumptions!$B$126)*Pricing!$B$32+Assumptions!$B$126*Pricing!$B$33))</f>
        <v/>
      </c>
      <c r="AZ91" s="41">
        <f>Assumptions!$B$51*AZ75*Assumptions!$B$177/(AZ76*Pricing!$B$15*Assumptions!$B$130*((1-Assumptions!$B$126)*Pricing!$B$32+Assumptions!$B$126*Pricing!$B$33))</f>
        <v/>
      </c>
      <c r="BA91" s="41">
        <f>Assumptions!$B$51*BA75*Assumptions!$B$177/(BA76*Pricing!$B$15*Assumptions!$B$130*((1-Assumptions!$B$126)*Pricing!$B$32+Assumptions!$B$126*Pricing!$B$33))</f>
        <v/>
      </c>
      <c r="BB91" s="41">
        <f>Assumptions!$B$51*BB75*Assumptions!$B$177/(BB76*Pricing!$B$15*Assumptions!$B$130*((1-Assumptions!$B$126)*Pricing!$B$32+Assumptions!$B$126*Pricing!$B$33))</f>
        <v/>
      </c>
      <c r="BC91" s="41">
        <f>Assumptions!$B$51*BC75*Assumptions!$B$177/(BC76*Pricing!$B$15*Assumptions!$B$130*((1-Assumptions!$B$126)*Pricing!$B$32+Assumptions!$B$126*Pricing!$B$33))</f>
        <v/>
      </c>
      <c r="BD91" s="41">
        <f>Assumptions!$B$51*BD75*Assumptions!$B$177/(BD76*Pricing!$B$15*Assumptions!$B$130*((1-Assumptions!$B$126)*Pricing!$B$32+Assumptions!$B$126*Pricing!$B$33))</f>
        <v/>
      </c>
      <c r="BE91" s="41">
        <f>Assumptions!$B$51*BE75*Assumptions!$B$177/(BE76*Pricing!$B$15*Assumptions!$B$130*((1-Assumptions!$B$126)*Pricing!$B$32+Assumptions!$B$126*Pricing!$B$33))</f>
        <v/>
      </c>
      <c r="BF91" s="41">
        <f>Assumptions!$B$51*BF75*Assumptions!$B$177/(BF76*Pricing!$B$15*Assumptions!$B$130*((1-Assumptions!$B$126)*Pricing!$B$32+Assumptions!$B$126*Pricing!$B$33))</f>
        <v/>
      </c>
      <c r="BG91" s="41">
        <f>Assumptions!$B$51*BG75*Assumptions!$B$177/(BG76*Pricing!$B$15*Assumptions!$B$130*((1-Assumptions!$B$126)*Pricing!$B$32+Assumptions!$B$126*Pricing!$B$33))</f>
        <v/>
      </c>
      <c r="BH91" s="41">
        <f>Assumptions!$B$51*BH75*Assumptions!$B$177/(BH76*Pricing!$B$15*Assumptions!$B$130*((1-Assumptions!$B$126)*Pricing!$B$32+Assumptions!$B$126*Pricing!$B$33))</f>
        <v/>
      </c>
      <c r="BI91" s="41">
        <f>Assumptions!$B$51*BI75*Assumptions!$B$177/(BI76*Pricing!$B$15*Assumptions!$B$130*((1-Assumptions!$B$126)*Pricing!$B$32+Assumptions!$B$126*Pricing!$B$33))</f>
        <v/>
      </c>
      <c r="BJ91" s="41">
        <f>Assumptions!$B$51*BJ75*Assumptions!$B$177/(BJ76*Pricing!$B$15*Assumptions!$B$130*((1-Assumptions!$B$126)*Pricing!$B$32+Assumptions!$B$126*Pricing!$B$33))</f>
        <v/>
      </c>
    </row>
    <row r="92">
      <c r="A92" s="4" t="inlineStr">
        <is>
          <t>Paid acquisition allowed (payback &lt;= max), SMEs: South Africa</t>
        </is>
      </c>
      <c r="B92" s="17" t="inlineStr">
        <is>
          <t>flag</t>
        </is>
      </c>
      <c r="C92" s="10">
        <f>IF(C91&lt;=Assumptions!$B$129,1,0)</f>
        <v/>
      </c>
      <c r="D92" s="10">
        <f>IF(D91&lt;=Assumptions!$B$129,1,0)</f>
        <v/>
      </c>
      <c r="E92" s="10">
        <f>IF(E91&lt;=Assumptions!$B$129,1,0)</f>
        <v/>
      </c>
      <c r="F92" s="10">
        <f>IF(F91&lt;=Assumptions!$B$129,1,0)</f>
        <v/>
      </c>
      <c r="G92" s="10">
        <f>IF(G91&lt;=Assumptions!$B$129,1,0)</f>
        <v/>
      </c>
      <c r="H92" s="10">
        <f>IF(H91&lt;=Assumptions!$B$129,1,0)</f>
        <v/>
      </c>
      <c r="I92" s="10">
        <f>IF(I91&lt;=Assumptions!$B$129,1,0)</f>
        <v/>
      </c>
      <c r="J92" s="10">
        <f>IF(J91&lt;=Assumptions!$B$129,1,0)</f>
        <v/>
      </c>
      <c r="K92" s="10">
        <f>IF(K91&lt;=Assumptions!$B$129,1,0)</f>
        <v/>
      </c>
      <c r="L92" s="10">
        <f>IF(L91&lt;=Assumptions!$B$129,1,0)</f>
        <v/>
      </c>
      <c r="M92" s="10">
        <f>IF(M91&lt;=Assumptions!$B$129,1,0)</f>
        <v/>
      </c>
      <c r="N92" s="10">
        <f>IF(N91&lt;=Assumptions!$B$129,1,0)</f>
        <v/>
      </c>
      <c r="O92" s="10">
        <f>IF(O91&lt;=Assumptions!$B$129,1,0)</f>
        <v/>
      </c>
      <c r="P92" s="10">
        <f>IF(P91&lt;=Assumptions!$B$129,1,0)</f>
        <v/>
      </c>
      <c r="Q92" s="10">
        <f>IF(Q91&lt;=Assumptions!$B$129,1,0)</f>
        <v/>
      </c>
      <c r="R92" s="10">
        <f>IF(R91&lt;=Assumptions!$B$129,1,0)</f>
        <v/>
      </c>
      <c r="S92" s="10">
        <f>IF(S91&lt;=Assumptions!$B$129,1,0)</f>
        <v/>
      </c>
      <c r="T92" s="10">
        <f>IF(T91&lt;=Assumptions!$B$129,1,0)</f>
        <v/>
      </c>
      <c r="U92" s="10">
        <f>IF(U91&lt;=Assumptions!$B$129,1,0)</f>
        <v/>
      </c>
      <c r="V92" s="10">
        <f>IF(V91&lt;=Assumptions!$B$129,1,0)</f>
        <v/>
      </c>
      <c r="W92" s="10">
        <f>IF(W91&lt;=Assumptions!$B$129,1,0)</f>
        <v/>
      </c>
      <c r="X92" s="10">
        <f>IF(X91&lt;=Assumptions!$B$129,1,0)</f>
        <v/>
      </c>
      <c r="Y92" s="10">
        <f>IF(Y91&lt;=Assumptions!$B$129,1,0)</f>
        <v/>
      </c>
      <c r="Z92" s="10">
        <f>IF(Z91&lt;=Assumptions!$B$129,1,0)</f>
        <v/>
      </c>
      <c r="AA92" s="10">
        <f>IF(AA91&lt;=Assumptions!$B$129,1,0)</f>
        <v/>
      </c>
      <c r="AB92" s="10">
        <f>IF(AB91&lt;=Assumptions!$B$129,1,0)</f>
        <v/>
      </c>
      <c r="AC92" s="10">
        <f>IF(AC91&lt;=Assumptions!$B$129,1,0)</f>
        <v/>
      </c>
      <c r="AD92" s="10">
        <f>IF(AD91&lt;=Assumptions!$B$129,1,0)</f>
        <v/>
      </c>
      <c r="AE92" s="10">
        <f>IF(AE91&lt;=Assumptions!$B$129,1,0)</f>
        <v/>
      </c>
      <c r="AF92" s="10">
        <f>IF(AF91&lt;=Assumptions!$B$129,1,0)</f>
        <v/>
      </c>
      <c r="AG92" s="10">
        <f>IF(AG91&lt;=Assumptions!$B$129,1,0)</f>
        <v/>
      </c>
      <c r="AH92" s="10">
        <f>IF(AH91&lt;=Assumptions!$B$129,1,0)</f>
        <v/>
      </c>
      <c r="AI92" s="10">
        <f>IF(AI91&lt;=Assumptions!$B$129,1,0)</f>
        <v/>
      </c>
      <c r="AJ92" s="10">
        <f>IF(AJ91&lt;=Assumptions!$B$129,1,0)</f>
        <v/>
      </c>
      <c r="AK92" s="10">
        <f>IF(AK91&lt;=Assumptions!$B$129,1,0)</f>
        <v/>
      </c>
      <c r="AL92" s="10">
        <f>IF(AL91&lt;=Assumptions!$B$129,1,0)</f>
        <v/>
      </c>
      <c r="AM92" s="10">
        <f>IF(AM91&lt;=Assumptions!$B$129,1,0)</f>
        <v/>
      </c>
      <c r="AN92" s="10">
        <f>IF(AN91&lt;=Assumptions!$B$129,1,0)</f>
        <v/>
      </c>
      <c r="AO92" s="10">
        <f>IF(AO91&lt;=Assumptions!$B$129,1,0)</f>
        <v/>
      </c>
      <c r="AP92" s="10">
        <f>IF(AP91&lt;=Assumptions!$B$129,1,0)</f>
        <v/>
      </c>
      <c r="AQ92" s="10">
        <f>IF(AQ91&lt;=Assumptions!$B$129,1,0)</f>
        <v/>
      </c>
      <c r="AR92" s="10">
        <f>IF(AR91&lt;=Assumptions!$B$129,1,0)</f>
        <v/>
      </c>
      <c r="AS92" s="10">
        <f>IF(AS91&lt;=Assumptions!$B$129,1,0)</f>
        <v/>
      </c>
      <c r="AT92" s="10">
        <f>IF(AT91&lt;=Assumptions!$B$129,1,0)</f>
        <v/>
      </c>
      <c r="AU92" s="10">
        <f>IF(AU91&lt;=Assumptions!$B$129,1,0)</f>
        <v/>
      </c>
      <c r="AV92" s="10">
        <f>IF(AV91&lt;=Assumptions!$B$129,1,0)</f>
        <v/>
      </c>
      <c r="AW92" s="10">
        <f>IF(AW91&lt;=Assumptions!$B$129,1,0)</f>
        <v/>
      </c>
      <c r="AX92" s="10">
        <f>IF(AX91&lt;=Assumptions!$B$129,1,0)</f>
        <v/>
      </c>
      <c r="AY92" s="10">
        <f>IF(AY91&lt;=Assumptions!$B$129,1,0)</f>
        <v/>
      </c>
      <c r="AZ92" s="10">
        <f>IF(AZ91&lt;=Assumptions!$B$129,1,0)</f>
        <v/>
      </c>
      <c r="BA92" s="10">
        <f>IF(BA91&lt;=Assumptions!$B$129,1,0)</f>
        <v/>
      </c>
      <c r="BB92" s="10">
        <f>IF(BB91&lt;=Assumptions!$B$129,1,0)</f>
        <v/>
      </c>
      <c r="BC92" s="10">
        <f>IF(BC91&lt;=Assumptions!$B$129,1,0)</f>
        <v/>
      </c>
      <c r="BD92" s="10">
        <f>IF(BD91&lt;=Assumptions!$B$129,1,0)</f>
        <v/>
      </c>
      <c r="BE92" s="10">
        <f>IF(BE91&lt;=Assumptions!$B$129,1,0)</f>
        <v/>
      </c>
      <c r="BF92" s="10">
        <f>IF(BF91&lt;=Assumptions!$B$129,1,0)</f>
        <v/>
      </c>
      <c r="BG92" s="10">
        <f>IF(BG91&lt;=Assumptions!$B$129,1,0)</f>
        <v/>
      </c>
      <c r="BH92" s="10">
        <f>IF(BH91&lt;=Assumptions!$B$129,1,0)</f>
        <v/>
      </c>
      <c r="BI92" s="10">
        <f>IF(BI91&lt;=Assumptions!$B$129,1,0)</f>
        <v/>
      </c>
      <c r="BJ92" s="10">
        <f>IF(BJ91&lt;=Assumptions!$B$129,1,0)</f>
        <v/>
      </c>
    </row>
    <row r="93">
      <c r="A93" s="4" t="inlineStr">
        <is>
          <t>CAC payback, SMEs: Nigeria</t>
        </is>
      </c>
      <c r="B93" s="17" t="inlineStr">
        <is>
          <t>months</t>
        </is>
      </c>
      <c r="C93" s="41">
        <f>Assumptions!$B$51*C75*Assumptions!$B$177*Assumptions!$B$70/(C76*Pricing!$B$15*C38*Assumptions!$B$130*((1-Assumptions!$B$126)*Pricing!$C$32+Assumptions!$B$126*Pricing!$C$33))</f>
        <v/>
      </c>
      <c r="D93" s="41">
        <f>Assumptions!$B$51*D75*Assumptions!$B$177*Assumptions!$B$70/(D76*Pricing!$B$15*D38*Assumptions!$B$130*((1-Assumptions!$B$126)*Pricing!$C$32+Assumptions!$B$126*Pricing!$C$33))</f>
        <v/>
      </c>
      <c r="E93" s="41">
        <f>Assumptions!$B$51*E75*Assumptions!$B$177*Assumptions!$B$70/(E76*Pricing!$B$15*E38*Assumptions!$B$130*((1-Assumptions!$B$126)*Pricing!$C$32+Assumptions!$B$126*Pricing!$C$33))</f>
        <v/>
      </c>
      <c r="F93" s="41">
        <f>Assumptions!$B$51*F75*Assumptions!$B$177*Assumptions!$B$70/(F76*Pricing!$B$15*F38*Assumptions!$B$130*((1-Assumptions!$B$126)*Pricing!$C$32+Assumptions!$B$126*Pricing!$C$33))</f>
        <v/>
      </c>
      <c r="G93" s="41">
        <f>Assumptions!$B$51*G75*Assumptions!$B$177*Assumptions!$B$70/(G76*Pricing!$B$15*G38*Assumptions!$B$130*((1-Assumptions!$B$126)*Pricing!$C$32+Assumptions!$B$126*Pricing!$C$33))</f>
        <v/>
      </c>
      <c r="H93" s="41">
        <f>Assumptions!$B$51*H75*Assumptions!$B$177*Assumptions!$B$70/(H76*Pricing!$B$15*H38*Assumptions!$B$130*((1-Assumptions!$B$126)*Pricing!$C$32+Assumptions!$B$126*Pricing!$C$33))</f>
        <v/>
      </c>
      <c r="I93" s="41">
        <f>Assumptions!$B$51*I75*Assumptions!$B$177*Assumptions!$B$70/(I76*Pricing!$B$15*I38*Assumptions!$B$130*((1-Assumptions!$B$126)*Pricing!$C$32+Assumptions!$B$126*Pricing!$C$33))</f>
        <v/>
      </c>
      <c r="J93" s="41">
        <f>Assumptions!$B$51*J75*Assumptions!$B$177*Assumptions!$B$70/(J76*Pricing!$B$15*J38*Assumptions!$B$130*((1-Assumptions!$B$126)*Pricing!$C$32+Assumptions!$B$126*Pricing!$C$33))</f>
        <v/>
      </c>
      <c r="K93" s="41">
        <f>Assumptions!$B$51*K75*Assumptions!$B$177*Assumptions!$B$70/(K76*Pricing!$B$15*K38*Assumptions!$B$130*((1-Assumptions!$B$126)*Pricing!$C$32+Assumptions!$B$126*Pricing!$C$33))</f>
        <v/>
      </c>
      <c r="L93" s="41">
        <f>Assumptions!$B$51*L75*Assumptions!$B$177*Assumptions!$B$70/(L76*Pricing!$B$15*L38*Assumptions!$B$130*((1-Assumptions!$B$126)*Pricing!$C$32+Assumptions!$B$126*Pricing!$C$33))</f>
        <v/>
      </c>
      <c r="M93" s="41">
        <f>Assumptions!$B$51*M75*Assumptions!$B$177*Assumptions!$B$70/(M76*Pricing!$B$15*M38*Assumptions!$B$130*((1-Assumptions!$B$126)*Pricing!$C$32+Assumptions!$B$126*Pricing!$C$33))</f>
        <v/>
      </c>
      <c r="N93" s="41">
        <f>Assumptions!$B$51*N75*Assumptions!$B$177*Assumptions!$B$70/(N76*Pricing!$B$15*N38*Assumptions!$B$130*((1-Assumptions!$B$126)*Pricing!$C$32+Assumptions!$B$126*Pricing!$C$33))</f>
        <v/>
      </c>
      <c r="O93" s="41">
        <f>Assumptions!$B$51*O75*Assumptions!$B$177*Assumptions!$B$70/(O76*Pricing!$B$15*O38*Assumptions!$B$130*((1-Assumptions!$B$126)*Pricing!$C$32+Assumptions!$B$126*Pricing!$C$33))</f>
        <v/>
      </c>
      <c r="P93" s="41">
        <f>Assumptions!$B$51*P75*Assumptions!$B$177*Assumptions!$B$70/(P76*Pricing!$B$15*P38*Assumptions!$B$130*((1-Assumptions!$B$126)*Pricing!$C$32+Assumptions!$B$126*Pricing!$C$33))</f>
        <v/>
      </c>
      <c r="Q93" s="41">
        <f>Assumptions!$B$51*Q75*Assumptions!$B$177*Assumptions!$B$70/(Q76*Pricing!$B$15*Q38*Assumptions!$B$130*((1-Assumptions!$B$126)*Pricing!$C$32+Assumptions!$B$126*Pricing!$C$33))</f>
        <v/>
      </c>
      <c r="R93" s="41">
        <f>Assumptions!$B$51*R75*Assumptions!$B$177*Assumptions!$B$70/(R76*Pricing!$B$15*R38*Assumptions!$B$130*((1-Assumptions!$B$126)*Pricing!$C$32+Assumptions!$B$126*Pricing!$C$33))</f>
        <v/>
      </c>
      <c r="S93" s="41">
        <f>Assumptions!$B$51*S75*Assumptions!$B$177*Assumptions!$B$70/(S76*Pricing!$B$15*S38*Assumptions!$B$130*((1-Assumptions!$B$126)*Pricing!$C$32+Assumptions!$B$126*Pricing!$C$33))</f>
        <v/>
      </c>
      <c r="T93" s="41">
        <f>Assumptions!$B$51*T75*Assumptions!$B$177*Assumptions!$B$70/(T76*Pricing!$B$15*T38*Assumptions!$B$130*((1-Assumptions!$B$126)*Pricing!$C$32+Assumptions!$B$126*Pricing!$C$33))</f>
        <v/>
      </c>
      <c r="U93" s="41">
        <f>Assumptions!$B$51*U75*Assumptions!$B$177*Assumptions!$B$70/(U76*Pricing!$B$15*U38*Assumptions!$B$130*((1-Assumptions!$B$126)*Pricing!$C$32+Assumptions!$B$126*Pricing!$C$33))</f>
        <v/>
      </c>
      <c r="V93" s="41">
        <f>Assumptions!$B$51*V75*Assumptions!$B$177*Assumptions!$B$70/(V76*Pricing!$B$15*V38*Assumptions!$B$130*((1-Assumptions!$B$126)*Pricing!$C$32+Assumptions!$B$126*Pricing!$C$33))</f>
        <v/>
      </c>
      <c r="W93" s="41">
        <f>Assumptions!$B$51*W75*Assumptions!$B$177*Assumptions!$B$70/(W76*Pricing!$B$15*W38*Assumptions!$B$130*((1-Assumptions!$B$126)*Pricing!$C$32+Assumptions!$B$126*Pricing!$C$33))</f>
        <v/>
      </c>
      <c r="X93" s="41">
        <f>Assumptions!$B$51*X75*Assumptions!$B$177*Assumptions!$B$70/(X76*Pricing!$B$15*X38*Assumptions!$B$130*((1-Assumptions!$B$126)*Pricing!$C$32+Assumptions!$B$126*Pricing!$C$33))</f>
        <v/>
      </c>
      <c r="Y93" s="41">
        <f>Assumptions!$B$51*Y75*Assumptions!$B$177*Assumptions!$B$70/(Y76*Pricing!$B$15*Y38*Assumptions!$B$130*((1-Assumptions!$B$126)*Pricing!$C$32+Assumptions!$B$126*Pricing!$C$33))</f>
        <v/>
      </c>
      <c r="Z93" s="41">
        <f>Assumptions!$B$51*Z75*Assumptions!$B$177*Assumptions!$B$70/(Z76*Pricing!$B$15*Z38*Assumptions!$B$130*((1-Assumptions!$B$126)*Pricing!$C$32+Assumptions!$B$126*Pricing!$C$33))</f>
        <v/>
      </c>
      <c r="AA93" s="41">
        <f>Assumptions!$B$51*AA75*Assumptions!$B$177*Assumptions!$B$70/(AA76*Pricing!$B$15*AA38*Assumptions!$B$130*((1-Assumptions!$B$126)*Pricing!$C$32+Assumptions!$B$126*Pricing!$C$33))</f>
        <v/>
      </c>
      <c r="AB93" s="41">
        <f>Assumptions!$B$51*AB75*Assumptions!$B$177*Assumptions!$B$70/(AB76*Pricing!$B$15*AB38*Assumptions!$B$130*((1-Assumptions!$B$126)*Pricing!$C$32+Assumptions!$B$126*Pricing!$C$33))</f>
        <v/>
      </c>
      <c r="AC93" s="41">
        <f>Assumptions!$B$51*AC75*Assumptions!$B$177*Assumptions!$B$70/(AC76*Pricing!$B$15*AC38*Assumptions!$B$130*((1-Assumptions!$B$126)*Pricing!$C$32+Assumptions!$B$126*Pricing!$C$33))</f>
        <v/>
      </c>
      <c r="AD93" s="41">
        <f>Assumptions!$B$51*AD75*Assumptions!$B$177*Assumptions!$B$70/(AD76*Pricing!$B$15*AD38*Assumptions!$B$130*((1-Assumptions!$B$126)*Pricing!$C$32+Assumptions!$B$126*Pricing!$C$33))</f>
        <v/>
      </c>
      <c r="AE93" s="41">
        <f>Assumptions!$B$51*AE75*Assumptions!$B$177*Assumptions!$B$70/(AE76*Pricing!$B$15*AE38*Assumptions!$B$130*((1-Assumptions!$B$126)*Pricing!$C$32+Assumptions!$B$126*Pricing!$C$33))</f>
        <v/>
      </c>
      <c r="AF93" s="41">
        <f>Assumptions!$B$51*AF75*Assumptions!$B$177*Assumptions!$B$70/(AF76*Pricing!$B$15*AF38*Assumptions!$B$130*((1-Assumptions!$B$126)*Pricing!$C$32+Assumptions!$B$126*Pricing!$C$33))</f>
        <v/>
      </c>
      <c r="AG93" s="41">
        <f>Assumptions!$B$51*AG75*Assumptions!$B$177*Assumptions!$B$70/(AG76*Pricing!$B$15*AG38*Assumptions!$B$130*((1-Assumptions!$B$126)*Pricing!$C$32+Assumptions!$B$126*Pricing!$C$33))</f>
        <v/>
      </c>
      <c r="AH93" s="41">
        <f>Assumptions!$B$51*AH75*Assumptions!$B$177*Assumptions!$B$70/(AH76*Pricing!$B$15*AH38*Assumptions!$B$130*((1-Assumptions!$B$126)*Pricing!$C$32+Assumptions!$B$126*Pricing!$C$33))</f>
        <v/>
      </c>
      <c r="AI93" s="41">
        <f>Assumptions!$B$51*AI75*Assumptions!$B$177*Assumptions!$B$70/(AI76*Pricing!$B$15*AI38*Assumptions!$B$130*((1-Assumptions!$B$126)*Pricing!$C$32+Assumptions!$B$126*Pricing!$C$33))</f>
        <v/>
      </c>
      <c r="AJ93" s="41">
        <f>Assumptions!$B$51*AJ75*Assumptions!$B$177*Assumptions!$B$70/(AJ76*Pricing!$B$15*AJ38*Assumptions!$B$130*((1-Assumptions!$B$126)*Pricing!$C$32+Assumptions!$B$126*Pricing!$C$33))</f>
        <v/>
      </c>
      <c r="AK93" s="41">
        <f>Assumptions!$B$51*AK75*Assumptions!$B$177*Assumptions!$B$70/(AK76*Pricing!$B$15*AK38*Assumptions!$B$130*((1-Assumptions!$B$126)*Pricing!$C$32+Assumptions!$B$126*Pricing!$C$33))</f>
        <v/>
      </c>
      <c r="AL93" s="41">
        <f>Assumptions!$B$51*AL75*Assumptions!$B$177*Assumptions!$B$70/(AL76*Pricing!$B$15*AL38*Assumptions!$B$130*((1-Assumptions!$B$126)*Pricing!$C$32+Assumptions!$B$126*Pricing!$C$33))</f>
        <v/>
      </c>
      <c r="AM93" s="41">
        <f>Assumptions!$B$51*AM75*Assumptions!$B$177*Assumptions!$B$70/(AM76*Pricing!$B$15*AM38*Assumptions!$B$130*((1-Assumptions!$B$126)*Pricing!$C$32+Assumptions!$B$126*Pricing!$C$33))</f>
        <v/>
      </c>
      <c r="AN93" s="41">
        <f>Assumptions!$B$51*AN75*Assumptions!$B$177*Assumptions!$B$70/(AN76*Pricing!$B$15*AN38*Assumptions!$B$130*((1-Assumptions!$B$126)*Pricing!$C$32+Assumptions!$B$126*Pricing!$C$33))</f>
        <v/>
      </c>
      <c r="AO93" s="41">
        <f>Assumptions!$B$51*AO75*Assumptions!$B$177*Assumptions!$B$70/(AO76*Pricing!$B$15*AO38*Assumptions!$B$130*((1-Assumptions!$B$126)*Pricing!$C$32+Assumptions!$B$126*Pricing!$C$33))</f>
        <v/>
      </c>
      <c r="AP93" s="41">
        <f>Assumptions!$B$51*AP75*Assumptions!$B$177*Assumptions!$B$70/(AP76*Pricing!$B$15*AP38*Assumptions!$B$130*((1-Assumptions!$B$126)*Pricing!$C$32+Assumptions!$B$126*Pricing!$C$33))</f>
        <v/>
      </c>
      <c r="AQ93" s="41">
        <f>Assumptions!$B$51*AQ75*Assumptions!$B$177*Assumptions!$B$70/(AQ76*Pricing!$B$15*AQ38*Assumptions!$B$130*((1-Assumptions!$B$126)*Pricing!$C$32+Assumptions!$B$126*Pricing!$C$33))</f>
        <v/>
      </c>
      <c r="AR93" s="41">
        <f>Assumptions!$B$51*AR75*Assumptions!$B$177*Assumptions!$B$70/(AR76*Pricing!$B$15*AR38*Assumptions!$B$130*((1-Assumptions!$B$126)*Pricing!$C$32+Assumptions!$B$126*Pricing!$C$33))</f>
        <v/>
      </c>
      <c r="AS93" s="41">
        <f>Assumptions!$B$51*AS75*Assumptions!$B$177*Assumptions!$B$70/(AS76*Pricing!$B$15*AS38*Assumptions!$B$130*((1-Assumptions!$B$126)*Pricing!$C$32+Assumptions!$B$126*Pricing!$C$33))</f>
        <v/>
      </c>
      <c r="AT93" s="41">
        <f>Assumptions!$B$51*AT75*Assumptions!$B$177*Assumptions!$B$70/(AT76*Pricing!$B$15*AT38*Assumptions!$B$130*((1-Assumptions!$B$126)*Pricing!$C$32+Assumptions!$B$126*Pricing!$C$33))</f>
        <v/>
      </c>
      <c r="AU93" s="41">
        <f>Assumptions!$B$51*AU75*Assumptions!$B$177*Assumptions!$B$70/(AU76*Pricing!$B$15*AU38*Assumptions!$B$130*((1-Assumptions!$B$126)*Pricing!$C$32+Assumptions!$B$126*Pricing!$C$33))</f>
        <v/>
      </c>
      <c r="AV93" s="41">
        <f>Assumptions!$B$51*AV75*Assumptions!$B$177*Assumptions!$B$70/(AV76*Pricing!$B$15*AV38*Assumptions!$B$130*((1-Assumptions!$B$126)*Pricing!$C$32+Assumptions!$B$126*Pricing!$C$33))</f>
        <v/>
      </c>
      <c r="AW93" s="41">
        <f>Assumptions!$B$51*AW75*Assumptions!$B$177*Assumptions!$B$70/(AW76*Pricing!$B$15*AW38*Assumptions!$B$130*((1-Assumptions!$B$126)*Pricing!$C$32+Assumptions!$B$126*Pricing!$C$33))</f>
        <v/>
      </c>
      <c r="AX93" s="41">
        <f>Assumptions!$B$51*AX75*Assumptions!$B$177*Assumptions!$B$70/(AX76*Pricing!$B$15*AX38*Assumptions!$B$130*((1-Assumptions!$B$126)*Pricing!$C$32+Assumptions!$B$126*Pricing!$C$33))</f>
        <v/>
      </c>
      <c r="AY93" s="41">
        <f>Assumptions!$B$51*AY75*Assumptions!$B$177*Assumptions!$B$70/(AY76*Pricing!$B$15*AY38*Assumptions!$B$130*((1-Assumptions!$B$126)*Pricing!$C$32+Assumptions!$B$126*Pricing!$C$33))</f>
        <v/>
      </c>
      <c r="AZ93" s="41">
        <f>Assumptions!$B$51*AZ75*Assumptions!$B$177*Assumptions!$B$70/(AZ76*Pricing!$B$15*AZ38*Assumptions!$B$130*((1-Assumptions!$B$126)*Pricing!$C$32+Assumptions!$B$126*Pricing!$C$33))</f>
        <v/>
      </c>
      <c r="BA93" s="41">
        <f>Assumptions!$B$51*BA75*Assumptions!$B$177*Assumptions!$B$70/(BA76*Pricing!$B$15*BA38*Assumptions!$B$130*((1-Assumptions!$B$126)*Pricing!$C$32+Assumptions!$B$126*Pricing!$C$33))</f>
        <v/>
      </c>
      <c r="BB93" s="41">
        <f>Assumptions!$B$51*BB75*Assumptions!$B$177*Assumptions!$B$70/(BB76*Pricing!$B$15*BB38*Assumptions!$B$130*((1-Assumptions!$B$126)*Pricing!$C$32+Assumptions!$B$126*Pricing!$C$33))</f>
        <v/>
      </c>
      <c r="BC93" s="41">
        <f>Assumptions!$B$51*BC75*Assumptions!$B$177*Assumptions!$B$70/(BC76*Pricing!$B$15*BC38*Assumptions!$B$130*((1-Assumptions!$B$126)*Pricing!$C$32+Assumptions!$B$126*Pricing!$C$33))</f>
        <v/>
      </c>
      <c r="BD93" s="41">
        <f>Assumptions!$B$51*BD75*Assumptions!$B$177*Assumptions!$B$70/(BD76*Pricing!$B$15*BD38*Assumptions!$B$130*((1-Assumptions!$B$126)*Pricing!$C$32+Assumptions!$B$126*Pricing!$C$33))</f>
        <v/>
      </c>
      <c r="BE93" s="41">
        <f>Assumptions!$B$51*BE75*Assumptions!$B$177*Assumptions!$B$70/(BE76*Pricing!$B$15*BE38*Assumptions!$B$130*((1-Assumptions!$B$126)*Pricing!$C$32+Assumptions!$B$126*Pricing!$C$33))</f>
        <v/>
      </c>
      <c r="BF93" s="41">
        <f>Assumptions!$B$51*BF75*Assumptions!$B$177*Assumptions!$B$70/(BF76*Pricing!$B$15*BF38*Assumptions!$B$130*((1-Assumptions!$B$126)*Pricing!$C$32+Assumptions!$B$126*Pricing!$C$33))</f>
        <v/>
      </c>
      <c r="BG93" s="41">
        <f>Assumptions!$B$51*BG75*Assumptions!$B$177*Assumptions!$B$70/(BG76*Pricing!$B$15*BG38*Assumptions!$B$130*((1-Assumptions!$B$126)*Pricing!$C$32+Assumptions!$B$126*Pricing!$C$33))</f>
        <v/>
      </c>
      <c r="BH93" s="41">
        <f>Assumptions!$B$51*BH75*Assumptions!$B$177*Assumptions!$B$70/(BH76*Pricing!$B$15*BH38*Assumptions!$B$130*((1-Assumptions!$B$126)*Pricing!$C$32+Assumptions!$B$126*Pricing!$C$33))</f>
        <v/>
      </c>
      <c r="BI93" s="41">
        <f>Assumptions!$B$51*BI75*Assumptions!$B$177*Assumptions!$B$70/(BI76*Pricing!$B$15*BI38*Assumptions!$B$130*((1-Assumptions!$B$126)*Pricing!$C$32+Assumptions!$B$126*Pricing!$C$33))</f>
        <v/>
      </c>
      <c r="BJ93" s="41">
        <f>Assumptions!$B$51*BJ75*Assumptions!$B$177*Assumptions!$B$70/(BJ76*Pricing!$B$15*BJ38*Assumptions!$B$130*((1-Assumptions!$B$126)*Pricing!$C$32+Assumptions!$B$126*Pricing!$C$33))</f>
        <v/>
      </c>
    </row>
    <row r="94">
      <c r="A94" s="4" t="inlineStr">
        <is>
          <t>Paid acquisition allowed (payback &lt;= max), SMEs: Nigeria</t>
        </is>
      </c>
      <c r="B94" s="17" t="inlineStr">
        <is>
          <t>flag</t>
        </is>
      </c>
      <c r="C94" s="10">
        <f>IF(C93&lt;=Assumptions!$B$129,1,0)</f>
        <v/>
      </c>
      <c r="D94" s="10">
        <f>IF(D93&lt;=Assumptions!$B$129,1,0)</f>
        <v/>
      </c>
      <c r="E94" s="10">
        <f>IF(E93&lt;=Assumptions!$B$129,1,0)</f>
        <v/>
      </c>
      <c r="F94" s="10">
        <f>IF(F93&lt;=Assumptions!$B$129,1,0)</f>
        <v/>
      </c>
      <c r="G94" s="10">
        <f>IF(G93&lt;=Assumptions!$B$129,1,0)</f>
        <v/>
      </c>
      <c r="H94" s="10">
        <f>IF(H93&lt;=Assumptions!$B$129,1,0)</f>
        <v/>
      </c>
      <c r="I94" s="10">
        <f>IF(I93&lt;=Assumptions!$B$129,1,0)</f>
        <v/>
      </c>
      <c r="J94" s="10">
        <f>IF(J93&lt;=Assumptions!$B$129,1,0)</f>
        <v/>
      </c>
      <c r="K94" s="10">
        <f>IF(K93&lt;=Assumptions!$B$129,1,0)</f>
        <v/>
      </c>
      <c r="L94" s="10">
        <f>IF(L93&lt;=Assumptions!$B$129,1,0)</f>
        <v/>
      </c>
      <c r="M94" s="10">
        <f>IF(M93&lt;=Assumptions!$B$129,1,0)</f>
        <v/>
      </c>
      <c r="N94" s="10">
        <f>IF(N93&lt;=Assumptions!$B$129,1,0)</f>
        <v/>
      </c>
      <c r="O94" s="10">
        <f>IF(O93&lt;=Assumptions!$B$129,1,0)</f>
        <v/>
      </c>
      <c r="P94" s="10">
        <f>IF(P93&lt;=Assumptions!$B$129,1,0)</f>
        <v/>
      </c>
      <c r="Q94" s="10">
        <f>IF(Q93&lt;=Assumptions!$B$129,1,0)</f>
        <v/>
      </c>
      <c r="R94" s="10">
        <f>IF(R93&lt;=Assumptions!$B$129,1,0)</f>
        <v/>
      </c>
      <c r="S94" s="10">
        <f>IF(S93&lt;=Assumptions!$B$129,1,0)</f>
        <v/>
      </c>
      <c r="T94" s="10">
        <f>IF(T93&lt;=Assumptions!$B$129,1,0)</f>
        <v/>
      </c>
      <c r="U94" s="10">
        <f>IF(U93&lt;=Assumptions!$B$129,1,0)</f>
        <v/>
      </c>
      <c r="V94" s="10">
        <f>IF(V93&lt;=Assumptions!$B$129,1,0)</f>
        <v/>
      </c>
      <c r="W94" s="10">
        <f>IF(W93&lt;=Assumptions!$B$129,1,0)</f>
        <v/>
      </c>
      <c r="X94" s="10">
        <f>IF(X93&lt;=Assumptions!$B$129,1,0)</f>
        <v/>
      </c>
      <c r="Y94" s="10">
        <f>IF(Y93&lt;=Assumptions!$B$129,1,0)</f>
        <v/>
      </c>
      <c r="Z94" s="10">
        <f>IF(Z93&lt;=Assumptions!$B$129,1,0)</f>
        <v/>
      </c>
      <c r="AA94" s="10">
        <f>IF(AA93&lt;=Assumptions!$B$129,1,0)</f>
        <v/>
      </c>
      <c r="AB94" s="10">
        <f>IF(AB93&lt;=Assumptions!$B$129,1,0)</f>
        <v/>
      </c>
      <c r="AC94" s="10">
        <f>IF(AC93&lt;=Assumptions!$B$129,1,0)</f>
        <v/>
      </c>
      <c r="AD94" s="10">
        <f>IF(AD93&lt;=Assumptions!$B$129,1,0)</f>
        <v/>
      </c>
      <c r="AE94" s="10">
        <f>IF(AE93&lt;=Assumptions!$B$129,1,0)</f>
        <v/>
      </c>
      <c r="AF94" s="10">
        <f>IF(AF93&lt;=Assumptions!$B$129,1,0)</f>
        <v/>
      </c>
      <c r="AG94" s="10">
        <f>IF(AG93&lt;=Assumptions!$B$129,1,0)</f>
        <v/>
      </c>
      <c r="AH94" s="10">
        <f>IF(AH93&lt;=Assumptions!$B$129,1,0)</f>
        <v/>
      </c>
      <c r="AI94" s="10">
        <f>IF(AI93&lt;=Assumptions!$B$129,1,0)</f>
        <v/>
      </c>
      <c r="AJ94" s="10">
        <f>IF(AJ93&lt;=Assumptions!$B$129,1,0)</f>
        <v/>
      </c>
      <c r="AK94" s="10">
        <f>IF(AK93&lt;=Assumptions!$B$129,1,0)</f>
        <v/>
      </c>
      <c r="AL94" s="10">
        <f>IF(AL93&lt;=Assumptions!$B$129,1,0)</f>
        <v/>
      </c>
      <c r="AM94" s="10">
        <f>IF(AM93&lt;=Assumptions!$B$129,1,0)</f>
        <v/>
      </c>
      <c r="AN94" s="10">
        <f>IF(AN93&lt;=Assumptions!$B$129,1,0)</f>
        <v/>
      </c>
      <c r="AO94" s="10">
        <f>IF(AO93&lt;=Assumptions!$B$129,1,0)</f>
        <v/>
      </c>
      <c r="AP94" s="10">
        <f>IF(AP93&lt;=Assumptions!$B$129,1,0)</f>
        <v/>
      </c>
      <c r="AQ94" s="10">
        <f>IF(AQ93&lt;=Assumptions!$B$129,1,0)</f>
        <v/>
      </c>
      <c r="AR94" s="10">
        <f>IF(AR93&lt;=Assumptions!$B$129,1,0)</f>
        <v/>
      </c>
      <c r="AS94" s="10">
        <f>IF(AS93&lt;=Assumptions!$B$129,1,0)</f>
        <v/>
      </c>
      <c r="AT94" s="10">
        <f>IF(AT93&lt;=Assumptions!$B$129,1,0)</f>
        <v/>
      </c>
      <c r="AU94" s="10">
        <f>IF(AU93&lt;=Assumptions!$B$129,1,0)</f>
        <v/>
      </c>
      <c r="AV94" s="10">
        <f>IF(AV93&lt;=Assumptions!$B$129,1,0)</f>
        <v/>
      </c>
      <c r="AW94" s="10">
        <f>IF(AW93&lt;=Assumptions!$B$129,1,0)</f>
        <v/>
      </c>
      <c r="AX94" s="10">
        <f>IF(AX93&lt;=Assumptions!$B$129,1,0)</f>
        <v/>
      </c>
      <c r="AY94" s="10">
        <f>IF(AY93&lt;=Assumptions!$B$129,1,0)</f>
        <v/>
      </c>
      <c r="AZ94" s="10">
        <f>IF(AZ93&lt;=Assumptions!$B$129,1,0)</f>
        <v/>
      </c>
      <c r="BA94" s="10">
        <f>IF(BA93&lt;=Assumptions!$B$129,1,0)</f>
        <v/>
      </c>
      <c r="BB94" s="10">
        <f>IF(BB93&lt;=Assumptions!$B$129,1,0)</f>
        <v/>
      </c>
      <c r="BC94" s="10">
        <f>IF(BC93&lt;=Assumptions!$B$129,1,0)</f>
        <v/>
      </c>
      <c r="BD94" s="10">
        <f>IF(BD93&lt;=Assumptions!$B$129,1,0)</f>
        <v/>
      </c>
      <c r="BE94" s="10">
        <f>IF(BE93&lt;=Assumptions!$B$129,1,0)</f>
        <v/>
      </c>
      <c r="BF94" s="10">
        <f>IF(BF93&lt;=Assumptions!$B$129,1,0)</f>
        <v/>
      </c>
      <c r="BG94" s="10">
        <f>IF(BG93&lt;=Assumptions!$B$129,1,0)</f>
        <v/>
      </c>
      <c r="BH94" s="10">
        <f>IF(BH93&lt;=Assumptions!$B$129,1,0)</f>
        <v/>
      </c>
      <c r="BI94" s="10">
        <f>IF(BI93&lt;=Assumptions!$B$129,1,0)</f>
        <v/>
      </c>
      <c r="BJ94" s="10">
        <f>IF(BJ93&lt;=Assumptions!$B$129,1,0)</f>
        <v/>
      </c>
    </row>
    <row r="95">
      <c r="A95" s="4" t="inlineStr">
        <is>
          <t>CAC payback, SMEs: Kenya</t>
        </is>
      </c>
      <c r="B95" s="17" t="inlineStr">
        <is>
          <t>months</t>
        </is>
      </c>
      <c r="C95" s="41">
        <f>Assumptions!$B$51*C75*Assumptions!$B$177*Assumptions!$B$80/(C76*Pricing!$B$15*C41*Assumptions!$B$130*((1-Assumptions!$B$126)*Pricing!$D$32+Assumptions!$B$126*Pricing!$D$33))</f>
        <v/>
      </c>
      <c r="D95" s="41">
        <f>Assumptions!$B$51*D75*Assumptions!$B$177*Assumptions!$B$80/(D76*Pricing!$B$15*D41*Assumptions!$B$130*((1-Assumptions!$B$126)*Pricing!$D$32+Assumptions!$B$126*Pricing!$D$33))</f>
        <v/>
      </c>
      <c r="E95" s="41">
        <f>Assumptions!$B$51*E75*Assumptions!$B$177*Assumptions!$B$80/(E76*Pricing!$B$15*E41*Assumptions!$B$130*((1-Assumptions!$B$126)*Pricing!$D$32+Assumptions!$B$126*Pricing!$D$33))</f>
        <v/>
      </c>
      <c r="F95" s="41">
        <f>Assumptions!$B$51*F75*Assumptions!$B$177*Assumptions!$B$80/(F76*Pricing!$B$15*F41*Assumptions!$B$130*((1-Assumptions!$B$126)*Pricing!$D$32+Assumptions!$B$126*Pricing!$D$33))</f>
        <v/>
      </c>
      <c r="G95" s="41">
        <f>Assumptions!$B$51*G75*Assumptions!$B$177*Assumptions!$B$80/(G76*Pricing!$B$15*G41*Assumptions!$B$130*((1-Assumptions!$B$126)*Pricing!$D$32+Assumptions!$B$126*Pricing!$D$33))</f>
        <v/>
      </c>
      <c r="H95" s="41">
        <f>Assumptions!$B$51*H75*Assumptions!$B$177*Assumptions!$B$80/(H76*Pricing!$B$15*H41*Assumptions!$B$130*((1-Assumptions!$B$126)*Pricing!$D$32+Assumptions!$B$126*Pricing!$D$33))</f>
        <v/>
      </c>
      <c r="I95" s="41">
        <f>Assumptions!$B$51*I75*Assumptions!$B$177*Assumptions!$B$80/(I76*Pricing!$B$15*I41*Assumptions!$B$130*((1-Assumptions!$B$126)*Pricing!$D$32+Assumptions!$B$126*Pricing!$D$33))</f>
        <v/>
      </c>
      <c r="J95" s="41">
        <f>Assumptions!$B$51*J75*Assumptions!$B$177*Assumptions!$B$80/(J76*Pricing!$B$15*J41*Assumptions!$B$130*((1-Assumptions!$B$126)*Pricing!$D$32+Assumptions!$B$126*Pricing!$D$33))</f>
        <v/>
      </c>
      <c r="K95" s="41">
        <f>Assumptions!$B$51*K75*Assumptions!$B$177*Assumptions!$B$80/(K76*Pricing!$B$15*K41*Assumptions!$B$130*((1-Assumptions!$B$126)*Pricing!$D$32+Assumptions!$B$126*Pricing!$D$33))</f>
        <v/>
      </c>
      <c r="L95" s="41">
        <f>Assumptions!$B$51*L75*Assumptions!$B$177*Assumptions!$B$80/(L76*Pricing!$B$15*L41*Assumptions!$B$130*((1-Assumptions!$B$126)*Pricing!$D$32+Assumptions!$B$126*Pricing!$D$33))</f>
        <v/>
      </c>
      <c r="M95" s="41">
        <f>Assumptions!$B$51*M75*Assumptions!$B$177*Assumptions!$B$80/(M76*Pricing!$B$15*M41*Assumptions!$B$130*((1-Assumptions!$B$126)*Pricing!$D$32+Assumptions!$B$126*Pricing!$D$33))</f>
        <v/>
      </c>
      <c r="N95" s="41">
        <f>Assumptions!$B$51*N75*Assumptions!$B$177*Assumptions!$B$80/(N76*Pricing!$B$15*N41*Assumptions!$B$130*((1-Assumptions!$B$126)*Pricing!$D$32+Assumptions!$B$126*Pricing!$D$33))</f>
        <v/>
      </c>
      <c r="O95" s="41">
        <f>Assumptions!$B$51*O75*Assumptions!$B$177*Assumptions!$B$80/(O76*Pricing!$B$15*O41*Assumptions!$B$130*((1-Assumptions!$B$126)*Pricing!$D$32+Assumptions!$B$126*Pricing!$D$33))</f>
        <v/>
      </c>
      <c r="P95" s="41">
        <f>Assumptions!$B$51*P75*Assumptions!$B$177*Assumptions!$B$80/(P76*Pricing!$B$15*P41*Assumptions!$B$130*((1-Assumptions!$B$126)*Pricing!$D$32+Assumptions!$B$126*Pricing!$D$33))</f>
        <v/>
      </c>
      <c r="Q95" s="41">
        <f>Assumptions!$B$51*Q75*Assumptions!$B$177*Assumptions!$B$80/(Q76*Pricing!$B$15*Q41*Assumptions!$B$130*((1-Assumptions!$B$126)*Pricing!$D$32+Assumptions!$B$126*Pricing!$D$33))</f>
        <v/>
      </c>
      <c r="R95" s="41">
        <f>Assumptions!$B$51*R75*Assumptions!$B$177*Assumptions!$B$80/(R76*Pricing!$B$15*R41*Assumptions!$B$130*((1-Assumptions!$B$126)*Pricing!$D$32+Assumptions!$B$126*Pricing!$D$33))</f>
        <v/>
      </c>
      <c r="S95" s="41">
        <f>Assumptions!$B$51*S75*Assumptions!$B$177*Assumptions!$B$80/(S76*Pricing!$B$15*S41*Assumptions!$B$130*((1-Assumptions!$B$126)*Pricing!$D$32+Assumptions!$B$126*Pricing!$D$33))</f>
        <v/>
      </c>
      <c r="T95" s="41">
        <f>Assumptions!$B$51*T75*Assumptions!$B$177*Assumptions!$B$80/(T76*Pricing!$B$15*T41*Assumptions!$B$130*((1-Assumptions!$B$126)*Pricing!$D$32+Assumptions!$B$126*Pricing!$D$33))</f>
        <v/>
      </c>
      <c r="U95" s="41">
        <f>Assumptions!$B$51*U75*Assumptions!$B$177*Assumptions!$B$80/(U76*Pricing!$B$15*U41*Assumptions!$B$130*((1-Assumptions!$B$126)*Pricing!$D$32+Assumptions!$B$126*Pricing!$D$33))</f>
        <v/>
      </c>
      <c r="V95" s="41">
        <f>Assumptions!$B$51*V75*Assumptions!$B$177*Assumptions!$B$80/(V76*Pricing!$B$15*V41*Assumptions!$B$130*((1-Assumptions!$B$126)*Pricing!$D$32+Assumptions!$B$126*Pricing!$D$33))</f>
        <v/>
      </c>
      <c r="W95" s="41">
        <f>Assumptions!$B$51*W75*Assumptions!$B$177*Assumptions!$B$80/(W76*Pricing!$B$15*W41*Assumptions!$B$130*((1-Assumptions!$B$126)*Pricing!$D$32+Assumptions!$B$126*Pricing!$D$33))</f>
        <v/>
      </c>
      <c r="X95" s="41">
        <f>Assumptions!$B$51*X75*Assumptions!$B$177*Assumptions!$B$80/(X76*Pricing!$B$15*X41*Assumptions!$B$130*((1-Assumptions!$B$126)*Pricing!$D$32+Assumptions!$B$126*Pricing!$D$33))</f>
        <v/>
      </c>
      <c r="Y95" s="41">
        <f>Assumptions!$B$51*Y75*Assumptions!$B$177*Assumptions!$B$80/(Y76*Pricing!$B$15*Y41*Assumptions!$B$130*((1-Assumptions!$B$126)*Pricing!$D$32+Assumptions!$B$126*Pricing!$D$33))</f>
        <v/>
      </c>
      <c r="Z95" s="41">
        <f>Assumptions!$B$51*Z75*Assumptions!$B$177*Assumptions!$B$80/(Z76*Pricing!$B$15*Z41*Assumptions!$B$130*((1-Assumptions!$B$126)*Pricing!$D$32+Assumptions!$B$126*Pricing!$D$33))</f>
        <v/>
      </c>
      <c r="AA95" s="41">
        <f>Assumptions!$B$51*AA75*Assumptions!$B$177*Assumptions!$B$80/(AA76*Pricing!$B$15*AA41*Assumptions!$B$130*((1-Assumptions!$B$126)*Pricing!$D$32+Assumptions!$B$126*Pricing!$D$33))</f>
        <v/>
      </c>
      <c r="AB95" s="41">
        <f>Assumptions!$B$51*AB75*Assumptions!$B$177*Assumptions!$B$80/(AB76*Pricing!$B$15*AB41*Assumptions!$B$130*((1-Assumptions!$B$126)*Pricing!$D$32+Assumptions!$B$126*Pricing!$D$33))</f>
        <v/>
      </c>
      <c r="AC95" s="41">
        <f>Assumptions!$B$51*AC75*Assumptions!$B$177*Assumptions!$B$80/(AC76*Pricing!$B$15*AC41*Assumptions!$B$130*((1-Assumptions!$B$126)*Pricing!$D$32+Assumptions!$B$126*Pricing!$D$33))</f>
        <v/>
      </c>
      <c r="AD95" s="41">
        <f>Assumptions!$B$51*AD75*Assumptions!$B$177*Assumptions!$B$80/(AD76*Pricing!$B$15*AD41*Assumptions!$B$130*((1-Assumptions!$B$126)*Pricing!$D$32+Assumptions!$B$126*Pricing!$D$33))</f>
        <v/>
      </c>
      <c r="AE95" s="41">
        <f>Assumptions!$B$51*AE75*Assumptions!$B$177*Assumptions!$B$80/(AE76*Pricing!$B$15*AE41*Assumptions!$B$130*((1-Assumptions!$B$126)*Pricing!$D$32+Assumptions!$B$126*Pricing!$D$33))</f>
        <v/>
      </c>
      <c r="AF95" s="41">
        <f>Assumptions!$B$51*AF75*Assumptions!$B$177*Assumptions!$B$80/(AF76*Pricing!$B$15*AF41*Assumptions!$B$130*((1-Assumptions!$B$126)*Pricing!$D$32+Assumptions!$B$126*Pricing!$D$33))</f>
        <v/>
      </c>
      <c r="AG95" s="41">
        <f>Assumptions!$B$51*AG75*Assumptions!$B$177*Assumptions!$B$80/(AG76*Pricing!$B$15*AG41*Assumptions!$B$130*((1-Assumptions!$B$126)*Pricing!$D$32+Assumptions!$B$126*Pricing!$D$33))</f>
        <v/>
      </c>
      <c r="AH95" s="41">
        <f>Assumptions!$B$51*AH75*Assumptions!$B$177*Assumptions!$B$80/(AH76*Pricing!$B$15*AH41*Assumptions!$B$130*((1-Assumptions!$B$126)*Pricing!$D$32+Assumptions!$B$126*Pricing!$D$33))</f>
        <v/>
      </c>
      <c r="AI95" s="41">
        <f>Assumptions!$B$51*AI75*Assumptions!$B$177*Assumptions!$B$80/(AI76*Pricing!$B$15*AI41*Assumptions!$B$130*((1-Assumptions!$B$126)*Pricing!$D$32+Assumptions!$B$126*Pricing!$D$33))</f>
        <v/>
      </c>
      <c r="AJ95" s="41">
        <f>Assumptions!$B$51*AJ75*Assumptions!$B$177*Assumptions!$B$80/(AJ76*Pricing!$B$15*AJ41*Assumptions!$B$130*((1-Assumptions!$B$126)*Pricing!$D$32+Assumptions!$B$126*Pricing!$D$33))</f>
        <v/>
      </c>
      <c r="AK95" s="41">
        <f>Assumptions!$B$51*AK75*Assumptions!$B$177*Assumptions!$B$80/(AK76*Pricing!$B$15*AK41*Assumptions!$B$130*((1-Assumptions!$B$126)*Pricing!$D$32+Assumptions!$B$126*Pricing!$D$33))</f>
        <v/>
      </c>
      <c r="AL95" s="41">
        <f>Assumptions!$B$51*AL75*Assumptions!$B$177*Assumptions!$B$80/(AL76*Pricing!$B$15*AL41*Assumptions!$B$130*((1-Assumptions!$B$126)*Pricing!$D$32+Assumptions!$B$126*Pricing!$D$33))</f>
        <v/>
      </c>
      <c r="AM95" s="41">
        <f>Assumptions!$B$51*AM75*Assumptions!$B$177*Assumptions!$B$80/(AM76*Pricing!$B$15*AM41*Assumptions!$B$130*((1-Assumptions!$B$126)*Pricing!$D$32+Assumptions!$B$126*Pricing!$D$33))</f>
        <v/>
      </c>
      <c r="AN95" s="41">
        <f>Assumptions!$B$51*AN75*Assumptions!$B$177*Assumptions!$B$80/(AN76*Pricing!$B$15*AN41*Assumptions!$B$130*((1-Assumptions!$B$126)*Pricing!$D$32+Assumptions!$B$126*Pricing!$D$33))</f>
        <v/>
      </c>
      <c r="AO95" s="41">
        <f>Assumptions!$B$51*AO75*Assumptions!$B$177*Assumptions!$B$80/(AO76*Pricing!$B$15*AO41*Assumptions!$B$130*((1-Assumptions!$B$126)*Pricing!$D$32+Assumptions!$B$126*Pricing!$D$33))</f>
        <v/>
      </c>
      <c r="AP95" s="41">
        <f>Assumptions!$B$51*AP75*Assumptions!$B$177*Assumptions!$B$80/(AP76*Pricing!$B$15*AP41*Assumptions!$B$130*((1-Assumptions!$B$126)*Pricing!$D$32+Assumptions!$B$126*Pricing!$D$33))</f>
        <v/>
      </c>
      <c r="AQ95" s="41">
        <f>Assumptions!$B$51*AQ75*Assumptions!$B$177*Assumptions!$B$80/(AQ76*Pricing!$B$15*AQ41*Assumptions!$B$130*((1-Assumptions!$B$126)*Pricing!$D$32+Assumptions!$B$126*Pricing!$D$33))</f>
        <v/>
      </c>
      <c r="AR95" s="41">
        <f>Assumptions!$B$51*AR75*Assumptions!$B$177*Assumptions!$B$80/(AR76*Pricing!$B$15*AR41*Assumptions!$B$130*((1-Assumptions!$B$126)*Pricing!$D$32+Assumptions!$B$126*Pricing!$D$33))</f>
        <v/>
      </c>
      <c r="AS95" s="41">
        <f>Assumptions!$B$51*AS75*Assumptions!$B$177*Assumptions!$B$80/(AS76*Pricing!$B$15*AS41*Assumptions!$B$130*((1-Assumptions!$B$126)*Pricing!$D$32+Assumptions!$B$126*Pricing!$D$33))</f>
        <v/>
      </c>
      <c r="AT95" s="41">
        <f>Assumptions!$B$51*AT75*Assumptions!$B$177*Assumptions!$B$80/(AT76*Pricing!$B$15*AT41*Assumptions!$B$130*((1-Assumptions!$B$126)*Pricing!$D$32+Assumptions!$B$126*Pricing!$D$33))</f>
        <v/>
      </c>
      <c r="AU95" s="41">
        <f>Assumptions!$B$51*AU75*Assumptions!$B$177*Assumptions!$B$80/(AU76*Pricing!$B$15*AU41*Assumptions!$B$130*((1-Assumptions!$B$126)*Pricing!$D$32+Assumptions!$B$126*Pricing!$D$33))</f>
        <v/>
      </c>
      <c r="AV95" s="41">
        <f>Assumptions!$B$51*AV75*Assumptions!$B$177*Assumptions!$B$80/(AV76*Pricing!$B$15*AV41*Assumptions!$B$130*((1-Assumptions!$B$126)*Pricing!$D$32+Assumptions!$B$126*Pricing!$D$33))</f>
        <v/>
      </c>
      <c r="AW95" s="41">
        <f>Assumptions!$B$51*AW75*Assumptions!$B$177*Assumptions!$B$80/(AW76*Pricing!$B$15*AW41*Assumptions!$B$130*((1-Assumptions!$B$126)*Pricing!$D$32+Assumptions!$B$126*Pricing!$D$33))</f>
        <v/>
      </c>
      <c r="AX95" s="41">
        <f>Assumptions!$B$51*AX75*Assumptions!$B$177*Assumptions!$B$80/(AX76*Pricing!$B$15*AX41*Assumptions!$B$130*((1-Assumptions!$B$126)*Pricing!$D$32+Assumptions!$B$126*Pricing!$D$33))</f>
        <v/>
      </c>
      <c r="AY95" s="41">
        <f>Assumptions!$B$51*AY75*Assumptions!$B$177*Assumptions!$B$80/(AY76*Pricing!$B$15*AY41*Assumptions!$B$130*((1-Assumptions!$B$126)*Pricing!$D$32+Assumptions!$B$126*Pricing!$D$33))</f>
        <v/>
      </c>
      <c r="AZ95" s="41">
        <f>Assumptions!$B$51*AZ75*Assumptions!$B$177*Assumptions!$B$80/(AZ76*Pricing!$B$15*AZ41*Assumptions!$B$130*((1-Assumptions!$B$126)*Pricing!$D$32+Assumptions!$B$126*Pricing!$D$33))</f>
        <v/>
      </c>
      <c r="BA95" s="41">
        <f>Assumptions!$B$51*BA75*Assumptions!$B$177*Assumptions!$B$80/(BA76*Pricing!$B$15*BA41*Assumptions!$B$130*((1-Assumptions!$B$126)*Pricing!$D$32+Assumptions!$B$126*Pricing!$D$33))</f>
        <v/>
      </c>
      <c r="BB95" s="41">
        <f>Assumptions!$B$51*BB75*Assumptions!$B$177*Assumptions!$B$80/(BB76*Pricing!$B$15*BB41*Assumptions!$B$130*((1-Assumptions!$B$126)*Pricing!$D$32+Assumptions!$B$126*Pricing!$D$33))</f>
        <v/>
      </c>
      <c r="BC95" s="41">
        <f>Assumptions!$B$51*BC75*Assumptions!$B$177*Assumptions!$B$80/(BC76*Pricing!$B$15*BC41*Assumptions!$B$130*((1-Assumptions!$B$126)*Pricing!$D$32+Assumptions!$B$126*Pricing!$D$33))</f>
        <v/>
      </c>
      <c r="BD95" s="41">
        <f>Assumptions!$B$51*BD75*Assumptions!$B$177*Assumptions!$B$80/(BD76*Pricing!$B$15*BD41*Assumptions!$B$130*((1-Assumptions!$B$126)*Pricing!$D$32+Assumptions!$B$126*Pricing!$D$33))</f>
        <v/>
      </c>
      <c r="BE95" s="41">
        <f>Assumptions!$B$51*BE75*Assumptions!$B$177*Assumptions!$B$80/(BE76*Pricing!$B$15*BE41*Assumptions!$B$130*((1-Assumptions!$B$126)*Pricing!$D$32+Assumptions!$B$126*Pricing!$D$33))</f>
        <v/>
      </c>
      <c r="BF95" s="41">
        <f>Assumptions!$B$51*BF75*Assumptions!$B$177*Assumptions!$B$80/(BF76*Pricing!$B$15*BF41*Assumptions!$B$130*((1-Assumptions!$B$126)*Pricing!$D$32+Assumptions!$B$126*Pricing!$D$33))</f>
        <v/>
      </c>
      <c r="BG95" s="41">
        <f>Assumptions!$B$51*BG75*Assumptions!$B$177*Assumptions!$B$80/(BG76*Pricing!$B$15*BG41*Assumptions!$B$130*((1-Assumptions!$B$126)*Pricing!$D$32+Assumptions!$B$126*Pricing!$D$33))</f>
        <v/>
      </c>
      <c r="BH95" s="41">
        <f>Assumptions!$B$51*BH75*Assumptions!$B$177*Assumptions!$B$80/(BH76*Pricing!$B$15*BH41*Assumptions!$B$130*((1-Assumptions!$B$126)*Pricing!$D$32+Assumptions!$B$126*Pricing!$D$33))</f>
        <v/>
      </c>
      <c r="BI95" s="41">
        <f>Assumptions!$B$51*BI75*Assumptions!$B$177*Assumptions!$B$80/(BI76*Pricing!$B$15*BI41*Assumptions!$B$130*((1-Assumptions!$B$126)*Pricing!$D$32+Assumptions!$B$126*Pricing!$D$33))</f>
        <v/>
      </c>
      <c r="BJ95" s="41">
        <f>Assumptions!$B$51*BJ75*Assumptions!$B$177*Assumptions!$B$80/(BJ76*Pricing!$B$15*BJ41*Assumptions!$B$130*((1-Assumptions!$B$126)*Pricing!$D$32+Assumptions!$B$126*Pricing!$D$33))</f>
        <v/>
      </c>
    </row>
    <row r="96">
      <c r="A96" s="4" t="inlineStr">
        <is>
          <t>Paid acquisition allowed (payback &lt;= max), SMEs: Kenya</t>
        </is>
      </c>
      <c r="B96" s="17" t="inlineStr">
        <is>
          <t>flag</t>
        </is>
      </c>
      <c r="C96" s="10">
        <f>IF(C95&lt;=Assumptions!$B$129,1,0)</f>
        <v/>
      </c>
      <c r="D96" s="10">
        <f>IF(D95&lt;=Assumptions!$B$129,1,0)</f>
        <v/>
      </c>
      <c r="E96" s="10">
        <f>IF(E95&lt;=Assumptions!$B$129,1,0)</f>
        <v/>
      </c>
      <c r="F96" s="10">
        <f>IF(F95&lt;=Assumptions!$B$129,1,0)</f>
        <v/>
      </c>
      <c r="G96" s="10">
        <f>IF(G95&lt;=Assumptions!$B$129,1,0)</f>
        <v/>
      </c>
      <c r="H96" s="10">
        <f>IF(H95&lt;=Assumptions!$B$129,1,0)</f>
        <v/>
      </c>
      <c r="I96" s="10">
        <f>IF(I95&lt;=Assumptions!$B$129,1,0)</f>
        <v/>
      </c>
      <c r="J96" s="10">
        <f>IF(J95&lt;=Assumptions!$B$129,1,0)</f>
        <v/>
      </c>
      <c r="K96" s="10">
        <f>IF(K95&lt;=Assumptions!$B$129,1,0)</f>
        <v/>
      </c>
      <c r="L96" s="10">
        <f>IF(L95&lt;=Assumptions!$B$129,1,0)</f>
        <v/>
      </c>
      <c r="M96" s="10">
        <f>IF(M95&lt;=Assumptions!$B$129,1,0)</f>
        <v/>
      </c>
      <c r="N96" s="10">
        <f>IF(N95&lt;=Assumptions!$B$129,1,0)</f>
        <v/>
      </c>
      <c r="O96" s="10">
        <f>IF(O95&lt;=Assumptions!$B$129,1,0)</f>
        <v/>
      </c>
      <c r="P96" s="10">
        <f>IF(P95&lt;=Assumptions!$B$129,1,0)</f>
        <v/>
      </c>
      <c r="Q96" s="10">
        <f>IF(Q95&lt;=Assumptions!$B$129,1,0)</f>
        <v/>
      </c>
      <c r="R96" s="10">
        <f>IF(R95&lt;=Assumptions!$B$129,1,0)</f>
        <v/>
      </c>
      <c r="S96" s="10">
        <f>IF(S95&lt;=Assumptions!$B$129,1,0)</f>
        <v/>
      </c>
      <c r="T96" s="10">
        <f>IF(T95&lt;=Assumptions!$B$129,1,0)</f>
        <v/>
      </c>
      <c r="U96" s="10">
        <f>IF(U95&lt;=Assumptions!$B$129,1,0)</f>
        <v/>
      </c>
      <c r="V96" s="10">
        <f>IF(V95&lt;=Assumptions!$B$129,1,0)</f>
        <v/>
      </c>
      <c r="W96" s="10">
        <f>IF(W95&lt;=Assumptions!$B$129,1,0)</f>
        <v/>
      </c>
      <c r="X96" s="10">
        <f>IF(X95&lt;=Assumptions!$B$129,1,0)</f>
        <v/>
      </c>
      <c r="Y96" s="10">
        <f>IF(Y95&lt;=Assumptions!$B$129,1,0)</f>
        <v/>
      </c>
      <c r="Z96" s="10">
        <f>IF(Z95&lt;=Assumptions!$B$129,1,0)</f>
        <v/>
      </c>
      <c r="AA96" s="10">
        <f>IF(AA95&lt;=Assumptions!$B$129,1,0)</f>
        <v/>
      </c>
      <c r="AB96" s="10">
        <f>IF(AB95&lt;=Assumptions!$B$129,1,0)</f>
        <v/>
      </c>
      <c r="AC96" s="10">
        <f>IF(AC95&lt;=Assumptions!$B$129,1,0)</f>
        <v/>
      </c>
      <c r="AD96" s="10">
        <f>IF(AD95&lt;=Assumptions!$B$129,1,0)</f>
        <v/>
      </c>
      <c r="AE96" s="10">
        <f>IF(AE95&lt;=Assumptions!$B$129,1,0)</f>
        <v/>
      </c>
      <c r="AF96" s="10">
        <f>IF(AF95&lt;=Assumptions!$B$129,1,0)</f>
        <v/>
      </c>
      <c r="AG96" s="10">
        <f>IF(AG95&lt;=Assumptions!$B$129,1,0)</f>
        <v/>
      </c>
      <c r="AH96" s="10">
        <f>IF(AH95&lt;=Assumptions!$B$129,1,0)</f>
        <v/>
      </c>
      <c r="AI96" s="10">
        <f>IF(AI95&lt;=Assumptions!$B$129,1,0)</f>
        <v/>
      </c>
      <c r="AJ96" s="10">
        <f>IF(AJ95&lt;=Assumptions!$B$129,1,0)</f>
        <v/>
      </c>
      <c r="AK96" s="10">
        <f>IF(AK95&lt;=Assumptions!$B$129,1,0)</f>
        <v/>
      </c>
      <c r="AL96" s="10">
        <f>IF(AL95&lt;=Assumptions!$B$129,1,0)</f>
        <v/>
      </c>
      <c r="AM96" s="10">
        <f>IF(AM95&lt;=Assumptions!$B$129,1,0)</f>
        <v/>
      </c>
      <c r="AN96" s="10">
        <f>IF(AN95&lt;=Assumptions!$B$129,1,0)</f>
        <v/>
      </c>
      <c r="AO96" s="10">
        <f>IF(AO95&lt;=Assumptions!$B$129,1,0)</f>
        <v/>
      </c>
      <c r="AP96" s="10">
        <f>IF(AP95&lt;=Assumptions!$B$129,1,0)</f>
        <v/>
      </c>
      <c r="AQ96" s="10">
        <f>IF(AQ95&lt;=Assumptions!$B$129,1,0)</f>
        <v/>
      </c>
      <c r="AR96" s="10">
        <f>IF(AR95&lt;=Assumptions!$B$129,1,0)</f>
        <v/>
      </c>
      <c r="AS96" s="10">
        <f>IF(AS95&lt;=Assumptions!$B$129,1,0)</f>
        <v/>
      </c>
      <c r="AT96" s="10">
        <f>IF(AT95&lt;=Assumptions!$B$129,1,0)</f>
        <v/>
      </c>
      <c r="AU96" s="10">
        <f>IF(AU95&lt;=Assumptions!$B$129,1,0)</f>
        <v/>
      </c>
      <c r="AV96" s="10">
        <f>IF(AV95&lt;=Assumptions!$B$129,1,0)</f>
        <v/>
      </c>
      <c r="AW96" s="10">
        <f>IF(AW95&lt;=Assumptions!$B$129,1,0)</f>
        <v/>
      </c>
      <c r="AX96" s="10">
        <f>IF(AX95&lt;=Assumptions!$B$129,1,0)</f>
        <v/>
      </c>
      <c r="AY96" s="10">
        <f>IF(AY95&lt;=Assumptions!$B$129,1,0)</f>
        <v/>
      </c>
      <c r="AZ96" s="10">
        <f>IF(AZ95&lt;=Assumptions!$B$129,1,0)</f>
        <v/>
      </c>
      <c r="BA96" s="10">
        <f>IF(BA95&lt;=Assumptions!$B$129,1,0)</f>
        <v/>
      </c>
      <c r="BB96" s="10">
        <f>IF(BB95&lt;=Assumptions!$B$129,1,0)</f>
        <v/>
      </c>
      <c r="BC96" s="10">
        <f>IF(BC95&lt;=Assumptions!$B$129,1,0)</f>
        <v/>
      </c>
      <c r="BD96" s="10">
        <f>IF(BD95&lt;=Assumptions!$B$129,1,0)</f>
        <v/>
      </c>
      <c r="BE96" s="10">
        <f>IF(BE95&lt;=Assumptions!$B$129,1,0)</f>
        <v/>
      </c>
      <c r="BF96" s="10">
        <f>IF(BF95&lt;=Assumptions!$B$129,1,0)</f>
        <v/>
      </c>
      <c r="BG96" s="10">
        <f>IF(BG95&lt;=Assumptions!$B$129,1,0)</f>
        <v/>
      </c>
      <c r="BH96" s="10">
        <f>IF(BH95&lt;=Assumptions!$B$129,1,0)</f>
        <v/>
      </c>
      <c r="BI96" s="10">
        <f>IF(BI95&lt;=Assumptions!$B$129,1,0)</f>
        <v/>
      </c>
      <c r="BJ96" s="10">
        <f>IF(BJ95&lt;=Assumptions!$B$129,1,0)</f>
        <v/>
      </c>
    </row>
    <row r="97">
      <c r="A97" s="4" t="inlineStr">
        <is>
          <t>CAC payback, SMEs: Ghana</t>
        </is>
      </c>
      <c r="B97" s="17" t="inlineStr">
        <is>
          <t>months</t>
        </is>
      </c>
      <c r="C97" s="41">
        <f>Assumptions!$B$51*C75*Assumptions!$B$177*Assumptions!$B$90/(C76*Pricing!$B$15*C44*Assumptions!$B$130*((1-Assumptions!$B$126)*Pricing!$E$32+Assumptions!$B$126*Pricing!$E$33))</f>
        <v/>
      </c>
      <c r="D97" s="41">
        <f>Assumptions!$B$51*D75*Assumptions!$B$177*Assumptions!$B$90/(D76*Pricing!$B$15*D44*Assumptions!$B$130*((1-Assumptions!$B$126)*Pricing!$E$32+Assumptions!$B$126*Pricing!$E$33))</f>
        <v/>
      </c>
      <c r="E97" s="41">
        <f>Assumptions!$B$51*E75*Assumptions!$B$177*Assumptions!$B$90/(E76*Pricing!$B$15*E44*Assumptions!$B$130*((1-Assumptions!$B$126)*Pricing!$E$32+Assumptions!$B$126*Pricing!$E$33))</f>
        <v/>
      </c>
      <c r="F97" s="41">
        <f>Assumptions!$B$51*F75*Assumptions!$B$177*Assumptions!$B$90/(F76*Pricing!$B$15*F44*Assumptions!$B$130*((1-Assumptions!$B$126)*Pricing!$E$32+Assumptions!$B$126*Pricing!$E$33))</f>
        <v/>
      </c>
      <c r="G97" s="41">
        <f>Assumptions!$B$51*G75*Assumptions!$B$177*Assumptions!$B$90/(G76*Pricing!$B$15*G44*Assumptions!$B$130*((1-Assumptions!$B$126)*Pricing!$E$32+Assumptions!$B$126*Pricing!$E$33))</f>
        <v/>
      </c>
      <c r="H97" s="41">
        <f>Assumptions!$B$51*H75*Assumptions!$B$177*Assumptions!$B$90/(H76*Pricing!$B$15*H44*Assumptions!$B$130*((1-Assumptions!$B$126)*Pricing!$E$32+Assumptions!$B$126*Pricing!$E$33))</f>
        <v/>
      </c>
      <c r="I97" s="41">
        <f>Assumptions!$B$51*I75*Assumptions!$B$177*Assumptions!$B$90/(I76*Pricing!$B$15*I44*Assumptions!$B$130*((1-Assumptions!$B$126)*Pricing!$E$32+Assumptions!$B$126*Pricing!$E$33))</f>
        <v/>
      </c>
      <c r="J97" s="41">
        <f>Assumptions!$B$51*J75*Assumptions!$B$177*Assumptions!$B$90/(J76*Pricing!$B$15*J44*Assumptions!$B$130*((1-Assumptions!$B$126)*Pricing!$E$32+Assumptions!$B$126*Pricing!$E$33))</f>
        <v/>
      </c>
      <c r="K97" s="41">
        <f>Assumptions!$B$51*K75*Assumptions!$B$177*Assumptions!$B$90/(K76*Pricing!$B$15*K44*Assumptions!$B$130*((1-Assumptions!$B$126)*Pricing!$E$32+Assumptions!$B$126*Pricing!$E$33))</f>
        <v/>
      </c>
      <c r="L97" s="41">
        <f>Assumptions!$B$51*L75*Assumptions!$B$177*Assumptions!$B$90/(L76*Pricing!$B$15*L44*Assumptions!$B$130*((1-Assumptions!$B$126)*Pricing!$E$32+Assumptions!$B$126*Pricing!$E$33))</f>
        <v/>
      </c>
      <c r="M97" s="41">
        <f>Assumptions!$B$51*M75*Assumptions!$B$177*Assumptions!$B$90/(M76*Pricing!$B$15*M44*Assumptions!$B$130*((1-Assumptions!$B$126)*Pricing!$E$32+Assumptions!$B$126*Pricing!$E$33))</f>
        <v/>
      </c>
      <c r="N97" s="41">
        <f>Assumptions!$B$51*N75*Assumptions!$B$177*Assumptions!$B$90/(N76*Pricing!$B$15*N44*Assumptions!$B$130*((1-Assumptions!$B$126)*Pricing!$E$32+Assumptions!$B$126*Pricing!$E$33))</f>
        <v/>
      </c>
      <c r="O97" s="41">
        <f>Assumptions!$B$51*O75*Assumptions!$B$177*Assumptions!$B$90/(O76*Pricing!$B$15*O44*Assumptions!$B$130*((1-Assumptions!$B$126)*Pricing!$E$32+Assumptions!$B$126*Pricing!$E$33))</f>
        <v/>
      </c>
      <c r="P97" s="41">
        <f>Assumptions!$B$51*P75*Assumptions!$B$177*Assumptions!$B$90/(P76*Pricing!$B$15*P44*Assumptions!$B$130*((1-Assumptions!$B$126)*Pricing!$E$32+Assumptions!$B$126*Pricing!$E$33))</f>
        <v/>
      </c>
      <c r="Q97" s="41">
        <f>Assumptions!$B$51*Q75*Assumptions!$B$177*Assumptions!$B$90/(Q76*Pricing!$B$15*Q44*Assumptions!$B$130*((1-Assumptions!$B$126)*Pricing!$E$32+Assumptions!$B$126*Pricing!$E$33))</f>
        <v/>
      </c>
      <c r="R97" s="41">
        <f>Assumptions!$B$51*R75*Assumptions!$B$177*Assumptions!$B$90/(R76*Pricing!$B$15*R44*Assumptions!$B$130*((1-Assumptions!$B$126)*Pricing!$E$32+Assumptions!$B$126*Pricing!$E$33))</f>
        <v/>
      </c>
      <c r="S97" s="41">
        <f>Assumptions!$B$51*S75*Assumptions!$B$177*Assumptions!$B$90/(S76*Pricing!$B$15*S44*Assumptions!$B$130*((1-Assumptions!$B$126)*Pricing!$E$32+Assumptions!$B$126*Pricing!$E$33))</f>
        <v/>
      </c>
      <c r="T97" s="41">
        <f>Assumptions!$B$51*T75*Assumptions!$B$177*Assumptions!$B$90/(T76*Pricing!$B$15*T44*Assumptions!$B$130*((1-Assumptions!$B$126)*Pricing!$E$32+Assumptions!$B$126*Pricing!$E$33))</f>
        <v/>
      </c>
      <c r="U97" s="41">
        <f>Assumptions!$B$51*U75*Assumptions!$B$177*Assumptions!$B$90/(U76*Pricing!$B$15*U44*Assumptions!$B$130*((1-Assumptions!$B$126)*Pricing!$E$32+Assumptions!$B$126*Pricing!$E$33))</f>
        <v/>
      </c>
      <c r="V97" s="41">
        <f>Assumptions!$B$51*V75*Assumptions!$B$177*Assumptions!$B$90/(V76*Pricing!$B$15*V44*Assumptions!$B$130*((1-Assumptions!$B$126)*Pricing!$E$32+Assumptions!$B$126*Pricing!$E$33))</f>
        <v/>
      </c>
      <c r="W97" s="41">
        <f>Assumptions!$B$51*W75*Assumptions!$B$177*Assumptions!$B$90/(W76*Pricing!$B$15*W44*Assumptions!$B$130*((1-Assumptions!$B$126)*Pricing!$E$32+Assumptions!$B$126*Pricing!$E$33))</f>
        <v/>
      </c>
      <c r="X97" s="41">
        <f>Assumptions!$B$51*X75*Assumptions!$B$177*Assumptions!$B$90/(X76*Pricing!$B$15*X44*Assumptions!$B$130*((1-Assumptions!$B$126)*Pricing!$E$32+Assumptions!$B$126*Pricing!$E$33))</f>
        <v/>
      </c>
      <c r="Y97" s="41">
        <f>Assumptions!$B$51*Y75*Assumptions!$B$177*Assumptions!$B$90/(Y76*Pricing!$B$15*Y44*Assumptions!$B$130*((1-Assumptions!$B$126)*Pricing!$E$32+Assumptions!$B$126*Pricing!$E$33))</f>
        <v/>
      </c>
      <c r="Z97" s="41">
        <f>Assumptions!$B$51*Z75*Assumptions!$B$177*Assumptions!$B$90/(Z76*Pricing!$B$15*Z44*Assumptions!$B$130*((1-Assumptions!$B$126)*Pricing!$E$32+Assumptions!$B$126*Pricing!$E$33))</f>
        <v/>
      </c>
      <c r="AA97" s="41">
        <f>Assumptions!$B$51*AA75*Assumptions!$B$177*Assumptions!$B$90/(AA76*Pricing!$B$15*AA44*Assumptions!$B$130*((1-Assumptions!$B$126)*Pricing!$E$32+Assumptions!$B$126*Pricing!$E$33))</f>
        <v/>
      </c>
      <c r="AB97" s="41">
        <f>Assumptions!$B$51*AB75*Assumptions!$B$177*Assumptions!$B$90/(AB76*Pricing!$B$15*AB44*Assumptions!$B$130*((1-Assumptions!$B$126)*Pricing!$E$32+Assumptions!$B$126*Pricing!$E$33))</f>
        <v/>
      </c>
      <c r="AC97" s="41">
        <f>Assumptions!$B$51*AC75*Assumptions!$B$177*Assumptions!$B$90/(AC76*Pricing!$B$15*AC44*Assumptions!$B$130*((1-Assumptions!$B$126)*Pricing!$E$32+Assumptions!$B$126*Pricing!$E$33))</f>
        <v/>
      </c>
      <c r="AD97" s="41">
        <f>Assumptions!$B$51*AD75*Assumptions!$B$177*Assumptions!$B$90/(AD76*Pricing!$B$15*AD44*Assumptions!$B$130*((1-Assumptions!$B$126)*Pricing!$E$32+Assumptions!$B$126*Pricing!$E$33))</f>
        <v/>
      </c>
      <c r="AE97" s="41">
        <f>Assumptions!$B$51*AE75*Assumptions!$B$177*Assumptions!$B$90/(AE76*Pricing!$B$15*AE44*Assumptions!$B$130*((1-Assumptions!$B$126)*Pricing!$E$32+Assumptions!$B$126*Pricing!$E$33))</f>
        <v/>
      </c>
      <c r="AF97" s="41">
        <f>Assumptions!$B$51*AF75*Assumptions!$B$177*Assumptions!$B$90/(AF76*Pricing!$B$15*AF44*Assumptions!$B$130*((1-Assumptions!$B$126)*Pricing!$E$32+Assumptions!$B$126*Pricing!$E$33))</f>
        <v/>
      </c>
      <c r="AG97" s="41">
        <f>Assumptions!$B$51*AG75*Assumptions!$B$177*Assumptions!$B$90/(AG76*Pricing!$B$15*AG44*Assumptions!$B$130*((1-Assumptions!$B$126)*Pricing!$E$32+Assumptions!$B$126*Pricing!$E$33))</f>
        <v/>
      </c>
      <c r="AH97" s="41">
        <f>Assumptions!$B$51*AH75*Assumptions!$B$177*Assumptions!$B$90/(AH76*Pricing!$B$15*AH44*Assumptions!$B$130*((1-Assumptions!$B$126)*Pricing!$E$32+Assumptions!$B$126*Pricing!$E$33))</f>
        <v/>
      </c>
      <c r="AI97" s="41">
        <f>Assumptions!$B$51*AI75*Assumptions!$B$177*Assumptions!$B$90/(AI76*Pricing!$B$15*AI44*Assumptions!$B$130*((1-Assumptions!$B$126)*Pricing!$E$32+Assumptions!$B$126*Pricing!$E$33))</f>
        <v/>
      </c>
      <c r="AJ97" s="41">
        <f>Assumptions!$B$51*AJ75*Assumptions!$B$177*Assumptions!$B$90/(AJ76*Pricing!$B$15*AJ44*Assumptions!$B$130*((1-Assumptions!$B$126)*Pricing!$E$32+Assumptions!$B$126*Pricing!$E$33))</f>
        <v/>
      </c>
      <c r="AK97" s="41">
        <f>Assumptions!$B$51*AK75*Assumptions!$B$177*Assumptions!$B$90/(AK76*Pricing!$B$15*AK44*Assumptions!$B$130*((1-Assumptions!$B$126)*Pricing!$E$32+Assumptions!$B$126*Pricing!$E$33))</f>
        <v/>
      </c>
      <c r="AL97" s="41">
        <f>Assumptions!$B$51*AL75*Assumptions!$B$177*Assumptions!$B$90/(AL76*Pricing!$B$15*AL44*Assumptions!$B$130*((1-Assumptions!$B$126)*Pricing!$E$32+Assumptions!$B$126*Pricing!$E$33))</f>
        <v/>
      </c>
      <c r="AM97" s="41">
        <f>Assumptions!$B$51*AM75*Assumptions!$B$177*Assumptions!$B$90/(AM76*Pricing!$B$15*AM44*Assumptions!$B$130*((1-Assumptions!$B$126)*Pricing!$E$32+Assumptions!$B$126*Pricing!$E$33))</f>
        <v/>
      </c>
      <c r="AN97" s="41">
        <f>Assumptions!$B$51*AN75*Assumptions!$B$177*Assumptions!$B$90/(AN76*Pricing!$B$15*AN44*Assumptions!$B$130*((1-Assumptions!$B$126)*Pricing!$E$32+Assumptions!$B$126*Pricing!$E$33))</f>
        <v/>
      </c>
      <c r="AO97" s="41">
        <f>Assumptions!$B$51*AO75*Assumptions!$B$177*Assumptions!$B$90/(AO76*Pricing!$B$15*AO44*Assumptions!$B$130*((1-Assumptions!$B$126)*Pricing!$E$32+Assumptions!$B$126*Pricing!$E$33))</f>
        <v/>
      </c>
      <c r="AP97" s="41">
        <f>Assumptions!$B$51*AP75*Assumptions!$B$177*Assumptions!$B$90/(AP76*Pricing!$B$15*AP44*Assumptions!$B$130*((1-Assumptions!$B$126)*Pricing!$E$32+Assumptions!$B$126*Pricing!$E$33))</f>
        <v/>
      </c>
      <c r="AQ97" s="41">
        <f>Assumptions!$B$51*AQ75*Assumptions!$B$177*Assumptions!$B$90/(AQ76*Pricing!$B$15*AQ44*Assumptions!$B$130*((1-Assumptions!$B$126)*Pricing!$E$32+Assumptions!$B$126*Pricing!$E$33))</f>
        <v/>
      </c>
      <c r="AR97" s="41">
        <f>Assumptions!$B$51*AR75*Assumptions!$B$177*Assumptions!$B$90/(AR76*Pricing!$B$15*AR44*Assumptions!$B$130*((1-Assumptions!$B$126)*Pricing!$E$32+Assumptions!$B$126*Pricing!$E$33))</f>
        <v/>
      </c>
      <c r="AS97" s="41">
        <f>Assumptions!$B$51*AS75*Assumptions!$B$177*Assumptions!$B$90/(AS76*Pricing!$B$15*AS44*Assumptions!$B$130*((1-Assumptions!$B$126)*Pricing!$E$32+Assumptions!$B$126*Pricing!$E$33))</f>
        <v/>
      </c>
      <c r="AT97" s="41">
        <f>Assumptions!$B$51*AT75*Assumptions!$B$177*Assumptions!$B$90/(AT76*Pricing!$B$15*AT44*Assumptions!$B$130*((1-Assumptions!$B$126)*Pricing!$E$32+Assumptions!$B$126*Pricing!$E$33))</f>
        <v/>
      </c>
      <c r="AU97" s="41">
        <f>Assumptions!$B$51*AU75*Assumptions!$B$177*Assumptions!$B$90/(AU76*Pricing!$B$15*AU44*Assumptions!$B$130*((1-Assumptions!$B$126)*Pricing!$E$32+Assumptions!$B$126*Pricing!$E$33))</f>
        <v/>
      </c>
      <c r="AV97" s="41">
        <f>Assumptions!$B$51*AV75*Assumptions!$B$177*Assumptions!$B$90/(AV76*Pricing!$B$15*AV44*Assumptions!$B$130*((1-Assumptions!$B$126)*Pricing!$E$32+Assumptions!$B$126*Pricing!$E$33))</f>
        <v/>
      </c>
      <c r="AW97" s="41">
        <f>Assumptions!$B$51*AW75*Assumptions!$B$177*Assumptions!$B$90/(AW76*Pricing!$B$15*AW44*Assumptions!$B$130*((1-Assumptions!$B$126)*Pricing!$E$32+Assumptions!$B$126*Pricing!$E$33))</f>
        <v/>
      </c>
      <c r="AX97" s="41">
        <f>Assumptions!$B$51*AX75*Assumptions!$B$177*Assumptions!$B$90/(AX76*Pricing!$B$15*AX44*Assumptions!$B$130*((1-Assumptions!$B$126)*Pricing!$E$32+Assumptions!$B$126*Pricing!$E$33))</f>
        <v/>
      </c>
      <c r="AY97" s="41">
        <f>Assumptions!$B$51*AY75*Assumptions!$B$177*Assumptions!$B$90/(AY76*Pricing!$B$15*AY44*Assumptions!$B$130*((1-Assumptions!$B$126)*Pricing!$E$32+Assumptions!$B$126*Pricing!$E$33))</f>
        <v/>
      </c>
      <c r="AZ97" s="41">
        <f>Assumptions!$B$51*AZ75*Assumptions!$B$177*Assumptions!$B$90/(AZ76*Pricing!$B$15*AZ44*Assumptions!$B$130*((1-Assumptions!$B$126)*Pricing!$E$32+Assumptions!$B$126*Pricing!$E$33))</f>
        <v/>
      </c>
      <c r="BA97" s="41">
        <f>Assumptions!$B$51*BA75*Assumptions!$B$177*Assumptions!$B$90/(BA76*Pricing!$B$15*BA44*Assumptions!$B$130*((1-Assumptions!$B$126)*Pricing!$E$32+Assumptions!$B$126*Pricing!$E$33))</f>
        <v/>
      </c>
      <c r="BB97" s="41">
        <f>Assumptions!$B$51*BB75*Assumptions!$B$177*Assumptions!$B$90/(BB76*Pricing!$B$15*BB44*Assumptions!$B$130*((1-Assumptions!$B$126)*Pricing!$E$32+Assumptions!$B$126*Pricing!$E$33))</f>
        <v/>
      </c>
      <c r="BC97" s="41">
        <f>Assumptions!$B$51*BC75*Assumptions!$B$177*Assumptions!$B$90/(BC76*Pricing!$B$15*BC44*Assumptions!$B$130*((1-Assumptions!$B$126)*Pricing!$E$32+Assumptions!$B$126*Pricing!$E$33))</f>
        <v/>
      </c>
      <c r="BD97" s="41">
        <f>Assumptions!$B$51*BD75*Assumptions!$B$177*Assumptions!$B$90/(BD76*Pricing!$B$15*BD44*Assumptions!$B$130*((1-Assumptions!$B$126)*Pricing!$E$32+Assumptions!$B$126*Pricing!$E$33))</f>
        <v/>
      </c>
      <c r="BE97" s="41">
        <f>Assumptions!$B$51*BE75*Assumptions!$B$177*Assumptions!$B$90/(BE76*Pricing!$B$15*BE44*Assumptions!$B$130*((1-Assumptions!$B$126)*Pricing!$E$32+Assumptions!$B$126*Pricing!$E$33))</f>
        <v/>
      </c>
      <c r="BF97" s="41">
        <f>Assumptions!$B$51*BF75*Assumptions!$B$177*Assumptions!$B$90/(BF76*Pricing!$B$15*BF44*Assumptions!$B$130*((1-Assumptions!$B$126)*Pricing!$E$32+Assumptions!$B$126*Pricing!$E$33))</f>
        <v/>
      </c>
      <c r="BG97" s="41">
        <f>Assumptions!$B$51*BG75*Assumptions!$B$177*Assumptions!$B$90/(BG76*Pricing!$B$15*BG44*Assumptions!$B$130*((1-Assumptions!$B$126)*Pricing!$E$32+Assumptions!$B$126*Pricing!$E$33))</f>
        <v/>
      </c>
      <c r="BH97" s="41">
        <f>Assumptions!$B$51*BH75*Assumptions!$B$177*Assumptions!$B$90/(BH76*Pricing!$B$15*BH44*Assumptions!$B$130*((1-Assumptions!$B$126)*Pricing!$E$32+Assumptions!$B$126*Pricing!$E$33))</f>
        <v/>
      </c>
      <c r="BI97" s="41">
        <f>Assumptions!$B$51*BI75*Assumptions!$B$177*Assumptions!$B$90/(BI76*Pricing!$B$15*BI44*Assumptions!$B$130*((1-Assumptions!$B$126)*Pricing!$E$32+Assumptions!$B$126*Pricing!$E$33))</f>
        <v/>
      </c>
      <c r="BJ97" s="41">
        <f>Assumptions!$B$51*BJ75*Assumptions!$B$177*Assumptions!$B$90/(BJ76*Pricing!$B$15*BJ44*Assumptions!$B$130*((1-Assumptions!$B$126)*Pricing!$E$32+Assumptions!$B$126*Pricing!$E$33))</f>
        <v/>
      </c>
    </row>
    <row r="98">
      <c r="A98" s="4" t="inlineStr">
        <is>
          <t>Paid acquisition allowed (payback &lt;= max), SMEs: Ghana</t>
        </is>
      </c>
      <c r="B98" s="17" t="inlineStr">
        <is>
          <t>flag</t>
        </is>
      </c>
      <c r="C98" s="10">
        <f>IF(C97&lt;=Assumptions!$B$129,1,0)</f>
        <v/>
      </c>
      <c r="D98" s="10">
        <f>IF(D97&lt;=Assumptions!$B$129,1,0)</f>
        <v/>
      </c>
      <c r="E98" s="10">
        <f>IF(E97&lt;=Assumptions!$B$129,1,0)</f>
        <v/>
      </c>
      <c r="F98" s="10">
        <f>IF(F97&lt;=Assumptions!$B$129,1,0)</f>
        <v/>
      </c>
      <c r="G98" s="10">
        <f>IF(G97&lt;=Assumptions!$B$129,1,0)</f>
        <v/>
      </c>
      <c r="H98" s="10">
        <f>IF(H97&lt;=Assumptions!$B$129,1,0)</f>
        <v/>
      </c>
      <c r="I98" s="10">
        <f>IF(I97&lt;=Assumptions!$B$129,1,0)</f>
        <v/>
      </c>
      <c r="J98" s="10">
        <f>IF(J97&lt;=Assumptions!$B$129,1,0)</f>
        <v/>
      </c>
      <c r="K98" s="10">
        <f>IF(K97&lt;=Assumptions!$B$129,1,0)</f>
        <v/>
      </c>
      <c r="L98" s="10">
        <f>IF(L97&lt;=Assumptions!$B$129,1,0)</f>
        <v/>
      </c>
      <c r="M98" s="10">
        <f>IF(M97&lt;=Assumptions!$B$129,1,0)</f>
        <v/>
      </c>
      <c r="N98" s="10">
        <f>IF(N97&lt;=Assumptions!$B$129,1,0)</f>
        <v/>
      </c>
      <c r="O98" s="10">
        <f>IF(O97&lt;=Assumptions!$B$129,1,0)</f>
        <v/>
      </c>
      <c r="P98" s="10">
        <f>IF(P97&lt;=Assumptions!$B$129,1,0)</f>
        <v/>
      </c>
      <c r="Q98" s="10">
        <f>IF(Q97&lt;=Assumptions!$B$129,1,0)</f>
        <v/>
      </c>
      <c r="R98" s="10">
        <f>IF(R97&lt;=Assumptions!$B$129,1,0)</f>
        <v/>
      </c>
      <c r="S98" s="10">
        <f>IF(S97&lt;=Assumptions!$B$129,1,0)</f>
        <v/>
      </c>
      <c r="T98" s="10">
        <f>IF(T97&lt;=Assumptions!$B$129,1,0)</f>
        <v/>
      </c>
      <c r="U98" s="10">
        <f>IF(U97&lt;=Assumptions!$B$129,1,0)</f>
        <v/>
      </c>
      <c r="V98" s="10">
        <f>IF(V97&lt;=Assumptions!$B$129,1,0)</f>
        <v/>
      </c>
      <c r="W98" s="10">
        <f>IF(W97&lt;=Assumptions!$B$129,1,0)</f>
        <v/>
      </c>
      <c r="X98" s="10">
        <f>IF(X97&lt;=Assumptions!$B$129,1,0)</f>
        <v/>
      </c>
      <c r="Y98" s="10">
        <f>IF(Y97&lt;=Assumptions!$B$129,1,0)</f>
        <v/>
      </c>
      <c r="Z98" s="10">
        <f>IF(Z97&lt;=Assumptions!$B$129,1,0)</f>
        <v/>
      </c>
      <c r="AA98" s="10">
        <f>IF(AA97&lt;=Assumptions!$B$129,1,0)</f>
        <v/>
      </c>
      <c r="AB98" s="10">
        <f>IF(AB97&lt;=Assumptions!$B$129,1,0)</f>
        <v/>
      </c>
      <c r="AC98" s="10">
        <f>IF(AC97&lt;=Assumptions!$B$129,1,0)</f>
        <v/>
      </c>
      <c r="AD98" s="10">
        <f>IF(AD97&lt;=Assumptions!$B$129,1,0)</f>
        <v/>
      </c>
      <c r="AE98" s="10">
        <f>IF(AE97&lt;=Assumptions!$B$129,1,0)</f>
        <v/>
      </c>
      <c r="AF98" s="10">
        <f>IF(AF97&lt;=Assumptions!$B$129,1,0)</f>
        <v/>
      </c>
      <c r="AG98" s="10">
        <f>IF(AG97&lt;=Assumptions!$B$129,1,0)</f>
        <v/>
      </c>
      <c r="AH98" s="10">
        <f>IF(AH97&lt;=Assumptions!$B$129,1,0)</f>
        <v/>
      </c>
      <c r="AI98" s="10">
        <f>IF(AI97&lt;=Assumptions!$B$129,1,0)</f>
        <v/>
      </c>
      <c r="AJ98" s="10">
        <f>IF(AJ97&lt;=Assumptions!$B$129,1,0)</f>
        <v/>
      </c>
      <c r="AK98" s="10">
        <f>IF(AK97&lt;=Assumptions!$B$129,1,0)</f>
        <v/>
      </c>
      <c r="AL98" s="10">
        <f>IF(AL97&lt;=Assumptions!$B$129,1,0)</f>
        <v/>
      </c>
      <c r="AM98" s="10">
        <f>IF(AM97&lt;=Assumptions!$B$129,1,0)</f>
        <v/>
      </c>
      <c r="AN98" s="10">
        <f>IF(AN97&lt;=Assumptions!$B$129,1,0)</f>
        <v/>
      </c>
      <c r="AO98" s="10">
        <f>IF(AO97&lt;=Assumptions!$B$129,1,0)</f>
        <v/>
      </c>
      <c r="AP98" s="10">
        <f>IF(AP97&lt;=Assumptions!$B$129,1,0)</f>
        <v/>
      </c>
      <c r="AQ98" s="10">
        <f>IF(AQ97&lt;=Assumptions!$B$129,1,0)</f>
        <v/>
      </c>
      <c r="AR98" s="10">
        <f>IF(AR97&lt;=Assumptions!$B$129,1,0)</f>
        <v/>
      </c>
      <c r="AS98" s="10">
        <f>IF(AS97&lt;=Assumptions!$B$129,1,0)</f>
        <v/>
      </c>
      <c r="AT98" s="10">
        <f>IF(AT97&lt;=Assumptions!$B$129,1,0)</f>
        <v/>
      </c>
      <c r="AU98" s="10">
        <f>IF(AU97&lt;=Assumptions!$B$129,1,0)</f>
        <v/>
      </c>
      <c r="AV98" s="10">
        <f>IF(AV97&lt;=Assumptions!$B$129,1,0)</f>
        <v/>
      </c>
      <c r="AW98" s="10">
        <f>IF(AW97&lt;=Assumptions!$B$129,1,0)</f>
        <v/>
      </c>
      <c r="AX98" s="10">
        <f>IF(AX97&lt;=Assumptions!$B$129,1,0)</f>
        <v/>
      </c>
      <c r="AY98" s="10">
        <f>IF(AY97&lt;=Assumptions!$B$129,1,0)</f>
        <v/>
      </c>
      <c r="AZ98" s="10">
        <f>IF(AZ97&lt;=Assumptions!$B$129,1,0)</f>
        <v/>
      </c>
      <c r="BA98" s="10">
        <f>IF(BA97&lt;=Assumptions!$B$129,1,0)</f>
        <v/>
      </c>
      <c r="BB98" s="10">
        <f>IF(BB97&lt;=Assumptions!$B$129,1,0)</f>
        <v/>
      </c>
      <c r="BC98" s="10">
        <f>IF(BC97&lt;=Assumptions!$B$129,1,0)</f>
        <v/>
      </c>
      <c r="BD98" s="10">
        <f>IF(BD97&lt;=Assumptions!$B$129,1,0)</f>
        <v/>
      </c>
      <c r="BE98" s="10">
        <f>IF(BE97&lt;=Assumptions!$B$129,1,0)</f>
        <v/>
      </c>
      <c r="BF98" s="10">
        <f>IF(BF97&lt;=Assumptions!$B$129,1,0)</f>
        <v/>
      </c>
      <c r="BG98" s="10">
        <f>IF(BG97&lt;=Assumptions!$B$129,1,0)</f>
        <v/>
      </c>
      <c r="BH98" s="10">
        <f>IF(BH97&lt;=Assumptions!$B$129,1,0)</f>
        <v/>
      </c>
      <c r="BI98" s="10">
        <f>IF(BI97&lt;=Assumptions!$B$129,1,0)</f>
        <v/>
      </c>
      <c r="BJ98" s="10">
        <f>IF(BJ97&lt;=Assumptions!$B$129,1,0)</f>
        <v/>
      </c>
    </row>
    <row r="99">
      <c r="A99" s="4" t="inlineStr">
        <is>
          <t>CAC payback, SMEs: Rest of Africa (USD)</t>
        </is>
      </c>
      <c r="B99" s="17" t="inlineStr">
        <is>
          <t>months</t>
        </is>
      </c>
      <c r="C99" s="41">
        <f>Assumptions!$B$51*C75*Assumptions!$B$177*Assumptions!$B$100/(C76*Pricing!$B$15*C47*Assumptions!$B$130*((1-Assumptions!$B$126)*Pricing!$F$32+Assumptions!$B$126*Pricing!$F$33))</f>
        <v/>
      </c>
      <c r="D99" s="41">
        <f>Assumptions!$B$51*D75*Assumptions!$B$177*Assumptions!$B$100/(D76*Pricing!$B$15*D47*Assumptions!$B$130*((1-Assumptions!$B$126)*Pricing!$F$32+Assumptions!$B$126*Pricing!$F$33))</f>
        <v/>
      </c>
      <c r="E99" s="41">
        <f>Assumptions!$B$51*E75*Assumptions!$B$177*Assumptions!$B$100/(E76*Pricing!$B$15*E47*Assumptions!$B$130*((1-Assumptions!$B$126)*Pricing!$F$32+Assumptions!$B$126*Pricing!$F$33))</f>
        <v/>
      </c>
      <c r="F99" s="41">
        <f>Assumptions!$B$51*F75*Assumptions!$B$177*Assumptions!$B$100/(F76*Pricing!$B$15*F47*Assumptions!$B$130*((1-Assumptions!$B$126)*Pricing!$F$32+Assumptions!$B$126*Pricing!$F$33))</f>
        <v/>
      </c>
      <c r="G99" s="41">
        <f>Assumptions!$B$51*G75*Assumptions!$B$177*Assumptions!$B$100/(G76*Pricing!$B$15*G47*Assumptions!$B$130*((1-Assumptions!$B$126)*Pricing!$F$32+Assumptions!$B$126*Pricing!$F$33))</f>
        <v/>
      </c>
      <c r="H99" s="41">
        <f>Assumptions!$B$51*H75*Assumptions!$B$177*Assumptions!$B$100/(H76*Pricing!$B$15*H47*Assumptions!$B$130*((1-Assumptions!$B$126)*Pricing!$F$32+Assumptions!$B$126*Pricing!$F$33))</f>
        <v/>
      </c>
      <c r="I99" s="41">
        <f>Assumptions!$B$51*I75*Assumptions!$B$177*Assumptions!$B$100/(I76*Pricing!$B$15*I47*Assumptions!$B$130*((1-Assumptions!$B$126)*Pricing!$F$32+Assumptions!$B$126*Pricing!$F$33))</f>
        <v/>
      </c>
      <c r="J99" s="41">
        <f>Assumptions!$B$51*J75*Assumptions!$B$177*Assumptions!$B$100/(J76*Pricing!$B$15*J47*Assumptions!$B$130*((1-Assumptions!$B$126)*Pricing!$F$32+Assumptions!$B$126*Pricing!$F$33))</f>
        <v/>
      </c>
      <c r="K99" s="41">
        <f>Assumptions!$B$51*K75*Assumptions!$B$177*Assumptions!$B$100/(K76*Pricing!$B$15*K47*Assumptions!$B$130*((1-Assumptions!$B$126)*Pricing!$F$32+Assumptions!$B$126*Pricing!$F$33))</f>
        <v/>
      </c>
      <c r="L99" s="41">
        <f>Assumptions!$B$51*L75*Assumptions!$B$177*Assumptions!$B$100/(L76*Pricing!$B$15*L47*Assumptions!$B$130*((1-Assumptions!$B$126)*Pricing!$F$32+Assumptions!$B$126*Pricing!$F$33))</f>
        <v/>
      </c>
      <c r="M99" s="41">
        <f>Assumptions!$B$51*M75*Assumptions!$B$177*Assumptions!$B$100/(M76*Pricing!$B$15*M47*Assumptions!$B$130*((1-Assumptions!$B$126)*Pricing!$F$32+Assumptions!$B$126*Pricing!$F$33))</f>
        <v/>
      </c>
      <c r="N99" s="41">
        <f>Assumptions!$B$51*N75*Assumptions!$B$177*Assumptions!$B$100/(N76*Pricing!$B$15*N47*Assumptions!$B$130*((1-Assumptions!$B$126)*Pricing!$F$32+Assumptions!$B$126*Pricing!$F$33))</f>
        <v/>
      </c>
      <c r="O99" s="41">
        <f>Assumptions!$B$51*O75*Assumptions!$B$177*Assumptions!$B$100/(O76*Pricing!$B$15*O47*Assumptions!$B$130*((1-Assumptions!$B$126)*Pricing!$F$32+Assumptions!$B$126*Pricing!$F$33))</f>
        <v/>
      </c>
      <c r="P99" s="41">
        <f>Assumptions!$B$51*P75*Assumptions!$B$177*Assumptions!$B$100/(P76*Pricing!$B$15*P47*Assumptions!$B$130*((1-Assumptions!$B$126)*Pricing!$F$32+Assumptions!$B$126*Pricing!$F$33))</f>
        <v/>
      </c>
      <c r="Q99" s="41">
        <f>Assumptions!$B$51*Q75*Assumptions!$B$177*Assumptions!$B$100/(Q76*Pricing!$B$15*Q47*Assumptions!$B$130*((1-Assumptions!$B$126)*Pricing!$F$32+Assumptions!$B$126*Pricing!$F$33))</f>
        <v/>
      </c>
      <c r="R99" s="41">
        <f>Assumptions!$B$51*R75*Assumptions!$B$177*Assumptions!$B$100/(R76*Pricing!$B$15*R47*Assumptions!$B$130*((1-Assumptions!$B$126)*Pricing!$F$32+Assumptions!$B$126*Pricing!$F$33))</f>
        <v/>
      </c>
      <c r="S99" s="41">
        <f>Assumptions!$B$51*S75*Assumptions!$B$177*Assumptions!$B$100/(S76*Pricing!$B$15*S47*Assumptions!$B$130*((1-Assumptions!$B$126)*Pricing!$F$32+Assumptions!$B$126*Pricing!$F$33))</f>
        <v/>
      </c>
      <c r="T99" s="41">
        <f>Assumptions!$B$51*T75*Assumptions!$B$177*Assumptions!$B$100/(T76*Pricing!$B$15*T47*Assumptions!$B$130*((1-Assumptions!$B$126)*Pricing!$F$32+Assumptions!$B$126*Pricing!$F$33))</f>
        <v/>
      </c>
      <c r="U99" s="41">
        <f>Assumptions!$B$51*U75*Assumptions!$B$177*Assumptions!$B$100/(U76*Pricing!$B$15*U47*Assumptions!$B$130*((1-Assumptions!$B$126)*Pricing!$F$32+Assumptions!$B$126*Pricing!$F$33))</f>
        <v/>
      </c>
      <c r="V99" s="41">
        <f>Assumptions!$B$51*V75*Assumptions!$B$177*Assumptions!$B$100/(V76*Pricing!$B$15*V47*Assumptions!$B$130*((1-Assumptions!$B$126)*Pricing!$F$32+Assumptions!$B$126*Pricing!$F$33))</f>
        <v/>
      </c>
      <c r="W99" s="41">
        <f>Assumptions!$B$51*W75*Assumptions!$B$177*Assumptions!$B$100/(W76*Pricing!$B$15*W47*Assumptions!$B$130*((1-Assumptions!$B$126)*Pricing!$F$32+Assumptions!$B$126*Pricing!$F$33))</f>
        <v/>
      </c>
      <c r="X99" s="41">
        <f>Assumptions!$B$51*X75*Assumptions!$B$177*Assumptions!$B$100/(X76*Pricing!$B$15*X47*Assumptions!$B$130*((1-Assumptions!$B$126)*Pricing!$F$32+Assumptions!$B$126*Pricing!$F$33))</f>
        <v/>
      </c>
      <c r="Y99" s="41">
        <f>Assumptions!$B$51*Y75*Assumptions!$B$177*Assumptions!$B$100/(Y76*Pricing!$B$15*Y47*Assumptions!$B$130*((1-Assumptions!$B$126)*Pricing!$F$32+Assumptions!$B$126*Pricing!$F$33))</f>
        <v/>
      </c>
      <c r="Z99" s="41">
        <f>Assumptions!$B$51*Z75*Assumptions!$B$177*Assumptions!$B$100/(Z76*Pricing!$B$15*Z47*Assumptions!$B$130*((1-Assumptions!$B$126)*Pricing!$F$32+Assumptions!$B$126*Pricing!$F$33))</f>
        <v/>
      </c>
      <c r="AA99" s="41">
        <f>Assumptions!$B$51*AA75*Assumptions!$B$177*Assumptions!$B$100/(AA76*Pricing!$B$15*AA47*Assumptions!$B$130*((1-Assumptions!$B$126)*Pricing!$F$32+Assumptions!$B$126*Pricing!$F$33))</f>
        <v/>
      </c>
      <c r="AB99" s="41">
        <f>Assumptions!$B$51*AB75*Assumptions!$B$177*Assumptions!$B$100/(AB76*Pricing!$B$15*AB47*Assumptions!$B$130*((1-Assumptions!$B$126)*Pricing!$F$32+Assumptions!$B$126*Pricing!$F$33))</f>
        <v/>
      </c>
      <c r="AC99" s="41">
        <f>Assumptions!$B$51*AC75*Assumptions!$B$177*Assumptions!$B$100/(AC76*Pricing!$B$15*AC47*Assumptions!$B$130*((1-Assumptions!$B$126)*Pricing!$F$32+Assumptions!$B$126*Pricing!$F$33))</f>
        <v/>
      </c>
      <c r="AD99" s="41">
        <f>Assumptions!$B$51*AD75*Assumptions!$B$177*Assumptions!$B$100/(AD76*Pricing!$B$15*AD47*Assumptions!$B$130*((1-Assumptions!$B$126)*Pricing!$F$32+Assumptions!$B$126*Pricing!$F$33))</f>
        <v/>
      </c>
      <c r="AE99" s="41">
        <f>Assumptions!$B$51*AE75*Assumptions!$B$177*Assumptions!$B$100/(AE76*Pricing!$B$15*AE47*Assumptions!$B$130*((1-Assumptions!$B$126)*Pricing!$F$32+Assumptions!$B$126*Pricing!$F$33))</f>
        <v/>
      </c>
      <c r="AF99" s="41">
        <f>Assumptions!$B$51*AF75*Assumptions!$B$177*Assumptions!$B$100/(AF76*Pricing!$B$15*AF47*Assumptions!$B$130*((1-Assumptions!$B$126)*Pricing!$F$32+Assumptions!$B$126*Pricing!$F$33))</f>
        <v/>
      </c>
      <c r="AG99" s="41">
        <f>Assumptions!$B$51*AG75*Assumptions!$B$177*Assumptions!$B$100/(AG76*Pricing!$B$15*AG47*Assumptions!$B$130*((1-Assumptions!$B$126)*Pricing!$F$32+Assumptions!$B$126*Pricing!$F$33))</f>
        <v/>
      </c>
      <c r="AH99" s="41">
        <f>Assumptions!$B$51*AH75*Assumptions!$B$177*Assumptions!$B$100/(AH76*Pricing!$B$15*AH47*Assumptions!$B$130*((1-Assumptions!$B$126)*Pricing!$F$32+Assumptions!$B$126*Pricing!$F$33))</f>
        <v/>
      </c>
      <c r="AI99" s="41">
        <f>Assumptions!$B$51*AI75*Assumptions!$B$177*Assumptions!$B$100/(AI76*Pricing!$B$15*AI47*Assumptions!$B$130*((1-Assumptions!$B$126)*Pricing!$F$32+Assumptions!$B$126*Pricing!$F$33))</f>
        <v/>
      </c>
      <c r="AJ99" s="41">
        <f>Assumptions!$B$51*AJ75*Assumptions!$B$177*Assumptions!$B$100/(AJ76*Pricing!$B$15*AJ47*Assumptions!$B$130*((1-Assumptions!$B$126)*Pricing!$F$32+Assumptions!$B$126*Pricing!$F$33))</f>
        <v/>
      </c>
      <c r="AK99" s="41">
        <f>Assumptions!$B$51*AK75*Assumptions!$B$177*Assumptions!$B$100/(AK76*Pricing!$B$15*AK47*Assumptions!$B$130*((1-Assumptions!$B$126)*Pricing!$F$32+Assumptions!$B$126*Pricing!$F$33))</f>
        <v/>
      </c>
      <c r="AL99" s="41">
        <f>Assumptions!$B$51*AL75*Assumptions!$B$177*Assumptions!$B$100/(AL76*Pricing!$B$15*AL47*Assumptions!$B$130*((1-Assumptions!$B$126)*Pricing!$F$32+Assumptions!$B$126*Pricing!$F$33))</f>
        <v/>
      </c>
      <c r="AM99" s="41">
        <f>Assumptions!$B$51*AM75*Assumptions!$B$177*Assumptions!$B$100/(AM76*Pricing!$B$15*AM47*Assumptions!$B$130*((1-Assumptions!$B$126)*Pricing!$F$32+Assumptions!$B$126*Pricing!$F$33))</f>
        <v/>
      </c>
      <c r="AN99" s="41">
        <f>Assumptions!$B$51*AN75*Assumptions!$B$177*Assumptions!$B$100/(AN76*Pricing!$B$15*AN47*Assumptions!$B$130*((1-Assumptions!$B$126)*Pricing!$F$32+Assumptions!$B$126*Pricing!$F$33))</f>
        <v/>
      </c>
      <c r="AO99" s="41">
        <f>Assumptions!$B$51*AO75*Assumptions!$B$177*Assumptions!$B$100/(AO76*Pricing!$B$15*AO47*Assumptions!$B$130*((1-Assumptions!$B$126)*Pricing!$F$32+Assumptions!$B$126*Pricing!$F$33))</f>
        <v/>
      </c>
      <c r="AP99" s="41">
        <f>Assumptions!$B$51*AP75*Assumptions!$B$177*Assumptions!$B$100/(AP76*Pricing!$B$15*AP47*Assumptions!$B$130*((1-Assumptions!$B$126)*Pricing!$F$32+Assumptions!$B$126*Pricing!$F$33))</f>
        <v/>
      </c>
      <c r="AQ99" s="41">
        <f>Assumptions!$B$51*AQ75*Assumptions!$B$177*Assumptions!$B$100/(AQ76*Pricing!$B$15*AQ47*Assumptions!$B$130*((1-Assumptions!$B$126)*Pricing!$F$32+Assumptions!$B$126*Pricing!$F$33))</f>
        <v/>
      </c>
      <c r="AR99" s="41">
        <f>Assumptions!$B$51*AR75*Assumptions!$B$177*Assumptions!$B$100/(AR76*Pricing!$B$15*AR47*Assumptions!$B$130*((1-Assumptions!$B$126)*Pricing!$F$32+Assumptions!$B$126*Pricing!$F$33))</f>
        <v/>
      </c>
      <c r="AS99" s="41">
        <f>Assumptions!$B$51*AS75*Assumptions!$B$177*Assumptions!$B$100/(AS76*Pricing!$B$15*AS47*Assumptions!$B$130*((1-Assumptions!$B$126)*Pricing!$F$32+Assumptions!$B$126*Pricing!$F$33))</f>
        <v/>
      </c>
      <c r="AT99" s="41">
        <f>Assumptions!$B$51*AT75*Assumptions!$B$177*Assumptions!$B$100/(AT76*Pricing!$B$15*AT47*Assumptions!$B$130*((1-Assumptions!$B$126)*Pricing!$F$32+Assumptions!$B$126*Pricing!$F$33))</f>
        <v/>
      </c>
      <c r="AU99" s="41">
        <f>Assumptions!$B$51*AU75*Assumptions!$B$177*Assumptions!$B$100/(AU76*Pricing!$B$15*AU47*Assumptions!$B$130*((1-Assumptions!$B$126)*Pricing!$F$32+Assumptions!$B$126*Pricing!$F$33))</f>
        <v/>
      </c>
      <c r="AV99" s="41">
        <f>Assumptions!$B$51*AV75*Assumptions!$B$177*Assumptions!$B$100/(AV76*Pricing!$B$15*AV47*Assumptions!$B$130*((1-Assumptions!$B$126)*Pricing!$F$32+Assumptions!$B$126*Pricing!$F$33))</f>
        <v/>
      </c>
      <c r="AW99" s="41">
        <f>Assumptions!$B$51*AW75*Assumptions!$B$177*Assumptions!$B$100/(AW76*Pricing!$B$15*AW47*Assumptions!$B$130*((1-Assumptions!$B$126)*Pricing!$F$32+Assumptions!$B$126*Pricing!$F$33))</f>
        <v/>
      </c>
      <c r="AX99" s="41">
        <f>Assumptions!$B$51*AX75*Assumptions!$B$177*Assumptions!$B$100/(AX76*Pricing!$B$15*AX47*Assumptions!$B$130*((1-Assumptions!$B$126)*Pricing!$F$32+Assumptions!$B$126*Pricing!$F$33))</f>
        <v/>
      </c>
      <c r="AY99" s="41">
        <f>Assumptions!$B$51*AY75*Assumptions!$B$177*Assumptions!$B$100/(AY76*Pricing!$B$15*AY47*Assumptions!$B$130*((1-Assumptions!$B$126)*Pricing!$F$32+Assumptions!$B$126*Pricing!$F$33))</f>
        <v/>
      </c>
      <c r="AZ99" s="41">
        <f>Assumptions!$B$51*AZ75*Assumptions!$B$177*Assumptions!$B$100/(AZ76*Pricing!$B$15*AZ47*Assumptions!$B$130*((1-Assumptions!$B$126)*Pricing!$F$32+Assumptions!$B$126*Pricing!$F$33))</f>
        <v/>
      </c>
      <c r="BA99" s="41">
        <f>Assumptions!$B$51*BA75*Assumptions!$B$177*Assumptions!$B$100/(BA76*Pricing!$B$15*BA47*Assumptions!$B$130*((1-Assumptions!$B$126)*Pricing!$F$32+Assumptions!$B$126*Pricing!$F$33))</f>
        <v/>
      </c>
      <c r="BB99" s="41">
        <f>Assumptions!$B$51*BB75*Assumptions!$B$177*Assumptions!$B$100/(BB76*Pricing!$B$15*BB47*Assumptions!$B$130*((1-Assumptions!$B$126)*Pricing!$F$32+Assumptions!$B$126*Pricing!$F$33))</f>
        <v/>
      </c>
      <c r="BC99" s="41">
        <f>Assumptions!$B$51*BC75*Assumptions!$B$177*Assumptions!$B$100/(BC76*Pricing!$B$15*BC47*Assumptions!$B$130*((1-Assumptions!$B$126)*Pricing!$F$32+Assumptions!$B$126*Pricing!$F$33))</f>
        <v/>
      </c>
      <c r="BD99" s="41">
        <f>Assumptions!$B$51*BD75*Assumptions!$B$177*Assumptions!$B$100/(BD76*Pricing!$B$15*BD47*Assumptions!$B$130*((1-Assumptions!$B$126)*Pricing!$F$32+Assumptions!$B$126*Pricing!$F$33))</f>
        <v/>
      </c>
      <c r="BE99" s="41">
        <f>Assumptions!$B$51*BE75*Assumptions!$B$177*Assumptions!$B$100/(BE76*Pricing!$B$15*BE47*Assumptions!$B$130*((1-Assumptions!$B$126)*Pricing!$F$32+Assumptions!$B$126*Pricing!$F$33))</f>
        <v/>
      </c>
      <c r="BF99" s="41">
        <f>Assumptions!$B$51*BF75*Assumptions!$B$177*Assumptions!$B$100/(BF76*Pricing!$B$15*BF47*Assumptions!$B$130*((1-Assumptions!$B$126)*Pricing!$F$32+Assumptions!$B$126*Pricing!$F$33))</f>
        <v/>
      </c>
      <c r="BG99" s="41">
        <f>Assumptions!$B$51*BG75*Assumptions!$B$177*Assumptions!$B$100/(BG76*Pricing!$B$15*BG47*Assumptions!$B$130*((1-Assumptions!$B$126)*Pricing!$F$32+Assumptions!$B$126*Pricing!$F$33))</f>
        <v/>
      </c>
      <c r="BH99" s="41">
        <f>Assumptions!$B$51*BH75*Assumptions!$B$177*Assumptions!$B$100/(BH76*Pricing!$B$15*BH47*Assumptions!$B$130*((1-Assumptions!$B$126)*Pricing!$F$32+Assumptions!$B$126*Pricing!$F$33))</f>
        <v/>
      </c>
      <c r="BI99" s="41">
        <f>Assumptions!$B$51*BI75*Assumptions!$B$177*Assumptions!$B$100/(BI76*Pricing!$B$15*BI47*Assumptions!$B$130*((1-Assumptions!$B$126)*Pricing!$F$32+Assumptions!$B$126*Pricing!$F$33))</f>
        <v/>
      </c>
      <c r="BJ99" s="41">
        <f>Assumptions!$B$51*BJ75*Assumptions!$B$177*Assumptions!$B$100/(BJ76*Pricing!$B$15*BJ47*Assumptions!$B$130*((1-Assumptions!$B$126)*Pricing!$F$32+Assumptions!$B$126*Pricing!$F$33))</f>
        <v/>
      </c>
    </row>
    <row r="100">
      <c r="A100" s="4" t="inlineStr">
        <is>
          <t>Paid acquisition allowed (payback &lt;= max), SMEs: Rest of Africa (USD)</t>
        </is>
      </c>
      <c r="B100" s="17" t="inlineStr">
        <is>
          <t>flag</t>
        </is>
      </c>
      <c r="C100" s="10">
        <f>IF(C99&lt;=Assumptions!$B$129,1,0)</f>
        <v/>
      </c>
      <c r="D100" s="10">
        <f>IF(D99&lt;=Assumptions!$B$129,1,0)</f>
        <v/>
      </c>
      <c r="E100" s="10">
        <f>IF(E99&lt;=Assumptions!$B$129,1,0)</f>
        <v/>
      </c>
      <c r="F100" s="10">
        <f>IF(F99&lt;=Assumptions!$B$129,1,0)</f>
        <v/>
      </c>
      <c r="G100" s="10">
        <f>IF(G99&lt;=Assumptions!$B$129,1,0)</f>
        <v/>
      </c>
      <c r="H100" s="10">
        <f>IF(H99&lt;=Assumptions!$B$129,1,0)</f>
        <v/>
      </c>
      <c r="I100" s="10">
        <f>IF(I99&lt;=Assumptions!$B$129,1,0)</f>
        <v/>
      </c>
      <c r="J100" s="10">
        <f>IF(J99&lt;=Assumptions!$B$129,1,0)</f>
        <v/>
      </c>
      <c r="K100" s="10">
        <f>IF(K99&lt;=Assumptions!$B$129,1,0)</f>
        <v/>
      </c>
      <c r="L100" s="10">
        <f>IF(L99&lt;=Assumptions!$B$129,1,0)</f>
        <v/>
      </c>
      <c r="M100" s="10">
        <f>IF(M99&lt;=Assumptions!$B$129,1,0)</f>
        <v/>
      </c>
      <c r="N100" s="10">
        <f>IF(N99&lt;=Assumptions!$B$129,1,0)</f>
        <v/>
      </c>
      <c r="O100" s="10">
        <f>IF(O99&lt;=Assumptions!$B$129,1,0)</f>
        <v/>
      </c>
      <c r="P100" s="10">
        <f>IF(P99&lt;=Assumptions!$B$129,1,0)</f>
        <v/>
      </c>
      <c r="Q100" s="10">
        <f>IF(Q99&lt;=Assumptions!$B$129,1,0)</f>
        <v/>
      </c>
      <c r="R100" s="10">
        <f>IF(R99&lt;=Assumptions!$B$129,1,0)</f>
        <v/>
      </c>
      <c r="S100" s="10">
        <f>IF(S99&lt;=Assumptions!$B$129,1,0)</f>
        <v/>
      </c>
      <c r="T100" s="10">
        <f>IF(T99&lt;=Assumptions!$B$129,1,0)</f>
        <v/>
      </c>
      <c r="U100" s="10">
        <f>IF(U99&lt;=Assumptions!$B$129,1,0)</f>
        <v/>
      </c>
      <c r="V100" s="10">
        <f>IF(V99&lt;=Assumptions!$B$129,1,0)</f>
        <v/>
      </c>
      <c r="W100" s="10">
        <f>IF(W99&lt;=Assumptions!$B$129,1,0)</f>
        <v/>
      </c>
      <c r="X100" s="10">
        <f>IF(X99&lt;=Assumptions!$B$129,1,0)</f>
        <v/>
      </c>
      <c r="Y100" s="10">
        <f>IF(Y99&lt;=Assumptions!$B$129,1,0)</f>
        <v/>
      </c>
      <c r="Z100" s="10">
        <f>IF(Z99&lt;=Assumptions!$B$129,1,0)</f>
        <v/>
      </c>
      <c r="AA100" s="10">
        <f>IF(AA99&lt;=Assumptions!$B$129,1,0)</f>
        <v/>
      </c>
      <c r="AB100" s="10">
        <f>IF(AB99&lt;=Assumptions!$B$129,1,0)</f>
        <v/>
      </c>
      <c r="AC100" s="10">
        <f>IF(AC99&lt;=Assumptions!$B$129,1,0)</f>
        <v/>
      </c>
      <c r="AD100" s="10">
        <f>IF(AD99&lt;=Assumptions!$B$129,1,0)</f>
        <v/>
      </c>
      <c r="AE100" s="10">
        <f>IF(AE99&lt;=Assumptions!$B$129,1,0)</f>
        <v/>
      </c>
      <c r="AF100" s="10">
        <f>IF(AF99&lt;=Assumptions!$B$129,1,0)</f>
        <v/>
      </c>
      <c r="AG100" s="10">
        <f>IF(AG99&lt;=Assumptions!$B$129,1,0)</f>
        <v/>
      </c>
      <c r="AH100" s="10">
        <f>IF(AH99&lt;=Assumptions!$B$129,1,0)</f>
        <v/>
      </c>
      <c r="AI100" s="10">
        <f>IF(AI99&lt;=Assumptions!$B$129,1,0)</f>
        <v/>
      </c>
      <c r="AJ100" s="10">
        <f>IF(AJ99&lt;=Assumptions!$B$129,1,0)</f>
        <v/>
      </c>
      <c r="AK100" s="10">
        <f>IF(AK99&lt;=Assumptions!$B$129,1,0)</f>
        <v/>
      </c>
      <c r="AL100" s="10">
        <f>IF(AL99&lt;=Assumptions!$B$129,1,0)</f>
        <v/>
      </c>
      <c r="AM100" s="10">
        <f>IF(AM99&lt;=Assumptions!$B$129,1,0)</f>
        <v/>
      </c>
      <c r="AN100" s="10">
        <f>IF(AN99&lt;=Assumptions!$B$129,1,0)</f>
        <v/>
      </c>
      <c r="AO100" s="10">
        <f>IF(AO99&lt;=Assumptions!$B$129,1,0)</f>
        <v/>
      </c>
      <c r="AP100" s="10">
        <f>IF(AP99&lt;=Assumptions!$B$129,1,0)</f>
        <v/>
      </c>
      <c r="AQ100" s="10">
        <f>IF(AQ99&lt;=Assumptions!$B$129,1,0)</f>
        <v/>
      </c>
      <c r="AR100" s="10">
        <f>IF(AR99&lt;=Assumptions!$B$129,1,0)</f>
        <v/>
      </c>
      <c r="AS100" s="10">
        <f>IF(AS99&lt;=Assumptions!$B$129,1,0)</f>
        <v/>
      </c>
      <c r="AT100" s="10">
        <f>IF(AT99&lt;=Assumptions!$B$129,1,0)</f>
        <v/>
      </c>
      <c r="AU100" s="10">
        <f>IF(AU99&lt;=Assumptions!$B$129,1,0)</f>
        <v/>
      </c>
      <c r="AV100" s="10">
        <f>IF(AV99&lt;=Assumptions!$B$129,1,0)</f>
        <v/>
      </c>
      <c r="AW100" s="10">
        <f>IF(AW99&lt;=Assumptions!$B$129,1,0)</f>
        <v/>
      </c>
      <c r="AX100" s="10">
        <f>IF(AX99&lt;=Assumptions!$B$129,1,0)</f>
        <v/>
      </c>
      <c r="AY100" s="10">
        <f>IF(AY99&lt;=Assumptions!$B$129,1,0)</f>
        <v/>
      </c>
      <c r="AZ100" s="10">
        <f>IF(AZ99&lt;=Assumptions!$B$129,1,0)</f>
        <v/>
      </c>
      <c r="BA100" s="10">
        <f>IF(BA99&lt;=Assumptions!$B$129,1,0)</f>
        <v/>
      </c>
      <c r="BB100" s="10">
        <f>IF(BB99&lt;=Assumptions!$B$129,1,0)</f>
        <v/>
      </c>
      <c r="BC100" s="10">
        <f>IF(BC99&lt;=Assumptions!$B$129,1,0)</f>
        <v/>
      </c>
      <c r="BD100" s="10">
        <f>IF(BD99&lt;=Assumptions!$B$129,1,0)</f>
        <v/>
      </c>
      <c r="BE100" s="10">
        <f>IF(BE99&lt;=Assumptions!$B$129,1,0)</f>
        <v/>
      </c>
      <c r="BF100" s="10">
        <f>IF(BF99&lt;=Assumptions!$B$129,1,0)</f>
        <v/>
      </c>
      <c r="BG100" s="10">
        <f>IF(BG99&lt;=Assumptions!$B$129,1,0)</f>
        <v/>
      </c>
      <c r="BH100" s="10">
        <f>IF(BH99&lt;=Assumptions!$B$129,1,0)</f>
        <v/>
      </c>
      <c r="BI100" s="10">
        <f>IF(BI99&lt;=Assumptions!$B$129,1,0)</f>
        <v/>
      </c>
      <c r="BJ100" s="10">
        <f>IF(BJ99&lt;=Assumptions!$B$129,1,0)</f>
        <v/>
      </c>
    </row>
    <row r="101">
      <c r="A101" s="4" t="inlineStr">
        <is>
          <t>CAC payback, SMEs: Botswana &amp; Namibia</t>
        </is>
      </c>
      <c r="B101" s="17" t="inlineStr">
        <is>
          <t>months</t>
        </is>
      </c>
      <c r="C101" s="41">
        <f>Assumptions!$B$51*C75*Assumptions!$B$177*Assumptions!$B$108/(C76*Pricing!$B$15*Assumptions!$B$130*((1-Assumptions!$B$126)*Pricing!$G$32+Assumptions!$B$126*Pricing!$G$33))</f>
        <v/>
      </c>
      <c r="D101" s="41">
        <f>Assumptions!$B$51*D75*Assumptions!$B$177*Assumptions!$B$108/(D76*Pricing!$B$15*Assumptions!$B$130*((1-Assumptions!$B$126)*Pricing!$G$32+Assumptions!$B$126*Pricing!$G$33))</f>
        <v/>
      </c>
      <c r="E101" s="41">
        <f>Assumptions!$B$51*E75*Assumptions!$B$177*Assumptions!$B$108/(E76*Pricing!$B$15*Assumptions!$B$130*((1-Assumptions!$B$126)*Pricing!$G$32+Assumptions!$B$126*Pricing!$G$33))</f>
        <v/>
      </c>
      <c r="F101" s="41">
        <f>Assumptions!$B$51*F75*Assumptions!$B$177*Assumptions!$B$108/(F76*Pricing!$B$15*Assumptions!$B$130*((1-Assumptions!$B$126)*Pricing!$G$32+Assumptions!$B$126*Pricing!$G$33))</f>
        <v/>
      </c>
      <c r="G101" s="41">
        <f>Assumptions!$B$51*G75*Assumptions!$B$177*Assumptions!$B$108/(G76*Pricing!$B$15*Assumptions!$B$130*((1-Assumptions!$B$126)*Pricing!$G$32+Assumptions!$B$126*Pricing!$G$33))</f>
        <v/>
      </c>
      <c r="H101" s="41">
        <f>Assumptions!$B$51*H75*Assumptions!$B$177*Assumptions!$B$108/(H76*Pricing!$B$15*Assumptions!$B$130*((1-Assumptions!$B$126)*Pricing!$G$32+Assumptions!$B$126*Pricing!$G$33))</f>
        <v/>
      </c>
      <c r="I101" s="41">
        <f>Assumptions!$B$51*I75*Assumptions!$B$177*Assumptions!$B$108/(I76*Pricing!$B$15*Assumptions!$B$130*((1-Assumptions!$B$126)*Pricing!$G$32+Assumptions!$B$126*Pricing!$G$33))</f>
        <v/>
      </c>
      <c r="J101" s="41">
        <f>Assumptions!$B$51*J75*Assumptions!$B$177*Assumptions!$B$108/(J76*Pricing!$B$15*Assumptions!$B$130*((1-Assumptions!$B$126)*Pricing!$G$32+Assumptions!$B$126*Pricing!$G$33))</f>
        <v/>
      </c>
      <c r="K101" s="41">
        <f>Assumptions!$B$51*K75*Assumptions!$B$177*Assumptions!$B$108/(K76*Pricing!$B$15*Assumptions!$B$130*((1-Assumptions!$B$126)*Pricing!$G$32+Assumptions!$B$126*Pricing!$G$33))</f>
        <v/>
      </c>
      <c r="L101" s="41">
        <f>Assumptions!$B$51*L75*Assumptions!$B$177*Assumptions!$B$108/(L76*Pricing!$B$15*Assumptions!$B$130*((1-Assumptions!$B$126)*Pricing!$G$32+Assumptions!$B$126*Pricing!$G$33))</f>
        <v/>
      </c>
      <c r="M101" s="41">
        <f>Assumptions!$B$51*M75*Assumptions!$B$177*Assumptions!$B$108/(M76*Pricing!$B$15*Assumptions!$B$130*((1-Assumptions!$B$126)*Pricing!$G$32+Assumptions!$B$126*Pricing!$G$33))</f>
        <v/>
      </c>
      <c r="N101" s="41">
        <f>Assumptions!$B$51*N75*Assumptions!$B$177*Assumptions!$B$108/(N76*Pricing!$B$15*Assumptions!$B$130*((1-Assumptions!$B$126)*Pricing!$G$32+Assumptions!$B$126*Pricing!$G$33))</f>
        <v/>
      </c>
      <c r="O101" s="41">
        <f>Assumptions!$B$51*O75*Assumptions!$B$177*Assumptions!$B$108/(O76*Pricing!$B$15*Assumptions!$B$130*((1-Assumptions!$B$126)*Pricing!$G$32+Assumptions!$B$126*Pricing!$G$33))</f>
        <v/>
      </c>
      <c r="P101" s="41">
        <f>Assumptions!$B$51*P75*Assumptions!$B$177*Assumptions!$B$108/(P76*Pricing!$B$15*Assumptions!$B$130*((1-Assumptions!$B$126)*Pricing!$G$32+Assumptions!$B$126*Pricing!$G$33))</f>
        <v/>
      </c>
      <c r="Q101" s="41">
        <f>Assumptions!$B$51*Q75*Assumptions!$B$177*Assumptions!$B$108/(Q76*Pricing!$B$15*Assumptions!$B$130*((1-Assumptions!$B$126)*Pricing!$G$32+Assumptions!$B$126*Pricing!$G$33))</f>
        <v/>
      </c>
      <c r="R101" s="41">
        <f>Assumptions!$B$51*R75*Assumptions!$B$177*Assumptions!$B$108/(R76*Pricing!$B$15*Assumptions!$B$130*((1-Assumptions!$B$126)*Pricing!$G$32+Assumptions!$B$126*Pricing!$G$33))</f>
        <v/>
      </c>
      <c r="S101" s="41">
        <f>Assumptions!$B$51*S75*Assumptions!$B$177*Assumptions!$B$108/(S76*Pricing!$B$15*Assumptions!$B$130*((1-Assumptions!$B$126)*Pricing!$G$32+Assumptions!$B$126*Pricing!$G$33))</f>
        <v/>
      </c>
      <c r="T101" s="41">
        <f>Assumptions!$B$51*T75*Assumptions!$B$177*Assumptions!$B$108/(T76*Pricing!$B$15*Assumptions!$B$130*((1-Assumptions!$B$126)*Pricing!$G$32+Assumptions!$B$126*Pricing!$G$33))</f>
        <v/>
      </c>
      <c r="U101" s="41">
        <f>Assumptions!$B$51*U75*Assumptions!$B$177*Assumptions!$B$108/(U76*Pricing!$B$15*Assumptions!$B$130*((1-Assumptions!$B$126)*Pricing!$G$32+Assumptions!$B$126*Pricing!$G$33))</f>
        <v/>
      </c>
      <c r="V101" s="41">
        <f>Assumptions!$B$51*V75*Assumptions!$B$177*Assumptions!$B$108/(V76*Pricing!$B$15*Assumptions!$B$130*((1-Assumptions!$B$126)*Pricing!$G$32+Assumptions!$B$126*Pricing!$G$33))</f>
        <v/>
      </c>
      <c r="W101" s="41">
        <f>Assumptions!$B$51*W75*Assumptions!$B$177*Assumptions!$B$108/(W76*Pricing!$B$15*Assumptions!$B$130*((1-Assumptions!$B$126)*Pricing!$G$32+Assumptions!$B$126*Pricing!$G$33))</f>
        <v/>
      </c>
      <c r="X101" s="41">
        <f>Assumptions!$B$51*X75*Assumptions!$B$177*Assumptions!$B$108/(X76*Pricing!$B$15*Assumptions!$B$130*((1-Assumptions!$B$126)*Pricing!$G$32+Assumptions!$B$126*Pricing!$G$33))</f>
        <v/>
      </c>
      <c r="Y101" s="41">
        <f>Assumptions!$B$51*Y75*Assumptions!$B$177*Assumptions!$B$108/(Y76*Pricing!$B$15*Assumptions!$B$130*((1-Assumptions!$B$126)*Pricing!$G$32+Assumptions!$B$126*Pricing!$G$33))</f>
        <v/>
      </c>
      <c r="Z101" s="41">
        <f>Assumptions!$B$51*Z75*Assumptions!$B$177*Assumptions!$B$108/(Z76*Pricing!$B$15*Assumptions!$B$130*((1-Assumptions!$B$126)*Pricing!$G$32+Assumptions!$B$126*Pricing!$G$33))</f>
        <v/>
      </c>
      <c r="AA101" s="41">
        <f>Assumptions!$B$51*AA75*Assumptions!$B$177*Assumptions!$B$108/(AA76*Pricing!$B$15*Assumptions!$B$130*((1-Assumptions!$B$126)*Pricing!$G$32+Assumptions!$B$126*Pricing!$G$33))</f>
        <v/>
      </c>
      <c r="AB101" s="41">
        <f>Assumptions!$B$51*AB75*Assumptions!$B$177*Assumptions!$B$108/(AB76*Pricing!$B$15*Assumptions!$B$130*((1-Assumptions!$B$126)*Pricing!$G$32+Assumptions!$B$126*Pricing!$G$33))</f>
        <v/>
      </c>
      <c r="AC101" s="41">
        <f>Assumptions!$B$51*AC75*Assumptions!$B$177*Assumptions!$B$108/(AC76*Pricing!$B$15*Assumptions!$B$130*((1-Assumptions!$B$126)*Pricing!$G$32+Assumptions!$B$126*Pricing!$G$33))</f>
        <v/>
      </c>
      <c r="AD101" s="41">
        <f>Assumptions!$B$51*AD75*Assumptions!$B$177*Assumptions!$B$108/(AD76*Pricing!$B$15*Assumptions!$B$130*((1-Assumptions!$B$126)*Pricing!$G$32+Assumptions!$B$126*Pricing!$G$33))</f>
        <v/>
      </c>
      <c r="AE101" s="41">
        <f>Assumptions!$B$51*AE75*Assumptions!$B$177*Assumptions!$B$108/(AE76*Pricing!$B$15*Assumptions!$B$130*((1-Assumptions!$B$126)*Pricing!$G$32+Assumptions!$B$126*Pricing!$G$33))</f>
        <v/>
      </c>
      <c r="AF101" s="41">
        <f>Assumptions!$B$51*AF75*Assumptions!$B$177*Assumptions!$B$108/(AF76*Pricing!$B$15*Assumptions!$B$130*((1-Assumptions!$B$126)*Pricing!$G$32+Assumptions!$B$126*Pricing!$G$33))</f>
        <v/>
      </c>
      <c r="AG101" s="41">
        <f>Assumptions!$B$51*AG75*Assumptions!$B$177*Assumptions!$B$108/(AG76*Pricing!$B$15*Assumptions!$B$130*((1-Assumptions!$B$126)*Pricing!$G$32+Assumptions!$B$126*Pricing!$G$33))</f>
        <v/>
      </c>
      <c r="AH101" s="41">
        <f>Assumptions!$B$51*AH75*Assumptions!$B$177*Assumptions!$B$108/(AH76*Pricing!$B$15*Assumptions!$B$130*((1-Assumptions!$B$126)*Pricing!$G$32+Assumptions!$B$126*Pricing!$G$33))</f>
        <v/>
      </c>
      <c r="AI101" s="41">
        <f>Assumptions!$B$51*AI75*Assumptions!$B$177*Assumptions!$B$108/(AI76*Pricing!$B$15*Assumptions!$B$130*((1-Assumptions!$B$126)*Pricing!$G$32+Assumptions!$B$126*Pricing!$G$33))</f>
        <v/>
      </c>
      <c r="AJ101" s="41">
        <f>Assumptions!$B$51*AJ75*Assumptions!$B$177*Assumptions!$B$108/(AJ76*Pricing!$B$15*Assumptions!$B$130*((1-Assumptions!$B$126)*Pricing!$G$32+Assumptions!$B$126*Pricing!$G$33))</f>
        <v/>
      </c>
      <c r="AK101" s="41">
        <f>Assumptions!$B$51*AK75*Assumptions!$B$177*Assumptions!$B$108/(AK76*Pricing!$B$15*Assumptions!$B$130*((1-Assumptions!$B$126)*Pricing!$G$32+Assumptions!$B$126*Pricing!$G$33))</f>
        <v/>
      </c>
      <c r="AL101" s="41">
        <f>Assumptions!$B$51*AL75*Assumptions!$B$177*Assumptions!$B$108/(AL76*Pricing!$B$15*Assumptions!$B$130*((1-Assumptions!$B$126)*Pricing!$G$32+Assumptions!$B$126*Pricing!$G$33))</f>
        <v/>
      </c>
      <c r="AM101" s="41">
        <f>Assumptions!$B$51*AM75*Assumptions!$B$177*Assumptions!$B$108/(AM76*Pricing!$B$15*Assumptions!$B$130*((1-Assumptions!$B$126)*Pricing!$G$32+Assumptions!$B$126*Pricing!$G$33))</f>
        <v/>
      </c>
      <c r="AN101" s="41">
        <f>Assumptions!$B$51*AN75*Assumptions!$B$177*Assumptions!$B$108/(AN76*Pricing!$B$15*Assumptions!$B$130*((1-Assumptions!$B$126)*Pricing!$G$32+Assumptions!$B$126*Pricing!$G$33))</f>
        <v/>
      </c>
      <c r="AO101" s="41">
        <f>Assumptions!$B$51*AO75*Assumptions!$B$177*Assumptions!$B$108/(AO76*Pricing!$B$15*Assumptions!$B$130*((1-Assumptions!$B$126)*Pricing!$G$32+Assumptions!$B$126*Pricing!$G$33))</f>
        <v/>
      </c>
      <c r="AP101" s="41">
        <f>Assumptions!$B$51*AP75*Assumptions!$B$177*Assumptions!$B$108/(AP76*Pricing!$B$15*Assumptions!$B$130*((1-Assumptions!$B$126)*Pricing!$G$32+Assumptions!$B$126*Pricing!$G$33))</f>
        <v/>
      </c>
      <c r="AQ101" s="41">
        <f>Assumptions!$B$51*AQ75*Assumptions!$B$177*Assumptions!$B$108/(AQ76*Pricing!$B$15*Assumptions!$B$130*((1-Assumptions!$B$126)*Pricing!$G$32+Assumptions!$B$126*Pricing!$G$33))</f>
        <v/>
      </c>
      <c r="AR101" s="41">
        <f>Assumptions!$B$51*AR75*Assumptions!$B$177*Assumptions!$B$108/(AR76*Pricing!$B$15*Assumptions!$B$130*((1-Assumptions!$B$126)*Pricing!$G$32+Assumptions!$B$126*Pricing!$G$33))</f>
        <v/>
      </c>
      <c r="AS101" s="41">
        <f>Assumptions!$B$51*AS75*Assumptions!$B$177*Assumptions!$B$108/(AS76*Pricing!$B$15*Assumptions!$B$130*((1-Assumptions!$B$126)*Pricing!$G$32+Assumptions!$B$126*Pricing!$G$33))</f>
        <v/>
      </c>
      <c r="AT101" s="41">
        <f>Assumptions!$B$51*AT75*Assumptions!$B$177*Assumptions!$B$108/(AT76*Pricing!$B$15*Assumptions!$B$130*((1-Assumptions!$B$126)*Pricing!$G$32+Assumptions!$B$126*Pricing!$G$33))</f>
        <v/>
      </c>
      <c r="AU101" s="41">
        <f>Assumptions!$B$51*AU75*Assumptions!$B$177*Assumptions!$B$108/(AU76*Pricing!$B$15*Assumptions!$B$130*((1-Assumptions!$B$126)*Pricing!$G$32+Assumptions!$B$126*Pricing!$G$33))</f>
        <v/>
      </c>
      <c r="AV101" s="41">
        <f>Assumptions!$B$51*AV75*Assumptions!$B$177*Assumptions!$B$108/(AV76*Pricing!$B$15*Assumptions!$B$130*((1-Assumptions!$B$126)*Pricing!$G$32+Assumptions!$B$126*Pricing!$G$33))</f>
        <v/>
      </c>
      <c r="AW101" s="41">
        <f>Assumptions!$B$51*AW75*Assumptions!$B$177*Assumptions!$B$108/(AW76*Pricing!$B$15*Assumptions!$B$130*((1-Assumptions!$B$126)*Pricing!$G$32+Assumptions!$B$126*Pricing!$G$33))</f>
        <v/>
      </c>
      <c r="AX101" s="41">
        <f>Assumptions!$B$51*AX75*Assumptions!$B$177*Assumptions!$B$108/(AX76*Pricing!$B$15*Assumptions!$B$130*((1-Assumptions!$B$126)*Pricing!$G$32+Assumptions!$B$126*Pricing!$G$33))</f>
        <v/>
      </c>
      <c r="AY101" s="41">
        <f>Assumptions!$B$51*AY75*Assumptions!$B$177*Assumptions!$B$108/(AY76*Pricing!$B$15*Assumptions!$B$130*((1-Assumptions!$B$126)*Pricing!$G$32+Assumptions!$B$126*Pricing!$G$33))</f>
        <v/>
      </c>
      <c r="AZ101" s="41">
        <f>Assumptions!$B$51*AZ75*Assumptions!$B$177*Assumptions!$B$108/(AZ76*Pricing!$B$15*Assumptions!$B$130*((1-Assumptions!$B$126)*Pricing!$G$32+Assumptions!$B$126*Pricing!$G$33))</f>
        <v/>
      </c>
      <c r="BA101" s="41">
        <f>Assumptions!$B$51*BA75*Assumptions!$B$177*Assumptions!$B$108/(BA76*Pricing!$B$15*Assumptions!$B$130*((1-Assumptions!$B$126)*Pricing!$G$32+Assumptions!$B$126*Pricing!$G$33))</f>
        <v/>
      </c>
      <c r="BB101" s="41">
        <f>Assumptions!$B$51*BB75*Assumptions!$B$177*Assumptions!$B$108/(BB76*Pricing!$B$15*Assumptions!$B$130*((1-Assumptions!$B$126)*Pricing!$G$32+Assumptions!$B$126*Pricing!$G$33))</f>
        <v/>
      </c>
      <c r="BC101" s="41">
        <f>Assumptions!$B$51*BC75*Assumptions!$B$177*Assumptions!$B$108/(BC76*Pricing!$B$15*Assumptions!$B$130*((1-Assumptions!$B$126)*Pricing!$G$32+Assumptions!$B$126*Pricing!$G$33))</f>
        <v/>
      </c>
      <c r="BD101" s="41">
        <f>Assumptions!$B$51*BD75*Assumptions!$B$177*Assumptions!$B$108/(BD76*Pricing!$B$15*Assumptions!$B$130*((1-Assumptions!$B$126)*Pricing!$G$32+Assumptions!$B$126*Pricing!$G$33))</f>
        <v/>
      </c>
      <c r="BE101" s="41">
        <f>Assumptions!$B$51*BE75*Assumptions!$B$177*Assumptions!$B$108/(BE76*Pricing!$B$15*Assumptions!$B$130*((1-Assumptions!$B$126)*Pricing!$G$32+Assumptions!$B$126*Pricing!$G$33))</f>
        <v/>
      </c>
      <c r="BF101" s="41">
        <f>Assumptions!$B$51*BF75*Assumptions!$B$177*Assumptions!$B$108/(BF76*Pricing!$B$15*Assumptions!$B$130*((1-Assumptions!$B$126)*Pricing!$G$32+Assumptions!$B$126*Pricing!$G$33))</f>
        <v/>
      </c>
      <c r="BG101" s="41">
        <f>Assumptions!$B$51*BG75*Assumptions!$B$177*Assumptions!$B$108/(BG76*Pricing!$B$15*Assumptions!$B$130*((1-Assumptions!$B$126)*Pricing!$G$32+Assumptions!$B$126*Pricing!$G$33))</f>
        <v/>
      </c>
      <c r="BH101" s="41">
        <f>Assumptions!$B$51*BH75*Assumptions!$B$177*Assumptions!$B$108/(BH76*Pricing!$B$15*Assumptions!$B$130*((1-Assumptions!$B$126)*Pricing!$G$32+Assumptions!$B$126*Pricing!$G$33))</f>
        <v/>
      </c>
      <c r="BI101" s="41">
        <f>Assumptions!$B$51*BI75*Assumptions!$B$177*Assumptions!$B$108/(BI76*Pricing!$B$15*Assumptions!$B$130*((1-Assumptions!$B$126)*Pricing!$G$32+Assumptions!$B$126*Pricing!$G$33))</f>
        <v/>
      </c>
      <c r="BJ101" s="41">
        <f>Assumptions!$B$51*BJ75*Assumptions!$B$177*Assumptions!$B$108/(BJ76*Pricing!$B$15*Assumptions!$B$130*((1-Assumptions!$B$126)*Pricing!$G$32+Assumptions!$B$126*Pricing!$G$33))</f>
        <v/>
      </c>
    </row>
    <row r="102">
      <c r="A102" s="4" t="inlineStr">
        <is>
          <t>Paid acquisition allowed (payback &lt;= max), SMEs: Botswana &amp; Namibia</t>
        </is>
      </c>
      <c r="B102" s="17" t="inlineStr">
        <is>
          <t>flag</t>
        </is>
      </c>
      <c r="C102" s="10">
        <f>IF(C101&lt;=Assumptions!$B$129,1,0)</f>
        <v/>
      </c>
      <c r="D102" s="10">
        <f>IF(D101&lt;=Assumptions!$B$129,1,0)</f>
        <v/>
      </c>
      <c r="E102" s="10">
        <f>IF(E101&lt;=Assumptions!$B$129,1,0)</f>
        <v/>
      </c>
      <c r="F102" s="10">
        <f>IF(F101&lt;=Assumptions!$B$129,1,0)</f>
        <v/>
      </c>
      <c r="G102" s="10">
        <f>IF(G101&lt;=Assumptions!$B$129,1,0)</f>
        <v/>
      </c>
      <c r="H102" s="10">
        <f>IF(H101&lt;=Assumptions!$B$129,1,0)</f>
        <v/>
      </c>
      <c r="I102" s="10">
        <f>IF(I101&lt;=Assumptions!$B$129,1,0)</f>
        <v/>
      </c>
      <c r="J102" s="10">
        <f>IF(J101&lt;=Assumptions!$B$129,1,0)</f>
        <v/>
      </c>
      <c r="K102" s="10">
        <f>IF(K101&lt;=Assumptions!$B$129,1,0)</f>
        <v/>
      </c>
      <c r="L102" s="10">
        <f>IF(L101&lt;=Assumptions!$B$129,1,0)</f>
        <v/>
      </c>
      <c r="M102" s="10">
        <f>IF(M101&lt;=Assumptions!$B$129,1,0)</f>
        <v/>
      </c>
      <c r="N102" s="10">
        <f>IF(N101&lt;=Assumptions!$B$129,1,0)</f>
        <v/>
      </c>
      <c r="O102" s="10">
        <f>IF(O101&lt;=Assumptions!$B$129,1,0)</f>
        <v/>
      </c>
      <c r="P102" s="10">
        <f>IF(P101&lt;=Assumptions!$B$129,1,0)</f>
        <v/>
      </c>
      <c r="Q102" s="10">
        <f>IF(Q101&lt;=Assumptions!$B$129,1,0)</f>
        <v/>
      </c>
      <c r="R102" s="10">
        <f>IF(R101&lt;=Assumptions!$B$129,1,0)</f>
        <v/>
      </c>
      <c r="S102" s="10">
        <f>IF(S101&lt;=Assumptions!$B$129,1,0)</f>
        <v/>
      </c>
      <c r="T102" s="10">
        <f>IF(T101&lt;=Assumptions!$B$129,1,0)</f>
        <v/>
      </c>
      <c r="U102" s="10">
        <f>IF(U101&lt;=Assumptions!$B$129,1,0)</f>
        <v/>
      </c>
      <c r="V102" s="10">
        <f>IF(V101&lt;=Assumptions!$B$129,1,0)</f>
        <v/>
      </c>
      <c r="W102" s="10">
        <f>IF(W101&lt;=Assumptions!$B$129,1,0)</f>
        <v/>
      </c>
      <c r="X102" s="10">
        <f>IF(X101&lt;=Assumptions!$B$129,1,0)</f>
        <v/>
      </c>
      <c r="Y102" s="10">
        <f>IF(Y101&lt;=Assumptions!$B$129,1,0)</f>
        <v/>
      </c>
      <c r="Z102" s="10">
        <f>IF(Z101&lt;=Assumptions!$B$129,1,0)</f>
        <v/>
      </c>
      <c r="AA102" s="10">
        <f>IF(AA101&lt;=Assumptions!$B$129,1,0)</f>
        <v/>
      </c>
      <c r="AB102" s="10">
        <f>IF(AB101&lt;=Assumptions!$B$129,1,0)</f>
        <v/>
      </c>
      <c r="AC102" s="10">
        <f>IF(AC101&lt;=Assumptions!$B$129,1,0)</f>
        <v/>
      </c>
      <c r="AD102" s="10">
        <f>IF(AD101&lt;=Assumptions!$B$129,1,0)</f>
        <v/>
      </c>
      <c r="AE102" s="10">
        <f>IF(AE101&lt;=Assumptions!$B$129,1,0)</f>
        <v/>
      </c>
      <c r="AF102" s="10">
        <f>IF(AF101&lt;=Assumptions!$B$129,1,0)</f>
        <v/>
      </c>
      <c r="AG102" s="10">
        <f>IF(AG101&lt;=Assumptions!$B$129,1,0)</f>
        <v/>
      </c>
      <c r="AH102" s="10">
        <f>IF(AH101&lt;=Assumptions!$B$129,1,0)</f>
        <v/>
      </c>
      <c r="AI102" s="10">
        <f>IF(AI101&lt;=Assumptions!$B$129,1,0)</f>
        <v/>
      </c>
      <c r="AJ102" s="10">
        <f>IF(AJ101&lt;=Assumptions!$B$129,1,0)</f>
        <v/>
      </c>
      <c r="AK102" s="10">
        <f>IF(AK101&lt;=Assumptions!$B$129,1,0)</f>
        <v/>
      </c>
      <c r="AL102" s="10">
        <f>IF(AL101&lt;=Assumptions!$B$129,1,0)</f>
        <v/>
      </c>
      <c r="AM102" s="10">
        <f>IF(AM101&lt;=Assumptions!$B$129,1,0)</f>
        <v/>
      </c>
      <c r="AN102" s="10">
        <f>IF(AN101&lt;=Assumptions!$B$129,1,0)</f>
        <v/>
      </c>
      <c r="AO102" s="10">
        <f>IF(AO101&lt;=Assumptions!$B$129,1,0)</f>
        <v/>
      </c>
      <c r="AP102" s="10">
        <f>IF(AP101&lt;=Assumptions!$B$129,1,0)</f>
        <v/>
      </c>
      <c r="AQ102" s="10">
        <f>IF(AQ101&lt;=Assumptions!$B$129,1,0)</f>
        <v/>
      </c>
      <c r="AR102" s="10">
        <f>IF(AR101&lt;=Assumptions!$B$129,1,0)</f>
        <v/>
      </c>
      <c r="AS102" s="10">
        <f>IF(AS101&lt;=Assumptions!$B$129,1,0)</f>
        <v/>
      </c>
      <c r="AT102" s="10">
        <f>IF(AT101&lt;=Assumptions!$B$129,1,0)</f>
        <v/>
      </c>
      <c r="AU102" s="10">
        <f>IF(AU101&lt;=Assumptions!$B$129,1,0)</f>
        <v/>
      </c>
      <c r="AV102" s="10">
        <f>IF(AV101&lt;=Assumptions!$B$129,1,0)</f>
        <v/>
      </c>
      <c r="AW102" s="10">
        <f>IF(AW101&lt;=Assumptions!$B$129,1,0)</f>
        <v/>
      </c>
      <c r="AX102" s="10">
        <f>IF(AX101&lt;=Assumptions!$B$129,1,0)</f>
        <v/>
      </c>
      <c r="AY102" s="10">
        <f>IF(AY101&lt;=Assumptions!$B$129,1,0)</f>
        <v/>
      </c>
      <c r="AZ102" s="10">
        <f>IF(AZ101&lt;=Assumptions!$B$129,1,0)</f>
        <v/>
      </c>
      <c r="BA102" s="10">
        <f>IF(BA101&lt;=Assumptions!$B$129,1,0)</f>
        <v/>
      </c>
      <c r="BB102" s="10">
        <f>IF(BB101&lt;=Assumptions!$B$129,1,0)</f>
        <v/>
      </c>
      <c r="BC102" s="10">
        <f>IF(BC101&lt;=Assumptions!$B$129,1,0)</f>
        <v/>
      </c>
      <c r="BD102" s="10">
        <f>IF(BD101&lt;=Assumptions!$B$129,1,0)</f>
        <v/>
      </c>
      <c r="BE102" s="10">
        <f>IF(BE101&lt;=Assumptions!$B$129,1,0)</f>
        <v/>
      </c>
      <c r="BF102" s="10">
        <f>IF(BF101&lt;=Assumptions!$B$129,1,0)</f>
        <v/>
      </c>
      <c r="BG102" s="10">
        <f>IF(BG101&lt;=Assumptions!$B$129,1,0)</f>
        <v/>
      </c>
      <c r="BH102" s="10">
        <f>IF(BH101&lt;=Assumptions!$B$129,1,0)</f>
        <v/>
      </c>
      <c r="BI102" s="10">
        <f>IF(BI101&lt;=Assumptions!$B$129,1,0)</f>
        <v/>
      </c>
      <c r="BJ102" s="10">
        <f>IF(BJ101&lt;=Assumptions!$B$129,1,0)</f>
        <v/>
      </c>
    </row>
    <row r="103">
      <c r="A103" s="4" t="inlineStr">
        <is>
          <t>Desired paid acquisition spend: Solo</t>
        </is>
      </c>
      <c r="B103" s="17" t="inlineStr">
        <is>
          <t>R</t>
        </is>
      </c>
      <c r="C103" s="8">
        <f>C74*Assumptions!$B$51*C75*Assumptions!$B$176*(C60*C80+C62*Assumptions!$B$70*C82+C64*Assumptions!$B$80*C84+C66*Assumptions!$B$90*C86+C68*Assumptions!$B$100*C88+C70*Assumptions!$B$108*C90)</f>
        <v/>
      </c>
      <c r="D103" s="8">
        <f>D74*Assumptions!$B$51*D75*Assumptions!$B$176*(D60*D80+D62*Assumptions!$B$70*D82+D64*Assumptions!$B$80*D84+D66*Assumptions!$B$90*D86+D68*Assumptions!$B$100*D88+D70*Assumptions!$B$108*D90)</f>
        <v/>
      </c>
      <c r="E103" s="8">
        <f>E74*Assumptions!$B$51*E75*Assumptions!$B$176*(E60*E80+E62*Assumptions!$B$70*E82+E64*Assumptions!$B$80*E84+E66*Assumptions!$B$90*E86+E68*Assumptions!$B$100*E88+E70*Assumptions!$B$108*E90)</f>
        <v/>
      </c>
      <c r="F103" s="8">
        <f>F74*Assumptions!$B$51*F75*Assumptions!$B$176*(F60*F80+F62*Assumptions!$B$70*F82+F64*Assumptions!$B$80*F84+F66*Assumptions!$B$90*F86+F68*Assumptions!$B$100*F88+F70*Assumptions!$B$108*F90)</f>
        <v/>
      </c>
      <c r="G103" s="8">
        <f>G74*Assumptions!$B$51*G75*Assumptions!$B$176*(G60*G80+G62*Assumptions!$B$70*G82+G64*Assumptions!$B$80*G84+G66*Assumptions!$B$90*G86+G68*Assumptions!$B$100*G88+G70*Assumptions!$B$108*G90)</f>
        <v/>
      </c>
      <c r="H103" s="8">
        <f>H74*Assumptions!$B$51*H75*Assumptions!$B$176*(H60*H80+H62*Assumptions!$B$70*H82+H64*Assumptions!$B$80*H84+H66*Assumptions!$B$90*H86+H68*Assumptions!$B$100*H88+H70*Assumptions!$B$108*H90)</f>
        <v/>
      </c>
      <c r="I103" s="8">
        <f>I74*Assumptions!$B$51*I75*Assumptions!$B$176*(I60*I80+I62*Assumptions!$B$70*I82+I64*Assumptions!$B$80*I84+I66*Assumptions!$B$90*I86+I68*Assumptions!$B$100*I88+I70*Assumptions!$B$108*I90)</f>
        <v/>
      </c>
      <c r="J103" s="8">
        <f>J74*Assumptions!$B$51*J75*Assumptions!$B$176*(J60*J80+J62*Assumptions!$B$70*J82+J64*Assumptions!$B$80*J84+J66*Assumptions!$B$90*J86+J68*Assumptions!$B$100*J88+J70*Assumptions!$B$108*J90)</f>
        <v/>
      </c>
      <c r="K103" s="8">
        <f>K74*Assumptions!$B$51*K75*Assumptions!$B$176*(K60*K80+K62*Assumptions!$B$70*K82+K64*Assumptions!$B$80*K84+K66*Assumptions!$B$90*K86+K68*Assumptions!$B$100*K88+K70*Assumptions!$B$108*K90)</f>
        <v/>
      </c>
      <c r="L103" s="8">
        <f>L74*Assumptions!$B$51*L75*Assumptions!$B$176*(L60*L80+L62*Assumptions!$B$70*L82+L64*Assumptions!$B$80*L84+L66*Assumptions!$B$90*L86+L68*Assumptions!$B$100*L88+L70*Assumptions!$B$108*L90)</f>
        <v/>
      </c>
      <c r="M103" s="8">
        <f>M74*Assumptions!$B$51*M75*Assumptions!$B$176*(M60*M80+M62*Assumptions!$B$70*M82+M64*Assumptions!$B$80*M84+M66*Assumptions!$B$90*M86+M68*Assumptions!$B$100*M88+M70*Assumptions!$B$108*M90)</f>
        <v/>
      </c>
      <c r="N103" s="8">
        <f>N74*Assumptions!$B$51*N75*Assumptions!$B$176*(N60*N80+N62*Assumptions!$B$70*N82+N64*Assumptions!$B$80*N84+N66*Assumptions!$B$90*N86+N68*Assumptions!$B$100*N88+N70*Assumptions!$B$108*N90)</f>
        <v/>
      </c>
      <c r="O103" s="8">
        <f>O74*Assumptions!$B$51*O75*Assumptions!$B$176*(O60*O80+O62*Assumptions!$B$70*O82+O64*Assumptions!$B$80*O84+O66*Assumptions!$B$90*O86+O68*Assumptions!$B$100*O88+O70*Assumptions!$B$108*O90)</f>
        <v/>
      </c>
      <c r="P103" s="8">
        <f>P74*Assumptions!$B$51*P75*Assumptions!$B$176*(P60*P80+P62*Assumptions!$B$70*P82+P64*Assumptions!$B$80*P84+P66*Assumptions!$B$90*P86+P68*Assumptions!$B$100*P88+P70*Assumptions!$B$108*P90)</f>
        <v/>
      </c>
      <c r="Q103" s="8">
        <f>Q74*Assumptions!$B$51*Q75*Assumptions!$B$176*(Q60*Q80+Q62*Assumptions!$B$70*Q82+Q64*Assumptions!$B$80*Q84+Q66*Assumptions!$B$90*Q86+Q68*Assumptions!$B$100*Q88+Q70*Assumptions!$B$108*Q90)</f>
        <v/>
      </c>
      <c r="R103" s="8">
        <f>R74*Assumptions!$B$51*R75*Assumptions!$B$176*(R60*R80+R62*Assumptions!$B$70*R82+R64*Assumptions!$B$80*R84+R66*Assumptions!$B$90*R86+R68*Assumptions!$B$100*R88+R70*Assumptions!$B$108*R90)</f>
        <v/>
      </c>
      <c r="S103" s="8">
        <f>S74*Assumptions!$B$51*S75*Assumptions!$B$176*(S60*S80+S62*Assumptions!$B$70*S82+S64*Assumptions!$B$80*S84+S66*Assumptions!$B$90*S86+S68*Assumptions!$B$100*S88+S70*Assumptions!$B$108*S90)</f>
        <v/>
      </c>
      <c r="T103" s="8">
        <f>T74*Assumptions!$B$51*T75*Assumptions!$B$176*(T60*T80+T62*Assumptions!$B$70*T82+T64*Assumptions!$B$80*T84+T66*Assumptions!$B$90*T86+T68*Assumptions!$B$100*T88+T70*Assumptions!$B$108*T90)</f>
        <v/>
      </c>
      <c r="U103" s="8">
        <f>U74*Assumptions!$B$51*U75*Assumptions!$B$176*(U60*U80+U62*Assumptions!$B$70*U82+U64*Assumptions!$B$80*U84+U66*Assumptions!$B$90*U86+U68*Assumptions!$B$100*U88+U70*Assumptions!$B$108*U90)</f>
        <v/>
      </c>
      <c r="V103" s="8">
        <f>V74*Assumptions!$B$51*V75*Assumptions!$B$176*(V60*V80+V62*Assumptions!$B$70*V82+V64*Assumptions!$B$80*V84+V66*Assumptions!$B$90*V86+V68*Assumptions!$B$100*V88+V70*Assumptions!$B$108*V90)</f>
        <v/>
      </c>
      <c r="W103" s="8">
        <f>W74*Assumptions!$B$51*W75*Assumptions!$B$176*(W60*W80+W62*Assumptions!$B$70*W82+W64*Assumptions!$B$80*W84+W66*Assumptions!$B$90*W86+W68*Assumptions!$B$100*W88+W70*Assumptions!$B$108*W90)</f>
        <v/>
      </c>
      <c r="X103" s="8">
        <f>X74*Assumptions!$B$51*X75*Assumptions!$B$176*(X60*X80+X62*Assumptions!$B$70*X82+X64*Assumptions!$B$80*X84+X66*Assumptions!$B$90*X86+X68*Assumptions!$B$100*X88+X70*Assumptions!$B$108*X90)</f>
        <v/>
      </c>
      <c r="Y103" s="8">
        <f>Y74*Assumptions!$B$51*Y75*Assumptions!$B$176*(Y60*Y80+Y62*Assumptions!$B$70*Y82+Y64*Assumptions!$B$80*Y84+Y66*Assumptions!$B$90*Y86+Y68*Assumptions!$B$100*Y88+Y70*Assumptions!$B$108*Y90)</f>
        <v/>
      </c>
      <c r="Z103" s="8">
        <f>Z74*Assumptions!$B$51*Z75*Assumptions!$B$176*(Z60*Z80+Z62*Assumptions!$B$70*Z82+Z64*Assumptions!$B$80*Z84+Z66*Assumptions!$B$90*Z86+Z68*Assumptions!$B$100*Z88+Z70*Assumptions!$B$108*Z90)</f>
        <v/>
      </c>
      <c r="AA103" s="8">
        <f>AA74*Assumptions!$B$51*AA75*Assumptions!$B$176*(AA60*AA80+AA62*Assumptions!$B$70*AA82+AA64*Assumptions!$B$80*AA84+AA66*Assumptions!$B$90*AA86+AA68*Assumptions!$B$100*AA88+AA70*Assumptions!$B$108*AA90)</f>
        <v/>
      </c>
      <c r="AB103" s="8">
        <f>AB74*Assumptions!$B$51*AB75*Assumptions!$B$176*(AB60*AB80+AB62*Assumptions!$B$70*AB82+AB64*Assumptions!$B$80*AB84+AB66*Assumptions!$B$90*AB86+AB68*Assumptions!$B$100*AB88+AB70*Assumptions!$B$108*AB90)</f>
        <v/>
      </c>
      <c r="AC103" s="8">
        <f>AC74*Assumptions!$B$51*AC75*Assumptions!$B$176*(AC60*AC80+AC62*Assumptions!$B$70*AC82+AC64*Assumptions!$B$80*AC84+AC66*Assumptions!$B$90*AC86+AC68*Assumptions!$B$100*AC88+AC70*Assumptions!$B$108*AC90)</f>
        <v/>
      </c>
      <c r="AD103" s="8">
        <f>AD74*Assumptions!$B$51*AD75*Assumptions!$B$176*(AD60*AD80+AD62*Assumptions!$B$70*AD82+AD64*Assumptions!$B$80*AD84+AD66*Assumptions!$B$90*AD86+AD68*Assumptions!$B$100*AD88+AD70*Assumptions!$B$108*AD90)</f>
        <v/>
      </c>
      <c r="AE103" s="8">
        <f>AE74*Assumptions!$B$51*AE75*Assumptions!$B$176*(AE60*AE80+AE62*Assumptions!$B$70*AE82+AE64*Assumptions!$B$80*AE84+AE66*Assumptions!$B$90*AE86+AE68*Assumptions!$B$100*AE88+AE70*Assumptions!$B$108*AE90)</f>
        <v/>
      </c>
      <c r="AF103" s="8">
        <f>AF74*Assumptions!$B$51*AF75*Assumptions!$B$176*(AF60*AF80+AF62*Assumptions!$B$70*AF82+AF64*Assumptions!$B$80*AF84+AF66*Assumptions!$B$90*AF86+AF68*Assumptions!$B$100*AF88+AF70*Assumptions!$B$108*AF90)</f>
        <v/>
      </c>
      <c r="AG103" s="8">
        <f>AG74*Assumptions!$B$51*AG75*Assumptions!$B$176*(AG60*AG80+AG62*Assumptions!$B$70*AG82+AG64*Assumptions!$B$80*AG84+AG66*Assumptions!$B$90*AG86+AG68*Assumptions!$B$100*AG88+AG70*Assumptions!$B$108*AG90)</f>
        <v/>
      </c>
      <c r="AH103" s="8">
        <f>AH74*Assumptions!$B$51*AH75*Assumptions!$B$176*(AH60*AH80+AH62*Assumptions!$B$70*AH82+AH64*Assumptions!$B$80*AH84+AH66*Assumptions!$B$90*AH86+AH68*Assumptions!$B$100*AH88+AH70*Assumptions!$B$108*AH90)</f>
        <v/>
      </c>
      <c r="AI103" s="8">
        <f>AI74*Assumptions!$B$51*AI75*Assumptions!$B$176*(AI60*AI80+AI62*Assumptions!$B$70*AI82+AI64*Assumptions!$B$80*AI84+AI66*Assumptions!$B$90*AI86+AI68*Assumptions!$B$100*AI88+AI70*Assumptions!$B$108*AI90)</f>
        <v/>
      </c>
      <c r="AJ103" s="8">
        <f>AJ74*Assumptions!$B$51*AJ75*Assumptions!$B$176*(AJ60*AJ80+AJ62*Assumptions!$B$70*AJ82+AJ64*Assumptions!$B$80*AJ84+AJ66*Assumptions!$B$90*AJ86+AJ68*Assumptions!$B$100*AJ88+AJ70*Assumptions!$B$108*AJ90)</f>
        <v/>
      </c>
      <c r="AK103" s="8">
        <f>AK74*Assumptions!$B$51*AK75*Assumptions!$B$176*(AK60*AK80+AK62*Assumptions!$B$70*AK82+AK64*Assumptions!$B$80*AK84+AK66*Assumptions!$B$90*AK86+AK68*Assumptions!$B$100*AK88+AK70*Assumptions!$B$108*AK90)</f>
        <v/>
      </c>
      <c r="AL103" s="8">
        <f>AL74*Assumptions!$B$51*AL75*Assumptions!$B$176*(AL60*AL80+AL62*Assumptions!$B$70*AL82+AL64*Assumptions!$B$80*AL84+AL66*Assumptions!$B$90*AL86+AL68*Assumptions!$B$100*AL88+AL70*Assumptions!$B$108*AL90)</f>
        <v/>
      </c>
      <c r="AM103" s="8">
        <f>AM74*Assumptions!$B$51*AM75*Assumptions!$B$176*(AM60*AM80+AM62*Assumptions!$B$70*AM82+AM64*Assumptions!$B$80*AM84+AM66*Assumptions!$B$90*AM86+AM68*Assumptions!$B$100*AM88+AM70*Assumptions!$B$108*AM90)</f>
        <v/>
      </c>
      <c r="AN103" s="8">
        <f>AN74*Assumptions!$B$51*AN75*Assumptions!$B$176*(AN60*AN80+AN62*Assumptions!$B$70*AN82+AN64*Assumptions!$B$80*AN84+AN66*Assumptions!$B$90*AN86+AN68*Assumptions!$B$100*AN88+AN70*Assumptions!$B$108*AN90)</f>
        <v/>
      </c>
      <c r="AO103" s="8">
        <f>AO74*Assumptions!$B$51*AO75*Assumptions!$B$176*(AO60*AO80+AO62*Assumptions!$B$70*AO82+AO64*Assumptions!$B$80*AO84+AO66*Assumptions!$B$90*AO86+AO68*Assumptions!$B$100*AO88+AO70*Assumptions!$B$108*AO90)</f>
        <v/>
      </c>
      <c r="AP103" s="8">
        <f>AP74*Assumptions!$B$51*AP75*Assumptions!$B$176*(AP60*AP80+AP62*Assumptions!$B$70*AP82+AP64*Assumptions!$B$80*AP84+AP66*Assumptions!$B$90*AP86+AP68*Assumptions!$B$100*AP88+AP70*Assumptions!$B$108*AP90)</f>
        <v/>
      </c>
      <c r="AQ103" s="8">
        <f>AQ74*Assumptions!$B$51*AQ75*Assumptions!$B$176*(AQ60*AQ80+AQ62*Assumptions!$B$70*AQ82+AQ64*Assumptions!$B$80*AQ84+AQ66*Assumptions!$B$90*AQ86+AQ68*Assumptions!$B$100*AQ88+AQ70*Assumptions!$B$108*AQ90)</f>
        <v/>
      </c>
      <c r="AR103" s="8">
        <f>AR74*Assumptions!$B$51*AR75*Assumptions!$B$176*(AR60*AR80+AR62*Assumptions!$B$70*AR82+AR64*Assumptions!$B$80*AR84+AR66*Assumptions!$B$90*AR86+AR68*Assumptions!$B$100*AR88+AR70*Assumptions!$B$108*AR90)</f>
        <v/>
      </c>
      <c r="AS103" s="8">
        <f>AS74*Assumptions!$B$51*AS75*Assumptions!$B$176*(AS60*AS80+AS62*Assumptions!$B$70*AS82+AS64*Assumptions!$B$80*AS84+AS66*Assumptions!$B$90*AS86+AS68*Assumptions!$B$100*AS88+AS70*Assumptions!$B$108*AS90)</f>
        <v/>
      </c>
      <c r="AT103" s="8">
        <f>AT74*Assumptions!$B$51*AT75*Assumptions!$B$176*(AT60*AT80+AT62*Assumptions!$B$70*AT82+AT64*Assumptions!$B$80*AT84+AT66*Assumptions!$B$90*AT86+AT68*Assumptions!$B$100*AT88+AT70*Assumptions!$B$108*AT90)</f>
        <v/>
      </c>
      <c r="AU103" s="8">
        <f>AU74*Assumptions!$B$51*AU75*Assumptions!$B$176*(AU60*AU80+AU62*Assumptions!$B$70*AU82+AU64*Assumptions!$B$80*AU84+AU66*Assumptions!$B$90*AU86+AU68*Assumptions!$B$100*AU88+AU70*Assumptions!$B$108*AU90)</f>
        <v/>
      </c>
      <c r="AV103" s="8">
        <f>AV74*Assumptions!$B$51*AV75*Assumptions!$B$176*(AV60*AV80+AV62*Assumptions!$B$70*AV82+AV64*Assumptions!$B$80*AV84+AV66*Assumptions!$B$90*AV86+AV68*Assumptions!$B$100*AV88+AV70*Assumptions!$B$108*AV90)</f>
        <v/>
      </c>
      <c r="AW103" s="8">
        <f>AW74*Assumptions!$B$51*AW75*Assumptions!$B$176*(AW60*AW80+AW62*Assumptions!$B$70*AW82+AW64*Assumptions!$B$80*AW84+AW66*Assumptions!$B$90*AW86+AW68*Assumptions!$B$100*AW88+AW70*Assumptions!$B$108*AW90)</f>
        <v/>
      </c>
      <c r="AX103" s="8">
        <f>AX74*Assumptions!$B$51*AX75*Assumptions!$B$176*(AX60*AX80+AX62*Assumptions!$B$70*AX82+AX64*Assumptions!$B$80*AX84+AX66*Assumptions!$B$90*AX86+AX68*Assumptions!$B$100*AX88+AX70*Assumptions!$B$108*AX90)</f>
        <v/>
      </c>
      <c r="AY103" s="8">
        <f>AY74*Assumptions!$B$51*AY75*Assumptions!$B$176*(AY60*AY80+AY62*Assumptions!$B$70*AY82+AY64*Assumptions!$B$80*AY84+AY66*Assumptions!$B$90*AY86+AY68*Assumptions!$B$100*AY88+AY70*Assumptions!$B$108*AY90)</f>
        <v/>
      </c>
      <c r="AZ103" s="8">
        <f>AZ74*Assumptions!$B$51*AZ75*Assumptions!$B$176*(AZ60*AZ80+AZ62*Assumptions!$B$70*AZ82+AZ64*Assumptions!$B$80*AZ84+AZ66*Assumptions!$B$90*AZ86+AZ68*Assumptions!$B$100*AZ88+AZ70*Assumptions!$B$108*AZ90)</f>
        <v/>
      </c>
      <c r="BA103" s="8">
        <f>BA74*Assumptions!$B$51*BA75*Assumptions!$B$176*(BA60*BA80+BA62*Assumptions!$B$70*BA82+BA64*Assumptions!$B$80*BA84+BA66*Assumptions!$B$90*BA86+BA68*Assumptions!$B$100*BA88+BA70*Assumptions!$B$108*BA90)</f>
        <v/>
      </c>
      <c r="BB103" s="8">
        <f>BB74*Assumptions!$B$51*BB75*Assumptions!$B$176*(BB60*BB80+BB62*Assumptions!$B$70*BB82+BB64*Assumptions!$B$80*BB84+BB66*Assumptions!$B$90*BB86+BB68*Assumptions!$B$100*BB88+BB70*Assumptions!$B$108*BB90)</f>
        <v/>
      </c>
      <c r="BC103" s="8">
        <f>BC74*Assumptions!$B$51*BC75*Assumptions!$B$176*(BC60*BC80+BC62*Assumptions!$B$70*BC82+BC64*Assumptions!$B$80*BC84+BC66*Assumptions!$B$90*BC86+BC68*Assumptions!$B$100*BC88+BC70*Assumptions!$B$108*BC90)</f>
        <v/>
      </c>
      <c r="BD103" s="8">
        <f>BD74*Assumptions!$B$51*BD75*Assumptions!$B$176*(BD60*BD80+BD62*Assumptions!$B$70*BD82+BD64*Assumptions!$B$80*BD84+BD66*Assumptions!$B$90*BD86+BD68*Assumptions!$B$100*BD88+BD70*Assumptions!$B$108*BD90)</f>
        <v/>
      </c>
      <c r="BE103" s="8">
        <f>BE74*Assumptions!$B$51*BE75*Assumptions!$B$176*(BE60*BE80+BE62*Assumptions!$B$70*BE82+BE64*Assumptions!$B$80*BE84+BE66*Assumptions!$B$90*BE86+BE68*Assumptions!$B$100*BE88+BE70*Assumptions!$B$108*BE90)</f>
        <v/>
      </c>
      <c r="BF103" s="8">
        <f>BF74*Assumptions!$B$51*BF75*Assumptions!$B$176*(BF60*BF80+BF62*Assumptions!$B$70*BF82+BF64*Assumptions!$B$80*BF84+BF66*Assumptions!$B$90*BF86+BF68*Assumptions!$B$100*BF88+BF70*Assumptions!$B$108*BF90)</f>
        <v/>
      </c>
      <c r="BG103" s="8">
        <f>BG74*Assumptions!$B$51*BG75*Assumptions!$B$176*(BG60*BG80+BG62*Assumptions!$B$70*BG82+BG64*Assumptions!$B$80*BG84+BG66*Assumptions!$B$90*BG86+BG68*Assumptions!$B$100*BG88+BG70*Assumptions!$B$108*BG90)</f>
        <v/>
      </c>
      <c r="BH103" s="8">
        <f>BH74*Assumptions!$B$51*BH75*Assumptions!$B$176*(BH60*BH80+BH62*Assumptions!$B$70*BH82+BH64*Assumptions!$B$80*BH84+BH66*Assumptions!$B$90*BH86+BH68*Assumptions!$B$100*BH88+BH70*Assumptions!$B$108*BH90)</f>
        <v/>
      </c>
      <c r="BI103" s="8">
        <f>BI74*Assumptions!$B$51*BI75*Assumptions!$B$176*(BI60*BI80+BI62*Assumptions!$B$70*BI82+BI64*Assumptions!$B$80*BI84+BI66*Assumptions!$B$90*BI86+BI68*Assumptions!$B$100*BI88+BI70*Assumptions!$B$108*BI90)</f>
        <v/>
      </c>
      <c r="BJ103" s="8">
        <f>BJ74*Assumptions!$B$51*BJ75*Assumptions!$B$176*(BJ60*BJ80+BJ62*Assumptions!$B$70*BJ82+BJ64*Assumptions!$B$80*BJ84+BJ66*Assumptions!$B$90*BJ86+BJ68*Assumptions!$B$100*BJ88+BJ70*Assumptions!$B$108*BJ90)</f>
        <v/>
      </c>
    </row>
    <row r="104">
      <c r="A104" s="4" t="inlineStr">
        <is>
          <t>Desired paid acquisition spend: SMEs</t>
        </is>
      </c>
      <c r="B104" s="17" t="inlineStr">
        <is>
          <t>R</t>
        </is>
      </c>
      <c r="C104" s="8">
        <f>C74*Assumptions!$B$51*C75*Assumptions!$B$177*(C61*C92+C63*Assumptions!$B$70*C94+C65*Assumptions!$B$80*C96+C67*Assumptions!$B$90*C98+C69*Assumptions!$B$100*C100+C71*Assumptions!$B$108*C102)</f>
        <v/>
      </c>
      <c r="D104" s="8">
        <f>D74*Assumptions!$B$51*D75*Assumptions!$B$177*(D61*D92+D63*Assumptions!$B$70*D94+D65*Assumptions!$B$80*D96+D67*Assumptions!$B$90*D98+D69*Assumptions!$B$100*D100+D71*Assumptions!$B$108*D102)</f>
        <v/>
      </c>
      <c r="E104" s="8">
        <f>E74*Assumptions!$B$51*E75*Assumptions!$B$177*(E61*E92+E63*Assumptions!$B$70*E94+E65*Assumptions!$B$80*E96+E67*Assumptions!$B$90*E98+E69*Assumptions!$B$100*E100+E71*Assumptions!$B$108*E102)</f>
        <v/>
      </c>
      <c r="F104" s="8">
        <f>F74*Assumptions!$B$51*F75*Assumptions!$B$177*(F61*F92+F63*Assumptions!$B$70*F94+F65*Assumptions!$B$80*F96+F67*Assumptions!$B$90*F98+F69*Assumptions!$B$100*F100+F71*Assumptions!$B$108*F102)</f>
        <v/>
      </c>
      <c r="G104" s="8">
        <f>G74*Assumptions!$B$51*G75*Assumptions!$B$177*(G61*G92+G63*Assumptions!$B$70*G94+G65*Assumptions!$B$80*G96+G67*Assumptions!$B$90*G98+G69*Assumptions!$B$100*G100+G71*Assumptions!$B$108*G102)</f>
        <v/>
      </c>
      <c r="H104" s="8">
        <f>H74*Assumptions!$B$51*H75*Assumptions!$B$177*(H61*H92+H63*Assumptions!$B$70*H94+H65*Assumptions!$B$80*H96+H67*Assumptions!$B$90*H98+H69*Assumptions!$B$100*H100+H71*Assumptions!$B$108*H102)</f>
        <v/>
      </c>
      <c r="I104" s="8">
        <f>I74*Assumptions!$B$51*I75*Assumptions!$B$177*(I61*I92+I63*Assumptions!$B$70*I94+I65*Assumptions!$B$80*I96+I67*Assumptions!$B$90*I98+I69*Assumptions!$B$100*I100+I71*Assumptions!$B$108*I102)</f>
        <v/>
      </c>
      <c r="J104" s="8">
        <f>J74*Assumptions!$B$51*J75*Assumptions!$B$177*(J61*J92+J63*Assumptions!$B$70*J94+J65*Assumptions!$B$80*J96+J67*Assumptions!$B$90*J98+J69*Assumptions!$B$100*J100+J71*Assumptions!$B$108*J102)</f>
        <v/>
      </c>
      <c r="K104" s="8">
        <f>K74*Assumptions!$B$51*K75*Assumptions!$B$177*(K61*K92+K63*Assumptions!$B$70*K94+K65*Assumptions!$B$80*K96+K67*Assumptions!$B$90*K98+K69*Assumptions!$B$100*K100+K71*Assumptions!$B$108*K102)</f>
        <v/>
      </c>
      <c r="L104" s="8">
        <f>L74*Assumptions!$B$51*L75*Assumptions!$B$177*(L61*L92+L63*Assumptions!$B$70*L94+L65*Assumptions!$B$80*L96+L67*Assumptions!$B$90*L98+L69*Assumptions!$B$100*L100+L71*Assumptions!$B$108*L102)</f>
        <v/>
      </c>
      <c r="M104" s="8">
        <f>M74*Assumptions!$B$51*M75*Assumptions!$B$177*(M61*M92+M63*Assumptions!$B$70*M94+M65*Assumptions!$B$80*M96+M67*Assumptions!$B$90*M98+M69*Assumptions!$B$100*M100+M71*Assumptions!$B$108*M102)</f>
        <v/>
      </c>
      <c r="N104" s="8">
        <f>N74*Assumptions!$B$51*N75*Assumptions!$B$177*(N61*N92+N63*Assumptions!$B$70*N94+N65*Assumptions!$B$80*N96+N67*Assumptions!$B$90*N98+N69*Assumptions!$B$100*N100+N71*Assumptions!$B$108*N102)</f>
        <v/>
      </c>
      <c r="O104" s="8">
        <f>O74*Assumptions!$B$51*O75*Assumptions!$B$177*(O61*O92+O63*Assumptions!$B$70*O94+O65*Assumptions!$B$80*O96+O67*Assumptions!$B$90*O98+O69*Assumptions!$B$100*O100+O71*Assumptions!$B$108*O102)</f>
        <v/>
      </c>
      <c r="P104" s="8">
        <f>P74*Assumptions!$B$51*P75*Assumptions!$B$177*(P61*P92+P63*Assumptions!$B$70*P94+P65*Assumptions!$B$80*P96+P67*Assumptions!$B$90*P98+P69*Assumptions!$B$100*P100+P71*Assumptions!$B$108*P102)</f>
        <v/>
      </c>
      <c r="Q104" s="8">
        <f>Q74*Assumptions!$B$51*Q75*Assumptions!$B$177*(Q61*Q92+Q63*Assumptions!$B$70*Q94+Q65*Assumptions!$B$80*Q96+Q67*Assumptions!$B$90*Q98+Q69*Assumptions!$B$100*Q100+Q71*Assumptions!$B$108*Q102)</f>
        <v/>
      </c>
      <c r="R104" s="8">
        <f>R74*Assumptions!$B$51*R75*Assumptions!$B$177*(R61*R92+R63*Assumptions!$B$70*R94+R65*Assumptions!$B$80*R96+R67*Assumptions!$B$90*R98+R69*Assumptions!$B$100*R100+R71*Assumptions!$B$108*R102)</f>
        <v/>
      </c>
      <c r="S104" s="8">
        <f>S74*Assumptions!$B$51*S75*Assumptions!$B$177*(S61*S92+S63*Assumptions!$B$70*S94+S65*Assumptions!$B$80*S96+S67*Assumptions!$B$90*S98+S69*Assumptions!$B$100*S100+S71*Assumptions!$B$108*S102)</f>
        <v/>
      </c>
      <c r="T104" s="8">
        <f>T74*Assumptions!$B$51*T75*Assumptions!$B$177*(T61*T92+T63*Assumptions!$B$70*T94+T65*Assumptions!$B$80*T96+T67*Assumptions!$B$90*T98+T69*Assumptions!$B$100*T100+T71*Assumptions!$B$108*T102)</f>
        <v/>
      </c>
      <c r="U104" s="8">
        <f>U74*Assumptions!$B$51*U75*Assumptions!$B$177*(U61*U92+U63*Assumptions!$B$70*U94+U65*Assumptions!$B$80*U96+U67*Assumptions!$B$90*U98+U69*Assumptions!$B$100*U100+U71*Assumptions!$B$108*U102)</f>
        <v/>
      </c>
      <c r="V104" s="8">
        <f>V74*Assumptions!$B$51*V75*Assumptions!$B$177*(V61*V92+V63*Assumptions!$B$70*V94+V65*Assumptions!$B$80*V96+V67*Assumptions!$B$90*V98+V69*Assumptions!$B$100*V100+V71*Assumptions!$B$108*V102)</f>
        <v/>
      </c>
      <c r="W104" s="8">
        <f>W74*Assumptions!$B$51*W75*Assumptions!$B$177*(W61*W92+W63*Assumptions!$B$70*W94+W65*Assumptions!$B$80*W96+W67*Assumptions!$B$90*W98+W69*Assumptions!$B$100*W100+W71*Assumptions!$B$108*W102)</f>
        <v/>
      </c>
      <c r="X104" s="8">
        <f>X74*Assumptions!$B$51*X75*Assumptions!$B$177*(X61*X92+X63*Assumptions!$B$70*X94+X65*Assumptions!$B$80*X96+X67*Assumptions!$B$90*X98+X69*Assumptions!$B$100*X100+X71*Assumptions!$B$108*X102)</f>
        <v/>
      </c>
      <c r="Y104" s="8">
        <f>Y74*Assumptions!$B$51*Y75*Assumptions!$B$177*(Y61*Y92+Y63*Assumptions!$B$70*Y94+Y65*Assumptions!$B$80*Y96+Y67*Assumptions!$B$90*Y98+Y69*Assumptions!$B$100*Y100+Y71*Assumptions!$B$108*Y102)</f>
        <v/>
      </c>
      <c r="Z104" s="8">
        <f>Z74*Assumptions!$B$51*Z75*Assumptions!$B$177*(Z61*Z92+Z63*Assumptions!$B$70*Z94+Z65*Assumptions!$B$80*Z96+Z67*Assumptions!$B$90*Z98+Z69*Assumptions!$B$100*Z100+Z71*Assumptions!$B$108*Z102)</f>
        <v/>
      </c>
      <c r="AA104" s="8">
        <f>AA74*Assumptions!$B$51*AA75*Assumptions!$B$177*(AA61*AA92+AA63*Assumptions!$B$70*AA94+AA65*Assumptions!$B$80*AA96+AA67*Assumptions!$B$90*AA98+AA69*Assumptions!$B$100*AA100+AA71*Assumptions!$B$108*AA102)</f>
        <v/>
      </c>
      <c r="AB104" s="8">
        <f>AB74*Assumptions!$B$51*AB75*Assumptions!$B$177*(AB61*AB92+AB63*Assumptions!$B$70*AB94+AB65*Assumptions!$B$80*AB96+AB67*Assumptions!$B$90*AB98+AB69*Assumptions!$B$100*AB100+AB71*Assumptions!$B$108*AB102)</f>
        <v/>
      </c>
      <c r="AC104" s="8">
        <f>AC74*Assumptions!$B$51*AC75*Assumptions!$B$177*(AC61*AC92+AC63*Assumptions!$B$70*AC94+AC65*Assumptions!$B$80*AC96+AC67*Assumptions!$B$90*AC98+AC69*Assumptions!$B$100*AC100+AC71*Assumptions!$B$108*AC102)</f>
        <v/>
      </c>
      <c r="AD104" s="8">
        <f>AD74*Assumptions!$B$51*AD75*Assumptions!$B$177*(AD61*AD92+AD63*Assumptions!$B$70*AD94+AD65*Assumptions!$B$80*AD96+AD67*Assumptions!$B$90*AD98+AD69*Assumptions!$B$100*AD100+AD71*Assumptions!$B$108*AD102)</f>
        <v/>
      </c>
      <c r="AE104" s="8">
        <f>AE74*Assumptions!$B$51*AE75*Assumptions!$B$177*(AE61*AE92+AE63*Assumptions!$B$70*AE94+AE65*Assumptions!$B$80*AE96+AE67*Assumptions!$B$90*AE98+AE69*Assumptions!$B$100*AE100+AE71*Assumptions!$B$108*AE102)</f>
        <v/>
      </c>
      <c r="AF104" s="8">
        <f>AF74*Assumptions!$B$51*AF75*Assumptions!$B$177*(AF61*AF92+AF63*Assumptions!$B$70*AF94+AF65*Assumptions!$B$80*AF96+AF67*Assumptions!$B$90*AF98+AF69*Assumptions!$B$100*AF100+AF71*Assumptions!$B$108*AF102)</f>
        <v/>
      </c>
      <c r="AG104" s="8">
        <f>AG74*Assumptions!$B$51*AG75*Assumptions!$B$177*(AG61*AG92+AG63*Assumptions!$B$70*AG94+AG65*Assumptions!$B$80*AG96+AG67*Assumptions!$B$90*AG98+AG69*Assumptions!$B$100*AG100+AG71*Assumptions!$B$108*AG102)</f>
        <v/>
      </c>
      <c r="AH104" s="8">
        <f>AH74*Assumptions!$B$51*AH75*Assumptions!$B$177*(AH61*AH92+AH63*Assumptions!$B$70*AH94+AH65*Assumptions!$B$80*AH96+AH67*Assumptions!$B$90*AH98+AH69*Assumptions!$B$100*AH100+AH71*Assumptions!$B$108*AH102)</f>
        <v/>
      </c>
      <c r="AI104" s="8">
        <f>AI74*Assumptions!$B$51*AI75*Assumptions!$B$177*(AI61*AI92+AI63*Assumptions!$B$70*AI94+AI65*Assumptions!$B$80*AI96+AI67*Assumptions!$B$90*AI98+AI69*Assumptions!$B$100*AI100+AI71*Assumptions!$B$108*AI102)</f>
        <v/>
      </c>
      <c r="AJ104" s="8">
        <f>AJ74*Assumptions!$B$51*AJ75*Assumptions!$B$177*(AJ61*AJ92+AJ63*Assumptions!$B$70*AJ94+AJ65*Assumptions!$B$80*AJ96+AJ67*Assumptions!$B$90*AJ98+AJ69*Assumptions!$B$100*AJ100+AJ71*Assumptions!$B$108*AJ102)</f>
        <v/>
      </c>
      <c r="AK104" s="8">
        <f>AK74*Assumptions!$B$51*AK75*Assumptions!$B$177*(AK61*AK92+AK63*Assumptions!$B$70*AK94+AK65*Assumptions!$B$80*AK96+AK67*Assumptions!$B$90*AK98+AK69*Assumptions!$B$100*AK100+AK71*Assumptions!$B$108*AK102)</f>
        <v/>
      </c>
      <c r="AL104" s="8">
        <f>AL74*Assumptions!$B$51*AL75*Assumptions!$B$177*(AL61*AL92+AL63*Assumptions!$B$70*AL94+AL65*Assumptions!$B$80*AL96+AL67*Assumptions!$B$90*AL98+AL69*Assumptions!$B$100*AL100+AL71*Assumptions!$B$108*AL102)</f>
        <v/>
      </c>
      <c r="AM104" s="8">
        <f>AM74*Assumptions!$B$51*AM75*Assumptions!$B$177*(AM61*AM92+AM63*Assumptions!$B$70*AM94+AM65*Assumptions!$B$80*AM96+AM67*Assumptions!$B$90*AM98+AM69*Assumptions!$B$100*AM100+AM71*Assumptions!$B$108*AM102)</f>
        <v/>
      </c>
      <c r="AN104" s="8">
        <f>AN74*Assumptions!$B$51*AN75*Assumptions!$B$177*(AN61*AN92+AN63*Assumptions!$B$70*AN94+AN65*Assumptions!$B$80*AN96+AN67*Assumptions!$B$90*AN98+AN69*Assumptions!$B$100*AN100+AN71*Assumptions!$B$108*AN102)</f>
        <v/>
      </c>
      <c r="AO104" s="8">
        <f>AO74*Assumptions!$B$51*AO75*Assumptions!$B$177*(AO61*AO92+AO63*Assumptions!$B$70*AO94+AO65*Assumptions!$B$80*AO96+AO67*Assumptions!$B$90*AO98+AO69*Assumptions!$B$100*AO100+AO71*Assumptions!$B$108*AO102)</f>
        <v/>
      </c>
      <c r="AP104" s="8">
        <f>AP74*Assumptions!$B$51*AP75*Assumptions!$B$177*(AP61*AP92+AP63*Assumptions!$B$70*AP94+AP65*Assumptions!$B$80*AP96+AP67*Assumptions!$B$90*AP98+AP69*Assumptions!$B$100*AP100+AP71*Assumptions!$B$108*AP102)</f>
        <v/>
      </c>
      <c r="AQ104" s="8">
        <f>AQ74*Assumptions!$B$51*AQ75*Assumptions!$B$177*(AQ61*AQ92+AQ63*Assumptions!$B$70*AQ94+AQ65*Assumptions!$B$80*AQ96+AQ67*Assumptions!$B$90*AQ98+AQ69*Assumptions!$B$100*AQ100+AQ71*Assumptions!$B$108*AQ102)</f>
        <v/>
      </c>
      <c r="AR104" s="8">
        <f>AR74*Assumptions!$B$51*AR75*Assumptions!$B$177*(AR61*AR92+AR63*Assumptions!$B$70*AR94+AR65*Assumptions!$B$80*AR96+AR67*Assumptions!$B$90*AR98+AR69*Assumptions!$B$100*AR100+AR71*Assumptions!$B$108*AR102)</f>
        <v/>
      </c>
      <c r="AS104" s="8">
        <f>AS74*Assumptions!$B$51*AS75*Assumptions!$B$177*(AS61*AS92+AS63*Assumptions!$B$70*AS94+AS65*Assumptions!$B$80*AS96+AS67*Assumptions!$B$90*AS98+AS69*Assumptions!$B$100*AS100+AS71*Assumptions!$B$108*AS102)</f>
        <v/>
      </c>
      <c r="AT104" s="8">
        <f>AT74*Assumptions!$B$51*AT75*Assumptions!$B$177*(AT61*AT92+AT63*Assumptions!$B$70*AT94+AT65*Assumptions!$B$80*AT96+AT67*Assumptions!$B$90*AT98+AT69*Assumptions!$B$100*AT100+AT71*Assumptions!$B$108*AT102)</f>
        <v/>
      </c>
      <c r="AU104" s="8">
        <f>AU74*Assumptions!$B$51*AU75*Assumptions!$B$177*(AU61*AU92+AU63*Assumptions!$B$70*AU94+AU65*Assumptions!$B$80*AU96+AU67*Assumptions!$B$90*AU98+AU69*Assumptions!$B$100*AU100+AU71*Assumptions!$B$108*AU102)</f>
        <v/>
      </c>
      <c r="AV104" s="8">
        <f>AV74*Assumptions!$B$51*AV75*Assumptions!$B$177*(AV61*AV92+AV63*Assumptions!$B$70*AV94+AV65*Assumptions!$B$80*AV96+AV67*Assumptions!$B$90*AV98+AV69*Assumptions!$B$100*AV100+AV71*Assumptions!$B$108*AV102)</f>
        <v/>
      </c>
      <c r="AW104" s="8">
        <f>AW74*Assumptions!$B$51*AW75*Assumptions!$B$177*(AW61*AW92+AW63*Assumptions!$B$70*AW94+AW65*Assumptions!$B$80*AW96+AW67*Assumptions!$B$90*AW98+AW69*Assumptions!$B$100*AW100+AW71*Assumptions!$B$108*AW102)</f>
        <v/>
      </c>
      <c r="AX104" s="8">
        <f>AX74*Assumptions!$B$51*AX75*Assumptions!$B$177*(AX61*AX92+AX63*Assumptions!$B$70*AX94+AX65*Assumptions!$B$80*AX96+AX67*Assumptions!$B$90*AX98+AX69*Assumptions!$B$100*AX100+AX71*Assumptions!$B$108*AX102)</f>
        <v/>
      </c>
      <c r="AY104" s="8">
        <f>AY74*Assumptions!$B$51*AY75*Assumptions!$B$177*(AY61*AY92+AY63*Assumptions!$B$70*AY94+AY65*Assumptions!$B$80*AY96+AY67*Assumptions!$B$90*AY98+AY69*Assumptions!$B$100*AY100+AY71*Assumptions!$B$108*AY102)</f>
        <v/>
      </c>
      <c r="AZ104" s="8">
        <f>AZ74*Assumptions!$B$51*AZ75*Assumptions!$B$177*(AZ61*AZ92+AZ63*Assumptions!$B$70*AZ94+AZ65*Assumptions!$B$80*AZ96+AZ67*Assumptions!$B$90*AZ98+AZ69*Assumptions!$B$100*AZ100+AZ71*Assumptions!$B$108*AZ102)</f>
        <v/>
      </c>
      <c r="BA104" s="8">
        <f>BA74*Assumptions!$B$51*BA75*Assumptions!$B$177*(BA61*BA92+BA63*Assumptions!$B$70*BA94+BA65*Assumptions!$B$80*BA96+BA67*Assumptions!$B$90*BA98+BA69*Assumptions!$B$100*BA100+BA71*Assumptions!$B$108*BA102)</f>
        <v/>
      </c>
      <c r="BB104" s="8">
        <f>BB74*Assumptions!$B$51*BB75*Assumptions!$B$177*(BB61*BB92+BB63*Assumptions!$B$70*BB94+BB65*Assumptions!$B$80*BB96+BB67*Assumptions!$B$90*BB98+BB69*Assumptions!$B$100*BB100+BB71*Assumptions!$B$108*BB102)</f>
        <v/>
      </c>
      <c r="BC104" s="8">
        <f>BC74*Assumptions!$B$51*BC75*Assumptions!$B$177*(BC61*BC92+BC63*Assumptions!$B$70*BC94+BC65*Assumptions!$B$80*BC96+BC67*Assumptions!$B$90*BC98+BC69*Assumptions!$B$100*BC100+BC71*Assumptions!$B$108*BC102)</f>
        <v/>
      </c>
      <c r="BD104" s="8">
        <f>BD74*Assumptions!$B$51*BD75*Assumptions!$B$177*(BD61*BD92+BD63*Assumptions!$B$70*BD94+BD65*Assumptions!$B$80*BD96+BD67*Assumptions!$B$90*BD98+BD69*Assumptions!$B$100*BD100+BD71*Assumptions!$B$108*BD102)</f>
        <v/>
      </c>
      <c r="BE104" s="8">
        <f>BE74*Assumptions!$B$51*BE75*Assumptions!$B$177*(BE61*BE92+BE63*Assumptions!$B$70*BE94+BE65*Assumptions!$B$80*BE96+BE67*Assumptions!$B$90*BE98+BE69*Assumptions!$B$100*BE100+BE71*Assumptions!$B$108*BE102)</f>
        <v/>
      </c>
      <c r="BF104" s="8">
        <f>BF74*Assumptions!$B$51*BF75*Assumptions!$B$177*(BF61*BF92+BF63*Assumptions!$B$70*BF94+BF65*Assumptions!$B$80*BF96+BF67*Assumptions!$B$90*BF98+BF69*Assumptions!$B$100*BF100+BF71*Assumptions!$B$108*BF102)</f>
        <v/>
      </c>
      <c r="BG104" s="8">
        <f>BG74*Assumptions!$B$51*BG75*Assumptions!$B$177*(BG61*BG92+BG63*Assumptions!$B$70*BG94+BG65*Assumptions!$B$80*BG96+BG67*Assumptions!$B$90*BG98+BG69*Assumptions!$B$100*BG100+BG71*Assumptions!$B$108*BG102)</f>
        <v/>
      </c>
      <c r="BH104" s="8">
        <f>BH74*Assumptions!$B$51*BH75*Assumptions!$B$177*(BH61*BH92+BH63*Assumptions!$B$70*BH94+BH65*Assumptions!$B$80*BH96+BH67*Assumptions!$B$90*BH98+BH69*Assumptions!$B$100*BH100+BH71*Assumptions!$B$108*BH102)</f>
        <v/>
      </c>
      <c r="BI104" s="8">
        <f>BI74*Assumptions!$B$51*BI75*Assumptions!$B$177*(BI61*BI92+BI63*Assumptions!$B$70*BI94+BI65*Assumptions!$B$80*BI96+BI67*Assumptions!$B$90*BI98+BI69*Assumptions!$B$100*BI100+BI71*Assumptions!$B$108*BI102)</f>
        <v/>
      </c>
      <c r="BJ104" s="8">
        <f>BJ74*Assumptions!$B$51*BJ75*Assumptions!$B$177*(BJ61*BJ92+BJ63*Assumptions!$B$70*BJ94+BJ65*Assumptions!$B$80*BJ96+BJ67*Assumptions!$B$90*BJ98+BJ69*Assumptions!$B$100*BJ100+BJ71*Assumptions!$B$108*BJ102)</f>
        <v/>
      </c>
    </row>
    <row r="105">
      <c r="A105" s="4" t="inlineStr">
        <is>
          <t>Desired paid acquisition spend: total</t>
        </is>
      </c>
      <c r="B105" s="17" t="inlineStr">
        <is>
          <t>R</t>
        </is>
      </c>
      <c r="C105" s="8">
        <f>C103+C104</f>
        <v/>
      </c>
      <c r="D105" s="8">
        <f>D103+D104</f>
        <v/>
      </c>
      <c r="E105" s="8">
        <f>E103+E104</f>
        <v/>
      </c>
      <c r="F105" s="8">
        <f>F103+F104</f>
        <v/>
      </c>
      <c r="G105" s="8">
        <f>G103+G104</f>
        <v/>
      </c>
      <c r="H105" s="8">
        <f>H103+H104</f>
        <v/>
      </c>
      <c r="I105" s="8">
        <f>I103+I104</f>
        <v/>
      </c>
      <c r="J105" s="8">
        <f>J103+J104</f>
        <v/>
      </c>
      <c r="K105" s="8">
        <f>K103+K104</f>
        <v/>
      </c>
      <c r="L105" s="8">
        <f>L103+L104</f>
        <v/>
      </c>
      <c r="M105" s="8">
        <f>M103+M104</f>
        <v/>
      </c>
      <c r="N105" s="8">
        <f>N103+N104</f>
        <v/>
      </c>
      <c r="O105" s="8">
        <f>O103+O104</f>
        <v/>
      </c>
      <c r="P105" s="8">
        <f>P103+P104</f>
        <v/>
      </c>
      <c r="Q105" s="8">
        <f>Q103+Q104</f>
        <v/>
      </c>
      <c r="R105" s="8">
        <f>R103+R104</f>
        <v/>
      </c>
      <c r="S105" s="8">
        <f>S103+S104</f>
        <v/>
      </c>
      <c r="T105" s="8">
        <f>T103+T104</f>
        <v/>
      </c>
      <c r="U105" s="8">
        <f>U103+U104</f>
        <v/>
      </c>
      <c r="V105" s="8">
        <f>V103+V104</f>
        <v/>
      </c>
      <c r="W105" s="8">
        <f>W103+W104</f>
        <v/>
      </c>
      <c r="X105" s="8">
        <f>X103+X104</f>
        <v/>
      </c>
      <c r="Y105" s="8">
        <f>Y103+Y104</f>
        <v/>
      </c>
      <c r="Z105" s="8">
        <f>Z103+Z104</f>
        <v/>
      </c>
      <c r="AA105" s="8">
        <f>AA103+AA104</f>
        <v/>
      </c>
      <c r="AB105" s="8">
        <f>AB103+AB104</f>
        <v/>
      </c>
      <c r="AC105" s="8">
        <f>AC103+AC104</f>
        <v/>
      </c>
      <c r="AD105" s="8">
        <f>AD103+AD104</f>
        <v/>
      </c>
      <c r="AE105" s="8">
        <f>AE103+AE104</f>
        <v/>
      </c>
      <c r="AF105" s="8">
        <f>AF103+AF104</f>
        <v/>
      </c>
      <c r="AG105" s="8">
        <f>AG103+AG104</f>
        <v/>
      </c>
      <c r="AH105" s="8">
        <f>AH103+AH104</f>
        <v/>
      </c>
      <c r="AI105" s="8">
        <f>AI103+AI104</f>
        <v/>
      </c>
      <c r="AJ105" s="8">
        <f>AJ103+AJ104</f>
        <v/>
      </c>
      <c r="AK105" s="8">
        <f>AK103+AK104</f>
        <v/>
      </c>
      <c r="AL105" s="8">
        <f>AL103+AL104</f>
        <v/>
      </c>
      <c r="AM105" s="8">
        <f>AM103+AM104</f>
        <v/>
      </c>
      <c r="AN105" s="8">
        <f>AN103+AN104</f>
        <v/>
      </c>
      <c r="AO105" s="8">
        <f>AO103+AO104</f>
        <v/>
      </c>
      <c r="AP105" s="8">
        <f>AP103+AP104</f>
        <v/>
      </c>
      <c r="AQ105" s="8">
        <f>AQ103+AQ104</f>
        <v/>
      </c>
      <c r="AR105" s="8">
        <f>AR103+AR104</f>
        <v/>
      </c>
      <c r="AS105" s="8">
        <f>AS103+AS104</f>
        <v/>
      </c>
      <c r="AT105" s="8">
        <f>AT103+AT104</f>
        <v/>
      </c>
      <c r="AU105" s="8">
        <f>AU103+AU104</f>
        <v/>
      </c>
      <c r="AV105" s="8">
        <f>AV103+AV104</f>
        <v/>
      </c>
      <c r="AW105" s="8">
        <f>AW103+AW104</f>
        <v/>
      </c>
      <c r="AX105" s="8">
        <f>AX103+AX104</f>
        <v/>
      </c>
      <c r="AY105" s="8">
        <f>AY103+AY104</f>
        <v/>
      </c>
      <c r="AZ105" s="8">
        <f>AZ103+AZ104</f>
        <v/>
      </c>
      <c r="BA105" s="8">
        <f>BA103+BA104</f>
        <v/>
      </c>
      <c r="BB105" s="8">
        <f>BB103+BB104</f>
        <v/>
      </c>
      <c r="BC105" s="8">
        <f>BC103+BC104</f>
        <v/>
      </c>
      <c r="BD105" s="8">
        <f>BD103+BD104</f>
        <v/>
      </c>
      <c r="BE105" s="8">
        <f>BE103+BE104</f>
        <v/>
      </c>
      <c r="BF105" s="8">
        <f>BF103+BF104</f>
        <v/>
      </c>
      <c r="BG105" s="8">
        <f>BG103+BG104</f>
        <v/>
      </c>
      <c r="BH105" s="8">
        <f>BH103+BH104</f>
        <v/>
      </c>
      <c r="BI105" s="8">
        <f>BI103+BI104</f>
        <v/>
      </c>
      <c r="BJ105" s="8">
        <f>BJ103+BJ104</f>
        <v/>
      </c>
    </row>
    <row r="106">
      <c r="A106" s="4" t="inlineStr">
        <is>
          <t>Paid acquisition cap (floor + cap % x last month's net MRR; 0 before seed)</t>
        </is>
      </c>
      <c r="B106" s="17" t="inlineStr">
        <is>
          <t>R</t>
        </is>
      </c>
      <c r="C106" s="8">
        <f>C8*(Assumptions!$B$179+Assumptions!$B$54*C10)</f>
        <v/>
      </c>
      <c r="D106" s="8">
        <f>D8*(Assumptions!$B$179+Assumptions!$B$54*D10)</f>
        <v/>
      </c>
      <c r="E106" s="8">
        <f>E8*(Assumptions!$B$179+Assumptions!$B$54*E10)</f>
        <v/>
      </c>
      <c r="F106" s="8">
        <f>F8*(Assumptions!$B$179+Assumptions!$B$54*F10)</f>
        <v/>
      </c>
      <c r="G106" s="8">
        <f>G8*(Assumptions!$B$179+Assumptions!$B$54*G10)</f>
        <v/>
      </c>
      <c r="H106" s="8">
        <f>H8*(Assumptions!$B$179+Assumptions!$B$54*H10)</f>
        <v/>
      </c>
      <c r="I106" s="8">
        <f>I8*(Assumptions!$B$179+Assumptions!$B$54*I10)</f>
        <v/>
      </c>
      <c r="J106" s="8">
        <f>J8*(Assumptions!$B$179+Assumptions!$B$54*J10)</f>
        <v/>
      </c>
      <c r="K106" s="8">
        <f>K8*(Assumptions!$B$179+Assumptions!$B$54*K10)</f>
        <v/>
      </c>
      <c r="L106" s="8">
        <f>L8*(Assumptions!$B$179+Assumptions!$B$54*L10)</f>
        <v/>
      </c>
      <c r="M106" s="8">
        <f>M8*(Assumptions!$B$179+Assumptions!$B$54*M10)</f>
        <v/>
      </c>
      <c r="N106" s="8">
        <f>N8*(Assumptions!$B$179+Assumptions!$B$54*N10)</f>
        <v/>
      </c>
      <c r="O106" s="8">
        <f>O8*(Assumptions!$B$179+Assumptions!$B$54*O10)</f>
        <v/>
      </c>
      <c r="P106" s="8">
        <f>P8*(Assumptions!$B$179+Assumptions!$B$54*P10)</f>
        <v/>
      </c>
      <c r="Q106" s="8">
        <f>Q8*(Assumptions!$B$179+Assumptions!$B$54*Q10)</f>
        <v/>
      </c>
      <c r="R106" s="8">
        <f>R8*(Assumptions!$B$179+Assumptions!$B$54*R10)</f>
        <v/>
      </c>
      <c r="S106" s="8">
        <f>S8*(Assumptions!$B$179+Assumptions!$B$54*S10)</f>
        <v/>
      </c>
      <c r="T106" s="8">
        <f>T8*(Assumptions!$B$179+Assumptions!$B$54*T10)</f>
        <v/>
      </c>
      <c r="U106" s="8">
        <f>U8*(Assumptions!$B$179+Assumptions!$B$54*U10)</f>
        <v/>
      </c>
      <c r="V106" s="8">
        <f>V8*(Assumptions!$B$179+Assumptions!$B$54*V10)</f>
        <v/>
      </c>
      <c r="W106" s="8">
        <f>W8*(Assumptions!$B$179+Assumptions!$B$54*W10)</f>
        <v/>
      </c>
      <c r="X106" s="8">
        <f>X8*(Assumptions!$B$179+Assumptions!$B$54*X10)</f>
        <v/>
      </c>
      <c r="Y106" s="8">
        <f>Y8*(Assumptions!$B$179+Assumptions!$B$54*Y10)</f>
        <v/>
      </c>
      <c r="Z106" s="8">
        <f>Z8*(Assumptions!$B$179+Assumptions!$B$54*Z10)</f>
        <v/>
      </c>
      <c r="AA106" s="8">
        <f>AA8*(Assumptions!$B$179+Assumptions!$B$54*AA10)</f>
        <v/>
      </c>
      <c r="AB106" s="8">
        <f>AB8*(Assumptions!$B$179+Assumptions!$B$54*AB10)</f>
        <v/>
      </c>
      <c r="AC106" s="8">
        <f>AC8*(Assumptions!$B$179+Assumptions!$B$54*AC10)</f>
        <v/>
      </c>
      <c r="AD106" s="8">
        <f>AD8*(Assumptions!$B$179+Assumptions!$B$54*AD10)</f>
        <v/>
      </c>
      <c r="AE106" s="8">
        <f>AE8*(Assumptions!$B$179+Assumptions!$B$54*AE10)</f>
        <v/>
      </c>
      <c r="AF106" s="8">
        <f>AF8*(Assumptions!$B$179+Assumptions!$B$54*AF10)</f>
        <v/>
      </c>
      <c r="AG106" s="8">
        <f>AG8*(Assumptions!$B$179+Assumptions!$B$54*AG10)</f>
        <v/>
      </c>
      <c r="AH106" s="8">
        <f>AH8*(Assumptions!$B$179+Assumptions!$B$54*AH10)</f>
        <v/>
      </c>
      <c r="AI106" s="8">
        <f>AI8*(Assumptions!$B$179+Assumptions!$B$54*AI10)</f>
        <v/>
      </c>
      <c r="AJ106" s="8">
        <f>AJ8*(Assumptions!$B$179+Assumptions!$B$54*AJ10)</f>
        <v/>
      </c>
      <c r="AK106" s="8">
        <f>AK8*(Assumptions!$B$179+Assumptions!$B$54*AK10)</f>
        <v/>
      </c>
      <c r="AL106" s="8">
        <f>AL8*(Assumptions!$B$179+Assumptions!$B$54*AL10)</f>
        <v/>
      </c>
      <c r="AM106" s="8">
        <f>AM8*(Assumptions!$B$179+Assumptions!$B$54*AM10)</f>
        <v/>
      </c>
      <c r="AN106" s="8">
        <f>AN8*(Assumptions!$B$179+Assumptions!$B$54*AN10)</f>
        <v/>
      </c>
      <c r="AO106" s="8">
        <f>AO8*(Assumptions!$B$179+Assumptions!$B$54*AO10)</f>
        <v/>
      </c>
      <c r="AP106" s="8">
        <f>AP8*(Assumptions!$B$179+Assumptions!$B$54*AP10)</f>
        <v/>
      </c>
      <c r="AQ106" s="8">
        <f>AQ8*(Assumptions!$B$179+Assumptions!$B$54*AQ10)</f>
        <v/>
      </c>
      <c r="AR106" s="8">
        <f>AR8*(Assumptions!$B$179+Assumptions!$B$54*AR10)</f>
        <v/>
      </c>
      <c r="AS106" s="8">
        <f>AS8*(Assumptions!$B$179+Assumptions!$B$54*AS10)</f>
        <v/>
      </c>
      <c r="AT106" s="8">
        <f>AT8*(Assumptions!$B$179+Assumptions!$B$54*AT10)</f>
        <v/>
      </c>
      <c r="AU106" s="8">
        <f>AU8*(Assumptions!$B$179+Assumptions!$B$54*AU10)</f>
        <v/>
      </c>
      <c r="AV106" s="8">
        <f>AV8*(Assumptions!$B$179+Assumptions!$B$54*AV10)</f>
        <v/>
      </c>
      <c r="AW106" s="8">
        <f>AW8*(Assumptions!$B$179+Assumptions!$B$54*AW10)</f>
        <v/>
      </c>
      <c r="AX106" s="8">
        <f>AX8*(Assumptions!$B$179+Assumptions!$B$54*AX10)</f>
        <v/>
      </c>
      <c r="AY106" s="8">
        <f>AY8*(Assumptions!$B$179+Assumptions!$B$54*AY10)</f>
        <v/>
      </c>
      <c r="AZ106" s="8">
        <f>AZ8*(Assumptions!$B$179+Assumptions!$B$54*AZ10)</f>
        <v/>
      </c>
      <c r="BA106" s="8">
        <f>BA8*(Assumptions!$B$179+Assumptions!$B$54*BA10)</f>
        <v/>
      </c>
      <c r="BB106" s="8">
        <f>BB8*(Assumptions!$B$179+Assumptions!$B$54*BB10)</f>
        <v/>
      </c>
      <c r="BC106" s="8">
        <f>BC8*(Assumptions!$B$179+Assumptions!$B$54*BC10)</f>
        <v/>
      </c>
      <c r="BD106" s="8">
        <f>BD8*(Assumptions!$B$179+Assumptions!$B$54*BD10)</f>
        <v/>
      </c>
      <c r="BE106" s="8">
        <f>BE8*(Assumptions!$B$179+Assumptions!$B$54*BE10)</f>
        <v/>
      </c>
      <c r="BF106" s="8">
        <f>BF8*(Assumptions!$B$179+Assumptions!$B$54*BF10)</f>
        <v/>
      </c>
      <c r="BG106" s="8">
        <f>BG8*(Assumptions!$B$179+Assumptions!$B$54*BG10)</f>
        <v/>
      </c>
      <c r="BH106" s="8">
        <f>BH8*(Assumptions!$B$179+Assumptions!$B$54*BH10)</f>
        <v/>
      </c>
      <c r="BI106" s="8">
        <f>BI8*(Assumptions!$B$179+Assumptions!$B$54*BI10)</f>
        <v/>
      </c>
      <c r="BJ106" s="8">
        <f>BJ8*(Assumptions!$B$179+Assumptions!$B$54*BJ10)</f>
        <v/>
      </c>
    </row>
    <row r="107">
      <c r="A107" s="4" t="inlineStr">
        <is>
          <t>Share of desired paid acquisition funded</t>
        </is>
      </c>
      <c r="B107" s="17" t="inlineStr">
        <is>
          <t>%</t>
        </is>
      </c>
      <c r="C107" s="9">
        <f>IF(C105=0,C8,MIN(1,C106/C105))</f>
        <v/>
      </c>
      <c r="D107" s="9">
        <f>IF(D105=0,D8,MIN(1,D106/D105))</f>
        <v/>
      </c>
      <c r="E107" s="9">
        <f>IF(E105=0,E8,MIN(1,E106/E105))</f>
        <v/>
      </c>
      <c r="F107" s="9">
        <f>IF(F105=0,F8,MIN(1,F106/F105))</f>
        <v/>
      </c>
      <c r="G107" s="9">
        <f>IF(G105=0,G8,MIN(1,G106/G105))</f>
        <v/>
      </c>
      <c r="H107" s="9">
        <f>IF(H105=0,H8,MIN(1,H106/H105))</f>
        <v/>
      </c>
      <c r="I107" s="9">
        <f>IF(I105=0,I8,MIN(1,I106/I105))</f>
        <v/>
      </c>
      <c r="J107" s="9">
        <f>IF(J105=0,J8,MIN(1,J106/J105))</f>
        <v/>
      </c>
      <c r="K107" s="9">
        <f>IF(K105=0,K8,MIN(1,K106/K105))</f>
        <v/>
      </c>
      <c r="L107" s="9">
        <f>IF(L105=0,L8,MIN(1,L106/L105))</f>
        <v/>
      </c>
      <c r="M107" s="9">
        <f>IF(M105=0,M8,MIN(1,M106/M105))</f>
        <v/>
      </c>
      <c r="N107" s="9">
        <f>IF(N105=0,N8,MIN(1,N106/N105))</f>
        <v/>
      </c>
      <c r="O107" s="9">
        <f>IF(O105=0,O8,MIN(1,O106/O105))</f>
        <v/>
      </c>
      <c r="P107" s="9">
        <f>IF(P105=0,P8,MIN(1,P106/P105))</f>
        <v/>
      </c>
      <c r="Q107" s="9">
        <f>IF(Q105=0,Q8,MIN(1,Q106/Q105))</f>
        <v/>
      </c>
      <c r="R107" s="9">
        <f>IF(R105=0,R8,MIN(1,R106/R105))</f>
        <v/>
      </c>
      <c r="S107" s="9">
        <f>IF(S105=0,S8,MIN(1,S106/S105))</f>
        <v/>
      </c>
      <c r="T107" s="9">
        <f>IF(T105=0,T8,MIN(1,T106/T105))</f>
        <v/>
      </c>
      <c r="U107" s="9">
        <f>IF(U105=0,U8,MIN(1,U106/U105))</f>
        <v/>
      </c>
      <c r="V107" s="9">
        <f>IF(V105=0,V8,MIN(1,V106/V105))</f>
        <v/>
      </c>
      <c r="W107" s="9">
        <f>IF(W105=0,W8,MIN(1,W106/W105))</f>
        <v/>
      </c>
      <c r="X107" s="9">
        <f>IF(X105=0,X8,MIN(1,X106/X105))</f>
        <v/>
      </c>
      <c r="Y107" s="9">
        <f>IF(Y105=0,Y8,MIN(1,Y106/Y105))</f>
        <v/>
      </c>
      <c r="Z107" s="9">
        <f>IF(Z105=0,Z8,MIN(1,Z106/Z105))</f>
        <v/>
      </c>
      <c r="AA107" s="9">
        <f>IF(AA105=0,AA8,MIN(1,AA106/AA105))</f>
        <v/>
      </c>
      <c r="AB107" s="9">
        <f>IF(AB105=0,AB8,MIN(1,AB106/AB105))</f>
        <v/>
      </c>
      <c r="AC107" s="9">
        <f>IF(AC105=0,AC8,MIN(1,AC106/AC105))</f>
        <v/>
      </c>
      <c r="AD107" s="9">
        <f>IF(AD105=0,AD8,MIN(1,AD106/AD105))</f>
        <v/>
      </c>
      <c r="AE107" s="9">
        <f>IF(AE105=0,AE8,MIN(1,AE106/AE105))</f>
        <v/>
      </c>
      <c r="AF107" s="9">
        <f>IF(AF105=0,AF8,MIN(1,AF106/AF105))</f>
        <v/>
      </c>
      <c r="AG107" s="9">
        <f>IF(AG105=0,AG8,MIN(1,AG106/AG105))</f>
        <v/>
      </c>
      <c r="AH107" s="9">
        <f>IF(AH105=0,AH8,MIN(1,AH106/AH105))</f>
        <v/>
      </c>
      <c r="AI107" s="9">
        <f>IF(AI105=0,AI8,MIN(1,AI106/AI105))</f>
        <v/>
      </c>
      <c r="AJ107" s="9">
        <f>IF(AJ105=0,AJ8,MIN(1,AJ106/AJ105))</f>
        <v/>
      </c>
      <c r="AK107" s="9">
        <f>IF(AK105=0,AK8,MIN(1,AK106/AK105))</f>
        <v/>
      </c>
      <c r="AL107" s="9">
        <f>IF(AL105=0,AL8,MIN(1,AL106/AL105))</f>
        <v/>
      </c>
      <c r="AM107" s="9">
        <f>IF(AM105=0,AM8,MIN(1,AM106/AM105))</f>
        <v/>
      </c>
      <c r="AN107" s="9">
        <f>IF(AN105=0,AN8,MIN(1,AN106/AN105))</f>
        <v/>
      </c>
      <c r="AO107" s="9">
        <f>IF(AO105=0,AO8,MIN(1,AO106/AO105))</f>
        <v/>
      </c>
      <c r="AP107" s="9">
        <f>IF(AP105=0,AP8,MIN(1,AP106/AP105))</f>
        <v/>
      </c>
      <c r="AQ107" s="9">
        <f>IF(AQ105=0,AQ8,MIN(1,AQ106/AQ105))</f>
        <v/>
      </c>
      <c r="AR107" s="9">
        <f>IF(AR105=0,AR8,MIN(1,AR106/AR105))</f>
        <v/>
      </c>
      <c r="AS107" s="9">
        <f>IF(AS105=0,AS8,MIN(1,AS106/AS105))</f>
        <v/>
      </c>
      <c r="AT107" s="9">
        <f>IF(AT105=0,AT8,MIN(1,AT106/AT105))</f>
        <v/>
      </c>
      <c r="AU107" s="9">
        <f>IF(AU105=0,AU8,MIN(1,AU106/AU105))</f>
        <v/>
      </c>
      <c r="AV107" s="9">
        <f>IF(AV105=0,AV8,MIN(1,AV106/AV105))</f>
        <v/>
      </c>
      <c r="AW107" s="9">
        <f>IF(AW105=0,AW8,MIN(1,AW106/AW105))</f>
        <v/>
      </c>
      <c r="AX107" s="9">
        <f>IF(AX105=0,AX8,MIN(1,AX106/AX105))</f>
        <v/>
      </c>
      <c r="AY107" s="9">
        <f>IF(AY105=0,AY8,MIN(1,AY106/AY105))</f>
        <v/>
      </c>
      <c r="AZ107" s="9">
        <f>IF(AZ105=0,AZ8,MIN(1,AZ106/AZ105))</f>
        <v/>
      </c>
      <c r="BA107" s="9">
        <f>IF(BA105=0,BA8,MIN(1,BA106/BA105))</f>
        <v/>
      </c>
      <c r="BB107" s="9">
        <f>IF(BB105=0,BB8,MIN(1,BB106/BB105))</f>
        <v/>
      </c>
      <c r="BC107" s="9">
        <f>IF(BC105=0,BC8,MIN(1,BC106/BC105))</f>
        <v/>
      </c>
      <c r="BD107" s="9">
        <f>IF(BD105=0,BD8,MIN(1,BD106/BD105))</f>
        <v/>
      </c>
      <c r="BE107" s="9">
        <f>IF(BE105=0,BE8,MIN(1,BE106/BE105))</f>
        <v/>
      </c>
      <c r="BF107" s="9">
        <f>IF(BF105=0,BF8,MIN(1,BF106/BF105))</f>
        <v/>
      </c>
      <c r="BG107" s="9">
        <f>IF(BG105=0,BG8,MIN(1,BG106/BG105))</f>
        <v/>
      </c>
      <c r="BH107" s="9">
        <f>IF(BH105=0,BH8,MIN(1,BH106/BH105))</f>
        <v/>
      </c>
      <c r="BI107" s="9">
        <f>IF(BI105=0,BI8,MIN(1,BI106/BI105))</f>
        <v/>
      </c>
      <c r="BJ107" s="9">
        <f>IF(BJ105=0,BJ8,MIN(1,BJ106/BJ105))</f>
        <v/>
      </c>
    </row>
    <row r="108">
      <c r="A108" s="4" t="inlineStr">
        <is>
          <t>Paid acquisition spend: Solo</t>
        </is>
      </c>
      <c r="B108" s="17" t="inlineStr">
        <is>
          <t>R</t>
        </is>
      </c>
      <c r="C108" s="8">
        <f>C103*C107</f>
        <v/>
      </c>
      <c r="D108" s="8">
        <f>D103*D107</f>
        <v/>
      </c>
      <c r="E108" s="8">
        <f>E103*E107</f>
        <v/>
      </c>
      <c r="F108" s="8">
        <f>F103*F107</f>
        <v/>
      </c>
      <c r="G108" s="8">
        <f>G103*G107</f>
        <v/>
      </c>
      <c r="H108" s="8">
        <f>H103*H107</f>
        <v/>
      </c>
      <c r="I108" s="8">
        <f>I103*I107</f>
        <v/>
      </c>
      <c r="J108" s="8">
        <f>J103*J107</f>
        <v/>
      </c>
      <c r="K108" s="8">
        <f>K103*K107</f>
        <v/>
      </c>
      <c r="L108" s="8">
        <f>L103*L107</f>
        <v/>
      </c>
      <c r="M108" s="8">
        <f>M103*M107</f>
        <v/>
      </c>
      <c r="N108" s="8">
        <f>N103*N107</f>
        <v/>
      </c>
      <c r="O108" s="8">
        <f>O103*O107</f>
        <v/>
      </c>
      <c r="P108" s="8">
        <f>P103*P107</f>
        <v/>
      </c>
      <c r="Q108" s="8">
        <f>Q103*Q107</f>
        <v/>
      </c>
      <c r="R108" s="8">
        <f>R103*R107</f>
        <v/>
      </c>
      <c r="S108" s="8">
        <f>S103*S107</f>
        <v/>
      </c>
      <c r="T108" s="8">
        <f>T103*T107</f>
        <v/>
      </c>
      <c r="U108" s="8">
        <f>U103*U107</f>
        <v/>
      </c>
      <c r="V108" s="8">
        <f>V103*V107</f>
        <v/>
      </c>
      <c r="W108" s="8">
        <f>W103*W107</f>
        <v/>
      </c>
      <c r="X108" s="8">
        <f>X103*X107</f>
        <v/>
      </c>
      <c r="Y108" s="8">
        <f>Y103*Y107</f>
        <v/>
      </c>
      <c r="Z108" s="8">
        <f>Z103*Z107</f>
        <v/>
      </c>
      <c r="AA108" s="8">
        <f>AA103*AA107</f>
        <v/>
      </c>
      <c r="AB108" s="8">
        <f>AB103*AB107</f>
        <v/>
      </c>
      <c r="AC108" s="8">
        <f>AC103*AC107</f>
        <v/>
      </c>
      <c r="AD108" s="8">
        <f>AD103*AD107</f>
        <v/>
      </c>
      <c r="AE108" s="8">
        <f>AE103*AE107</f>
        <v/>
      </c>
      <c r="AF108" s="8">
        <f>AF103*AF107</f>
        <v/>
      </c>
      <c r="AG108" s="8">
        <f>AG103*AG107</f>
        <v/>
      </c>
      <c r="AH108" s="8">
        <f>AH103*AH107</f>
        <v/>
      </c>
      <c r="AI108" s="8">
        <f>AI103*AI107</f>
        <v/>
      </c>
      <c r="AJ108" s="8">
        <f>AJ103*AJ107</f>
        <v/>
      </c>
      <c r="AK108" s="8">
        <f>AK103*AK107</f>
        <v/>
      </c>
      <c r="AL108" s="8">
        <f>AL103*AL107</f>
        <v/>
      </c>
      <c r="AM108" s="8">
        <f>AM103*AM107</f>
        <v/>
      </c>
      <c r="AN108" s="8">
        <f>AN103*AN107</f>
        <v/>
      </c>
      <c r="AO108" s="8">
        <f>AO103*AO107</f>
        <v/>
      </c>
      <c r="AP108" s="8">
        <f>AP103*AP107</f>
        <v/>
      </c>
      <c r="AQ108" s="8">
        <f>AQ103*AQ107</f>
        <v/>
      </c>
      <c r="AR108" s="8">
        <f>AR103*AR107</f>
        <v/>
      </c>
      <c r="AS108" s="8">
        <f>AS103*AS107</f>
        <v/>
      </c>
      <c r="AT108" s="8">
        <f>AT103*AT107</f>
        <v/>
      </c>
      <c r="AU108" s="8">
        <f>AU103*AU107</f>
        <v/>
      </c>
      <c r="AV108" s="8">
        <f>AV103*AV107</f>
        <v/>
      </c>
      <c r="AW108" s="8">
        <f>AW103*AW107</f>
        <v/>
      </c>
      <c r="AX108" s="8">
        <f>AX103*AX107</f>
        <v/>
      </c>
      <c r="AY108" s="8">
        <f>AY103*AY107</f>
        <v/>
      </c>
      <c r="AZ108" s="8">
        <f>AZ103*AZ107</f>
        <v/>
      </c>
      <c r="BA108" s="8">
        <f>BA103*BA107</f>
        <v/>
      </c>
      <c r="BB108" s="8">
        <f>BB103*BB107</f>
        <v/>
      </c>
      <c r="BC108" s="8">
        <f>BC103*BC107</f>
        <v/>
      </c>
      <c r="BD108" s="8">
        <f>BD103*BD107</f>
        <v/>
      </c>
      <c r="BE108" s="8">
        <f>BE103*BE107</f>
        <v/>
      </c>
      <c r="BF108" s="8">
        <f>BF103*BF107</f>
        <v/>
      </c>
      <c r="BG108" s="8">
        <f>BG103*BG107</f>
        <v/>
      </c>
      <c r="BH108" s="8">
        <f>BH103*BH107</f>
        <v/>
      </c>
      <c r="BI108" s="8">
        <f>BI103*BI107</f>
        <v/>
      </c>
      <c r="BJ108" s="8">
        <f>BJ103*BJ107</f>
        <v/>
      </c>
    </row>
    <row r="109">
      <c r="A109" s="4" t="inlineStr">
        <is>
          <t>Paid acquisition spend: SMEs</t>
        </is>
      </c>
      <c r="B109" s="17" t="inlineStr">
        <is>
          <t>R</t>
        </is>
      </c>
      <c r="C109" s="8">
        <f>C104*C107</f>
        <v/>
      </c>
      <c r="D109" s="8">
        <f>D104*D107</f>
        <v/>
      </c>
      <c r="E109" s="8">
        <f>E104*E107</f>
        <v/>
      </c>
      <c r="F109" s="8">
        <f>F104*F107</f>
        <v/>
      </c>
      <c r="G109" s="8">
        <f>G104*G107</f>
        <v/>
      </c>
      <c r="H109" s="8">
        <f>H104*H107</f>
        <v/>
      </c>
      <c r="I109" s="8">
        <f>I104*I107</f>
        <v/>
      </c>
      <c r="J109" s="8">
        <f>J104*J107</f>
        <v/>
      </c>
      <c r="K109" s="8">
        <f>K104*K107</f>
        <v/>
      </c>
      <c r="L109" s="8">
        <f>L104*L107</f>
        <v/>
      </c>
      <c r="M109" s="8">
        <f>M104*M107</f>
        <v/>
      </c>
      <c r="N109" s="8">
        <f>N104*N107</f>
        <v/>
      </c>
      <c r="O109" s="8">
        <f>O104*O107</f>
        <v/>
      </c>
      <c r="P109" s="8">
        <f>P104*P107</f>
        <v/>
      </c>
      <c r="Q109" s="8">
        <f>Q104*Q107</f>
        <v/>
      </c>
      <c r="R109" s="8">
        <f>R104*R107</f>
        <v/>
      </c>
      <c r="S109" s="8">
        <f>S104*S107</f>
        <v/>
      </c>
      <c r="T109" s="8">
        <f>T104*T107</f>
        <v/>
      </c>
      <c r="U109" s="8">
        <f>U104*U107</f>
        <v/>
      </c>
      <c r="V109" s="8">
        <f>V104*V107</f>
        <v/>
      </c>
      <c r="W109" s="8">
        <f>W104*W107</f>
        <v/>
      </c>
      <c r="X109" s="8">
        <f>X104*X107</f>
        <v/>
      </c>
      <c r="Y109" s="8">
        <f>Y104*Y107</f>
        <v/>
      </c>
      <c r="Z109" s="8">
        <f>Z104*Z107</f>
        <v/>
      </c>
      <c r="AA109" s="8">
        <f>AA104*AA107</f>
        <v/>
      </c>
      <c r="AB109" s="8">
        <f>AB104*AB107</f>
        <v/>
      </c>
      <c r="AC109" s="8">
        <f>AC104*AC107</f>
        <v/>
      </c>
      <c r="AD109" s="8">
        <f>AD104*AD107</f>
        <v/>
      </c>
      <c r="AE109" s="8">
        <f>AE104*AE107</f>
        <v/>
      </c>
      <c r="AF109" s="8">
        <f>AF104*AF107</f>
        <v/>
      </c>
      <c r="AG109" s="8">
        <f>AG104*AG107</f>
        <v/>
      </c>
      <c r="AH109" s="8">
        <f>AH104*AH107</f>
        <v/>
      </c>
      <c r="AI109" s="8">
        <f>AI104*AI107</f>
        <v/>
      </c>
      <c r="AJ109" s="8">
        <f>AJ104*AJ107</f>
        <v/>
      </c>
      <c r="AK109" s="8">
        <f>AK104*AK107</f>
        <v/>
      </c>
      <c r="AL109" s="8">
        <f>AL104*AL107</f>
        <v/>
      </c>
      <c r="AM109" s="8">
        <f>AM104*AM107</f>
        <v/>
      </c>
      <c r="AN109" s="8">
        <f>AN104*AN107</f>
        <v/>
      </c>
      <c r="AO109" s="8">
        <f>AO104*AO107</f>
        <v/>
      </c>
      <c r="AP109" s="8">
        <f>AP104*AP107</f>
        <v/>
      </c>
      <c r="AQ109" s="8">
        <f>AQ104*AQ107</f>
        <v/>
      </c>
      <c r="AR109" s="8">
        <f>AR104*AR107</f>
        <v/>
      </c>
      <c r="AS109" s="8">
        <f>AS104*AS107</f>
        <v/>
      </c>
      <c r="AT109" s="8">
        <f>AT104*AT107</f>
        <v/>
      </c>
      <c r="AU109" s="8">
        <f>AU104*AU107</f>
        <v/>
      </c>
      <c r="AV109" s="8">
        <f>AV104*AV107</f>
        <v/>
      </c>
      <c r="AW109" s="8">
        <f>AW104*AW107</f>
        <v/>
      </c>
      <c r="AX109" s="8">
        <f>AX104*AX107</f>
        <v/>
      </c>
      <c r="AY109" s="8">
        <f>AY104*AY107</f>
        <v/>
      </c>
      <c r="AZ109" s="8">
        <f>AZ104*AZ107</f>
        <v/>
      </c>
      <c r="BA109" s="8">
        <f>BA104*BA107</f>
        <v/>
      </c>
      <c r="BB109" s="8">
        <f>BB104*BB107</f>
        <v/>
      </c>
      <c r="BC109" s="8">
        <f>BC104*BC107</f>
        <v/>
      </c>
      <c r="BD109" s="8">
        <f>BD104*BD107</f>
        <v/>
      </c>
      <c r="BE109" s="8">
        <f>BE104*BE107</f>
        <v/>
      </c>
      <c r="BF109" s="8">
        <f>BF104*BF107</f>
        <v/>
      </c>
      <c r="BG109" s="8">
        <f>BG104*BG107</f>
        <v/>
      </c>
      <c r="BH109" s="8">
        <f>BH104*BH107</f>
        <v/>
      </c>
      <c r="BI109" s="8">
        <f>BI104*BI107</f>
        <v/>
      </c>
      <c r="BJ109" s="8">
        <f>BJ104*BJ107</f>
        <v/>
      </c>
    </row>
    <row r="110">
      <c r="A110" s="3" t="inlineStr">
        <is>
          <t>Paid acquisition spend: total</t>
        </is>
      </c>
      <c r="B110" s="17" t="inlineStr">
        <is>
          <t>R</t>
        </is>
      </c>
      <c r="C110" s="42">
        <f>C108+C109</f>
        <v/>
      </c>
      <c r="D110" s="42">
        <f>D108+D109</f>
        <v/>
      </c>
      <c r="E110" s="42">
        <f>E108+E109</f>
        <v/>
      </c>
      <c r="F110" s="42">
        <f>F108+F109</f>
        <v/>
      </c>
      <c r="G110" s="42">
        <f>G108+G109</f>
        <v/>
      </c>
      <c r="H110" s="42">
        <f>H108+H109</f>
        <v/>
      </c>
      <c r="I110" s="42">
        <f>I108+I109</f>
        <v/>
      </c>
      <c r="J110" s="42">
        <f>J108+J109</f>
        <v/>
      </c>
      <c r="K110" s="42">
        <f>K108+K109</f>
        <v/>
      </c>
      <c r="L110" s="42">
        <f>L108+L109</f>
        <v/>
      </c>
      <c r="M110" s="42">
        <f>M108+M109</f>
        <v/>
      </c>
      <c r="N110" s="42">
        <f>N108+N109</f>
        <v/>
      </c>
      <c r="O110" s="42">
        <f>O108+O109</f>
        <v/>
      </c>
      <c r="P110" s="42">
        <f>P108+P109</f>
        <v/>
      </c>
      <c r="Q110" s="42">
        <f>Q108+Q109</f>
        <v/>
      </c>
      <c r="R110" s="42">
        <f>R108+R109</f>
        <v/>
      </c>
      <c r="S110" s="42">
        <f>S108+S109</f>
        <v/>
      </c>
      <c r="T110" s="42">
        <f>T108+T109</f>
        <v/>
      </c>
      <c r="U110" s="42">
        <f>U108+U109</f>
        <v/>
      </c>
      <c r="V110" s="42">
        <f>V108+V109</f>
        <v/>
      </c>
      <c r="W110" s="42">
        <f>W108+W109</f>
        <v/>
      </c>
      <c r="X110" s="42">
        <f>X108+X109</f>
        <v/>
      </c>
      <c r="Y110" s="42">
        <f>Y108+Y109</f>
        <v/>
      </c>
      <c r="Z110" s="42">
        <f>Z108+Z109</f>
        <v/>
      </c>
      <c r="AA110" s="42">
        <f>AA108+AA109</f>
        <v/>
      </c>
      <c r="AB110" s="42">
        <f>AB108+AB109</f>
        <v/>
      </c>
      <c r="AC110" s="42">
        <f>AC108+AC109</f>
        <v/>
      </c>
      <c r="AD110" s="42">
        <f>AD108+AD109</f>
        <v/>
      </c>
      <c r="AE110" s="42">
        <f>AE108+AE109</f>
        <v/>
      </c>
      <c r="AF110" s="42">
        <f>AF108+AF109</f>
        <v/>
      </c>
      <c r="AG110" s="42">
        <f>AG108+AG109</f>
        <v/>
      </c>
      <c r="AH110" s="42">
        <f>AH108+AH109</f>
        <v/>
      </c>
      <c r="AI110" s="42">
        <f>AI108+AI109</f>
        <v/>
      </c>
      <c r="AJ110" s="42">
        <f>AJ108+AJ109</f>
        <v/>
      </c>
      <c r="AK110" s="42">
        <f>AK108+AK109</f>
        <v/>
      </c>
      <c r="AL110" s="42">
        <f>AL108+AL109</f>
        <v/>
      </c>
      <c r="AM110" s="42">
        <f>AM108+AM109</f>
        <v/>
      </c>
      <c r="AN110" s="42">
        <f>AN108+AN109</f>
        <v/>
      </c>
      <c r="AO110" s="42">
        <f>AO108+AO109</f>
        <v/>
      </c>
      <c r="AP110" s="42">
        <f>AP108+AP109</f>
        <v/>
      </c>
      <c r="AQ110" s="42">
        <f>AQ108+AQ109</f>
        <v/>
      </c>
      <c r="AR110" s="42">
        <f>AR108+AR109</f>
        <v/>
      </c>
      <c r="AS110" s="42">
        <f>AS108+AS109</f>
        <v/>
      </c>
      <c r="AT110" s="42">
        <f>AT108+AT109</f>
        <v/>
      </c>
      <c r="AU110" s="42">
        <f>AU108+AU109</f>
        <v/>
      </c>
      <c r="AV110" s="42">
        <f>AV108+AV109</f>
        <v/>
      </c>
      <c r="AW110" s="42">
        <f>AW108+AW109</f>
        <v/>
      </c>
      <c r="AX110" s="42">
        <f>AX108+AX109</f>
        <v/>
      </c>
      <c r="AY110" s="42">
        <f>AY108+AY109</f>
        <v/>
      </c>
      <c r="AZ110" s="42">
        <f>AZ108+AZ109</f>
        <v/>
      </c>
      <c r="BA110" s="42">
        <f>BA108+BA109</f>
        <v/>
      </c>
      <c r="BB110" s="42">
        <f>BB108+BB109</f>
        <v/>
      </c>
      <c r="BC110" s="42">
        <f>BC108+BC109</f>
        <v/>
      </c>
      <c r="BD110" s="42">
        <f>BD108+BD109</f>
        <v/>
      </c>
      <c r="BE110" s="42">
        <f>BE108+BE109</f>
        <v/>
      </c>
      <c r="BF110" s="42">
        <f>BF108+BF109</f>
        <v/>
      </c>
      <c r="BG110" s="42">
        <f>BG108+BG109</f>
        <v/>
      </c>
      <c r="BH110" s="42">
        <f>BH108+BH109</f>
        <v/>
      </c>
      <c r="BI110" s="42">
        <f>BI108+BI109</f>
        <v/>
      </c>
      <c r="BJ110" s="42">
        <f>BJ108+BJ109</f>
        <v/>
      </c>
    </row>
    <row r="111"/>
    <row r="112">
      <c r="A112" s="19" t="inlineStr">
        <is>
          <t>New paying customers by market &amp; segment</t>
        </is>
      </c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19" t="n"/>
      <c r="AS112" s="19" t="n"/>
      <c r="AT112" s="19" t="n"/>
      <c r="AU112" s="19" t="n"/>
      <c r="AV112" s="19" t="n"/>
      <c r="AW112" s="19" t="n"/>
      <c r="AX112" s="19" t="n"/>
      <c r="AY112" s="19" t="n"/>
      <c r="AZ112" s="19" t="n"/>
      <c r="BA112" s="19" t="n"/>
      <c r="BB112" s="19" t="n"/>
      <c r="BC112" s="19" t="n"/>
      <c r="BD112" s="19" t="n"/>
      <c r="BE112" s="19" t="n"/>
      <c r="BF112" s="19" t="n"/>
      <c r="BG112" s="19" t="n"/>
      <c r="BH112" s="19" t="n"/>
      <c r="BI112" s="19" t="n"/>
      <c r="BJ112" s="19" t="n"/>
    </row>
    <row r="113">
      <c r="A113" s="4" t="inlineStr">
        <is>
          <t>New Solo: South Africa</t>
        </is>
      </c>
      <c r="B113" s="17" t="inlineStr">
        <is>
          <t>workspaces</t>
        </is>
      </c>
      <c r="C113" s="41">
        <f>C60*(1-C74+C74*C107*C80)</f>
        <v/>
      </c>
      <c r="D113" s="41">
        <f>D60*(1-D74+D74*D107*D80)</f>
        <v/>
      </c>
      <c r="E113" s="41">
        <f>E60*(1-E74+E74*E107*E80)</f>
        <v/>
      </c>
      <c r="F113" s="41">
        <f>F60*(1-F74+F74*F107*F80)</f>
        <v/>
      </c>
      <c r="G113" s="41">
        <f>G60*(1-G74+G74*G107*G80)</f>
        <v/>
      </c>
      <c r="H113" s="41">
        <f>H60*(1-H74+H74*H107*H80)</f>
        <v/>
      </c>
      <c r="I113" s="41">
        <f>I60*(1-I74+I74*I107*I80)</f>
        <v/>
      </c>
      <c r="J113" s="41">
        <f>J60*(1-J74+J74*J107*J80)</f>
        <v/>
      </c>
      <c r="K113" s="41">
        <f>K60*(1-K74+K74*K107*K80)</f>
        <v/>
      </c>
      <c r="L113" s="41">
        <f>L60*(1-L74+L74*L107*L80)</f>
        <v/>
      </c>
      <c r="M113" s="41">
        <f>M60*(1-M74+M74*M107*M80)</f>
        <v/>
      </c>
      <c r="N113" s="41">
        <f>N60*(1-N74+N74*N107*N80)</f>
        <v/>
      </c>
      <c r="O113" s="41">
        <f>O60*(1-O74+O74*O107*O80)</f>
        <v/>
      </c>
      <c r="P113" s="41">
        <f>P60*(1-P74+P74*P107*P80)</f>
        <v/>
      </c>
      <c r="Q113" s="41">
        <f>Q60*(1-Q74+Q74*Q107*Q80)</f>
        <v/>
      </c>
      <c r="R113" s="41">
        <f>R60*(1-R74+R74*R107*R80)</f>
        <v/>
      </c>
      <c r="S113" s="41">
        <f>S60*(1-S74+S74*S107*S80)</f>
        <v/>
      </c>
      <c r="T113" s="41">
        <f>T60*(1-T74+T74*T107*T80)</f>
        <v/>
      </c>
      <c r="U113" s="41">
        <f>U60*(1-U74+U74*U107*U80)</f>
        <v/>
      </c>
      <c r="V113" s="41">
        <f>V60*(1-V74+V74*V107*V80)</f>
        <v/>
      </c>
      <c r="W113" s="41">
        <f>W60*(1-W74+W74*W107*W80)</f>
        <v/>
      </c>
      <c r="X113" s="41">
        <f>X60*(1-X74+X74*X107*X80)</f>
        <v/>
      </c>
      <c r="Y113" s="41">
        <f>Y60*(1-Y74+Y74*Y107*Y80)</f>
        <v/>
      </c>
      <c r="Z113" s="41">
        <f>Z60*(1-Z74+Z74*Z107*Z80)</f>
        <v/>
      </c>
      <c r="AA113" s="41">
        <f>AA60*(1-AA74+AA74*AA107*AA80)</f>
        <v/>
      </c>
      <c r="AB113" s="41">
        <f>AB60*(1-AB74+AB74*AB107*AB80)</f>
        <v/>
      </c>
      <c r="AC113" s="41">
        <f>AC60*(1-AC74+AC74*AC107*AC80)</f>
        <v/>
      </c>
      <c r="AD113" s="41">
        <f>AD60*(1-AD74+AD74*AD107*AD80)</f>
        <v/>
      </c>
      <c r="AE113" s="41">
        <f>AE60*(1-AE74+AE74*AE107*AE80)</f>
        <v/>
      </c>
      <c r="AF113" s="41">
        <f>AF60*(1-AF74+AF74*AF107*AF80)</f>
        <v/>
      </c>
      <c r="AG113" s="41">
        <f>AG60*(1-AG74+AG74*AG107*AG80)</f>
        <v/>
      </c>
      <c r="AH113" s="41">
        <f>AH60*(1-AH74+AH74*AH107*AH80)</f>
        <v/>
      </c>
      <c r="AI113" s="41">
        <f>AI60*(1-AI74+AI74*AI107*AI80)</f>
        <v/>
      </c>
      <c r="AJ113" s="41">
        <f>AJ60*(1-AJ74+AJ74*AJ107*AJ80)</f>
        <v/>
      </c>
      <c r="AK113" s="41">
        <f>AK60*(1-AK74+AK74*AK107*AK80)</f>
        <v/>
      </c>
      <c r="AL113" s="41">
        <f>AL60*(1-AL74+AL74*AL107*AL80)</f>
        <v/>
      </c>
      <c r="AM113" s="41">
        <f>AM60*(1-AM74+AM74*AM107*AM80)</f>
        <v/>
      </c>
      <c r="AN113" s="41">
        <f>AN60*(1-AN74+AN74*AN107*AN80)</f>
        <v/>
      </c>
      <c r="AO113" s="41">
        <f>AO60*(1-AO74+AO74*AO107*AO80)</f>
        <v/>
      </c>
      <c r="AP113" s="41">
        <f>AP60*(1-AP74+AP74*AP107*AP80)</f>
        <v/>
      </c>
      <c r="AQ113" s="41">
        <f>AQ60*(1-AQ74+AQ74*AQ107*AQ80)</f>
        <v/>
      </c>
      <c r="AR113" s="41">
        <f>AR60*(1-AR74+AR74*AR107*AR80)</f>
        <v/>
      </c>
      <c r="AS113" s="41">
        <f>AS60*(1-AS74+AS74*AS107*AS80)</f>
        <v/>
      </c>
      <c r="AT113" s="41">
        <f>AT60*(1-AT74+AT74*AT107*AT80)</f>
        <v/>
      </c>
      <c r="AU113" s="41">
        <f>AU60*(1-AU74+AU74*AU107*AU80)</f>
        <v/>
      </c>
      <c r="AV113" s="41">
        <f>AV60*(1-AV74+AV74*AV107*AV80)</f>
        <v/>
      </c>
      <c r="AW113" s="41">
        <f>AW60*(1-AW74+AW74*AW107*AW80)</f>
        <v/>
      </c>
      <c r="AX113" s="41">
        <f>AX60*(1-AX74+AX74*AX107*AX80)</f>
        <v/>
      </c>
      <c r="AY113" s="41">
        <f>AY60*(1-AY74+AY74*AY107*AY80)</f>
        <v/>
      </c>
      <c r="AZ113" s="41">
        <f>AZ60*(1-AZ74+AZ74*AZ107*AZ80)</f>
        <v/>
      </c>
      <c r="BA113" s="41">
        <f>BA60*(1-BA74+BA74*BA107*BA80)</f>
        <v/>
      </c>
      <c r="BB113" s="41">
        <f>BB60*(1-BB74+BB74*BB107*BB80)</f>
        <v/>
      </c>
      <c r="BC113" s="41">
        <f>BC60*(1-BC74+BC74*BC107*BC80)</f>
        <v/>
      </c>
      <c r="BD113" s="41">
        <f>BD60*(1-BD74+BD74*BD107*BD80)</f>
        <v/>
      </c>
      <c r="BE113" s="41">
        <f>BE60*(1-BE74+BE74*BE107*BE80)</f>
        <v/>
      </c>
      <c r="BF113" s="41">
        <f>BF60*(1-BF74+BF74*BF107*BF80)</f>
        <v/>
      </c>
      <c r="BG113" s="41">
        <f>BG60*(1-BG74+BG74*BG107*BG80)</f>
        <v/>
      </c>
      <c r="BH113" s="41">
        <f>BH60*(1-BH74+BH74*BH107*BH80)</f>
        <v/>
      </c>
      <c r="BI113" s="41">
        <f>BI60*(1-BI74+BI74*BI107*BI80)</f>
        <v/>
      </c>
      <c r="BJ113" s="41">
        <f>BJ60*(1-BJ74+BJ74*BJ107*BJ80)</f>
        <v/>
      </c>
    </row>
    <row r="114">
      <c r="A114" s="4" t="inlineStr">
        <is>
          <t>New SMEs: South Africa</t>
        </is>
      </c>
      <c r="B114" s="17" t="inlineStr">
        <is>
          <t>workspaces</t>
        </is>
      </c>
      <c r="C114" s="41">
        <f>C61*(1-C74+C74*C107*C92)</f>
        <v/>
      </c>
      <c r="D114" s="41">
        <f>D61*(1-D74+D74*D107*D92)</f>
        <v/>
      </c>
      <c r="E114" s="41">
        <f>E61*(1-E74+E74*E107*E92)</f>
        <v/>
      </c>
      <c r="F114" s="41">
        <f>F61*(1-F74+F74*F107*F92)</f>
        <v/>
      </c>
      <c r="G114" s="41">
        <f>G61*(1-G74+G74*G107*G92)</f>
        <v/>
      </c>
      <c r="H114" s="41">
        <f>H61*(1-H74+H74*H107*H92)</f>
        <v/>
      </c>
      <c r="I114" s="41">
        <f>I61*(1-I74+I74*I107*I92)</f>
        <v/>
      </c>
      <c r="J114" s="41">
        <f>J61*(1-J74+J74*J107*J92)</f>
        <v/>
      </c>
      <c r="K114" s="41">
        <f>K61*(1-K74+K74*K107*K92)</f>
        <v/>
      </c>
      <c r="L114" s="41">
        <f>L61*(1-L74+L74*L107*L92)</f>
        <v/>
      </c>
      <c r="M114" s="41">
        <f>M61*(1-M74+M74*M107*M92)</f>
        <v/>
      </c>
      <c r="N114" s="41">
        <f>N61*(1-N74+N74*N107*N92)</f>
        <v/>
      </c>
      <c r="O114" s="41">
        <f>O61*(1-O74+O74*O107*O92)</f>
        <v/>
      </c>
      <c r="P114" s="41">
        <f>P61*(1-P74+P74*P107*P92)</f>
        <v/>
      </c>
      <c r="Q114" s="41">
        <f>Q61*(1-Q74+Q74*Q107*Q92)</f>
        <v/>
      </c>
      <c r="R114" s="41">
        <f>R61*(1-R74+R74*R107*R92)</f>
        <v/>
      </c>
      <c r="S114" s="41">
        <f>S61*(1-S74+S74*S107*S92)</f>
        <v/>
      </c>
      <c r="T114" s="41">
        <f>T61*(1-T74+T74*T107*T92)</f>
        <v/>
      </c>
      <c r="U114" s="41">
        <f>U61*(1-U74+U74*U107*U92)</f>
        <v/>
      </c>
      <c r="V114" s="41">
        <f>V61*(1-V74+V74*V107*V92)</f>
        <v/>
      </c>
      <c r="W114" s="41">
        <f>W61*(1-W74+W74*W107*W92)</f>
        <v/>
      </c>
      <c r="X114" s="41">
        <f>X61*(1-X74+X74*X107*X92)</f>
        <v/>
      </c>
      <c r="Y114" s="41">
        <f>Y61*(1-Y74+Y74*Y107*Y92)</f>
        <v/>
      </c>
      <c r="Z114" s="41">
        <f>Z61*(1-Z74+Z74*Z107*Z92)</f>
        <v/>
      </c>
      <c r="AA114" s="41">
        <f>AA61*(1-AA74+AA74*AA107*AA92)</f>
        <v/>
      </c>
      <c r="AB114" s="41">
        <f>AB61*(1-AB74+AB74*AB107*AB92)</f>
        <v/>
      </c>
      <c r="AC114" s="41">
        <f>AC61*(1-AC74+AC74*AC107*AC92)</f>
        <v/>
      </c>
      <c r="AD114" s="41">
        <f>AD61*(1-AD74+AD74*AD107*AD92)</f>
        <v/>
      </c>
      <c r="AE114" s="41">
        <f>AE61*(1-AE74+AE74*AE107*AE92)</f>
        <v/>
      </c>
      <c r="AF114" s="41">
        <f>AF61*(1-AF74+AF74*AF107*AF92)</f>
        <v/>
      </c>
      <c r="AG114" s="41">
        <f>AG61*(1-AG74+AG74*AG107*AG92)</f>
        <v/>
      </c>
      <c r="AH114" s="41">
        <f>AH61*(1-AH74+AH74*AH107*AH92)</f>
        <v/>
      </c>
      <c r="AI114" s="41">
        <f>AI61*(1-AI74+AI74*AI107*AI92)</f>
        <v/>
      </c>
      <c r="AJ114" s="41">
        <f>AJ61*(1-AJ74+AJ74*AJ107*AJ92)</f>
        <v/>
      </c>
      <c r="AK114" s="41">
        <f>AK61*(1-AK74+AK74*AK107*AK92)</f>
        <v/>
      </c>
      <c r="AL114" s="41">
        <f>AL61*(1-AL74+AL74*AL107*AL92)</f>
        <v/>
      </c>
      <c r="AM114" s="41">
        <f>AM61*(1-AM74+AM74*AM107*AM92)</f>
        <v/>
      </c>
      <c r="AN114" s="41">
        <f>AN61*(1-AN74+AN74*AN107*AN92)</f>
        <v/>
      </c>
      <c r="AO114" s="41">
        <f>AO61*(1-AO74+AO74*AO107*AO92)</f>
        <v/>
      </c>
      <c r="AP114" s="41">
        <f>AP61*(1-AP74+AP74*AP107*AP92)</f>
        <v/>
      </c>
      <c r="AQ114" s="41">
        <f>AQ61*(1-AQ74+AQ74*AQ107*AQ92)</f>
        <v/>
      </c>
      <c r="AR114" s="41">
        <f>AR61*(1-AR74+AR74*AR107*AR92)</f>
        <v/>
      </c>
      <c r="AS114" s="41">
        <f>AS61*(1-AS74+AS74*AS107*AS92)</f>
        <v/>
      </c>
      <c r="AT114" s="41">
        <f>AT61*(1-AT74+AT74*AT107*AT92)</f>
        <v/>
      </c>
      <c r="AU114" s="41">
        <f>AU61*(1-AU74+AU74*AU107*AU92)</f>
        <v/>
      </c>
      <c r="AV114" s="41">
        <f>AV61*(1-AV74+AV74*AV107*AV92)</f>
        <v/>
      </c>
      <c r="AW114" s="41">
        <f>AW61*(1-AW74+AW74*AW107*AW92)</f>
        <v/>
      </c>
      <c r="AX114" s="41">
        <f>AX61*(1-AX74+AX74*AX107*AX92)</f>
        <v/>
      </c>
      <c r="AY114" s="41">
        <f>AY61*(1-AY74+AY74*AY107*AY92)</f>
        <v/>
      </c>
      <c r="AZ114" s="41">
        <f>AZ61*(1-AZ74+AZ74*AZ107*AZ92)</f>
        <v/>
      </c>
      <c r="BA114" s="41">
        <f>BA61*(1-BA74+BA74*BA107*BA92)</f>
        <v/>
      </c>
      <c r="BB114" s="41">
        <f>BB61*(1-BB74+BB74*BB107*BB92)</f>
        <v/>
      </c>
      <c r="BC114" s="41">
        <f>BC61*(1-BC74+BC74*BC107*BC92)</f>
        <v/>
      </c>
      <c r="BD114" s="41">
        <f>BD61*(1-BD74+BD74*BD107*BD92)</f>
        <v/>
      </c>
      <c r="BE114" s="41">
        <f>BE61*(1-BE74+BE74*BE107*BE92)</f>
        <v/>
      </c>
      <c r="BF114" s="41">
        <f>BF61*(1-BF74+BF74*BF107*BF92)</f>
        <v/>
      </c>
      <c r="BG114" s="41">
        <f>BG61*(1-BG74+BG74*BG107*BG92)</f>
        <v/>
      </c>
      <c r="BH114" s="41">
        <f>BH61*(1-BH74+BH74*BH107*BH92)</f>
        <v/>
      </c>
      <c r="BI114" s="41">
        <f>BI61*(1-BI74+BI74*BI107*BI92)</f>
        <v/>
      </c>
      <c r="BJ114" s="41">
        <f>BJ61*(1-BJ74+BJ74*BJ107*BJ92)</f>
        <v/>
      </c>
    </row>
    <row r="115">
      <c r="A115" s="4" t="inlineStr">
        <is>
          <t>New Solo: Nigeria</t>
        </is>
      </c>
      <c r="B115" s="17" t="inlineStr">
        <is>
          <t>workspaces</t>
        </is>
      </c>
      <c r="C115" s="41">
        <f>C62*(1-C74+C74*C107*C82)</f>
        <v/>
      </c>
      <c r="D115" s="41">
        <f>D62*(1-D74+D74*D107*D82)</f>
        <v/>
      </c>
      <c r="E115" s="41">
        <f>E62*(1-E74+E74*E107*E82)</f>
        <v/>
      </c>
      <c r="F115" s="41">
        <f>F62*(1-F74+F74*F107*F82)</f>
        <v/>
      </c>
      <c r="G115" s="41">
        <f>G62*(1-G74+G74*G107*G82)</f>
        <v/>
      </c>
      <c r="H115" s="41">
        <f>H62*(1-H74+H74*H107*H82)</f>
        <v/>
      </c>
      <c r="I115" s="41">
        <f>I62*(1-I74+I74*I107*I82)</f>
        <v/>
      </c>
      <c r="J115" s="41">
        <f>J62*(1-J74+J74*J107*J82)</f>
        <v/>
      </c>
      <c r="K115" s="41">
        <f>K62*(1-K74+K74*K107*K82)</f>
        <v/>
      </c>
      <c r="L115" s="41">
        <f>L62*(1-L74+L74*L107*L82)</f>
        <v/>
      </c>
      <c r="M115" s="41">
        <f>M62*(1-M74+M74*M107*M82)</f>
        <v/>
      </c>
      <c r="N115" s="41">
        <f>N62*(1-N74+N74*N107*N82)</f>
        <v/>
      </c>
      <c r="O115" s="41">
        <f>O62*(1-O74+O74*O107*O82)</f>
        <v/>
      </c>
      <c r="P115" s="41">
        <f>P62*(1-P74+P74*P107*P82)</f>
        <v/>
      </c>
      <c r="Q115" s="41">
        <f>Q62*(1-Q74+Q74*Q107*Q82)</f>
        <v/>
      </c>
      <c r="R115" s="41">
        <f>R62*(1-R74+R74*R107*R82)</f>
        <v/>
      </c>
      <c r="S115" s="41">
        <f>S62*(1-S74+S74*S107*S82)</f>
        <v/>
      </c>
      <c r="T115" s="41">
        <f>T62*(1-T74+T74*T107*T82)</f>
        <v/>
      </c>
      <c r="U115" s="41">
        <f>U62*(1-U74+U74*U107*U82)</f>
        <v/>
      </c>
      <c r="V115" s="41">
        <f>V62*(1-V74+V74*V107*V82)</f>
        <v/>
      </c>
      <c r="W115" s="41">
        <f>W62*(1-W74+W74*W107*W82)</f>
        <v/>
      </c>
      <c r="X115" s="41">
        <f>X62*(1-X74+X74*X107*X82)</f>
        <v/>
      </c>
      <c r="Y115" s="41">
        <f>Y62*(1-Y74+Y74*Y107*Y82)</f>
        <v/>
      </c>
      <c r="Z115" s="41">
        <f>Z62*(1-Z74+Z74*Z107*Z82)</f>
        <v/>
      </c>
      <c r="AA115" s="41">
        <f>AA62*(1-AA74+AA74*AA107*AA82)</f>
        <v/>
      </c>
      <c r="AB115" s="41">
        <f>AB62*(1-AB74+AB74*AB107*AB82)</f>
        <v/>
      </c>
      <c r="AC115" s="41">
        <f>AC62*(1-AC74+AC74*AC107*AC82)</f>
        <v/>
      </c>
      <c r="AD115" s="41">
        <f>AD62*(1-AD74+AD74*AD107*AD82)</f>
        <v/>
      </c>
      <c r="AE115" s="41">
        <f>AE62*(1-AE74+AE74*AE107*AE82)</f>
        <v/>
      </c>
      <c r="AF115" s="41">
        <f>AF62*(1-AF74+AF74*AF107*AF82)</f>
        <v/>
      </c>
      <c r="AG115" s="41">
        <f>AG62*(1-AG74+AG74*AG107*AG82)</f>
        <v/>
      </c>
      <c r="AH115" s="41">
        <f>AH62*(1-AH74+AH74*AH107*AH82)</f>
        <v/>
      </c>
      <c r="AI115" s="41">
        <f>AI62*(1-AI74+AI74*AI107*AI82)</f>
        <v/>
      </c>
      <c r="AJ115" s="41">
        <f>AJ62*(1-AJ74+AJ74*AJ107*AJ82)</f>
        <v/>
      </c>
      <c r="AK115" s="41">
        <f>AK62*(1-AK74+AK74*AK107*AK82)</f>
        <v/>
      </c>
      <c r="AL115" s="41">
        <f>AL62*(1-AL74+AL74*AL107*AL82)</f>
        <v/>
      </c>
      <c r="AM115" s="41">
        <f>AM62*(1-AM74+AM74*AM107*AM82)</f>
        <v/>
      </c>
      <c r="AN115" s="41">
        <f>AN62*(1-AN74+AN74*AN107*AN82)</f>
        <v/>
      </c>
      <c r="AO115" s="41">
        <f>AO62*(1-AO74+AO74*AO107*AO82)</f>
        <v/>
      </c>
      <c r="AP115" s="41">
        <f>AP62*(1-AP74+AP74*AP107*AP82)</f>
        <v/>
      </c>
      <c r="AQ115" s="41">
        <f>AQ62*(1-AQ74+AQ74*AQ107*AQ82)</f>
        <v/>
      </c>
      <c r="AR115" s="41">
        <f>AR62*(1-AR74+AR74*AR107*AR82)</f>
        <v/>
      </c>
      <c r="AS115" s="41">
        <f>AS62*(1-AS74+AS74*AS107*AS82)</f>
        <v/>
      </c>
      <c r="AT115" s="41">
        <f>AT62*(1-AT74+AT74*AT107*AT82)</f>
        <v/>
      </c>
      <c r="AU115" s="41">
        <f>AU62*(1-AU74+AU74*AU107*AU82)</f>
        <v/>
      </c>
      <c r="AV115" s="41">
        <f>AV62*(1-AV74+AV74*AV107*AV82)</f>
        <v/>
      </c>
      <c r="AW115" s="41">
        <f>AW62*(1-AW74+AW74*AW107*AW82)</f>
        <v/>
      </c>
      <c r="AX115" s="41">
        <f>AX62*(1-AX74+AX74*AX107*AX82)</f>
        <v/>
      </c>
      <c r="AY115" s="41">
        <f>AY62*(1-AY74+AY74*AY107*AY82)</f>
        <v/>
      </c>
      <c r="AZ115" s="41">
        <f>AZ62*(1-AZ74+AZ74*AZ107*AZ82)</f>
        <v/>
      </c>
      <c r="BA115" s="41">
        <f>BA62*(1-BA74+BA74*BA107*BA82)</f>
        <v/>
      </c>
      <c r="BB115" s="41">
        <f>BB62*(1-BB74+BB74*BB107*BB82)</f>
        <v/>
      </c>
      <c r="BC115" s="41">
        <f>BC62*(1-BC74+BC74*BC107*BC82)</f>
        <v/>
      </c>
      <c r="BD115" s="41">
        <f>BD62*(1-BD74+BD74*BD107*BD82)</f>
        <v/>
      </c>
      <c r="BE115" s="41">
        <f>BE62*(1-BE74+BE74*BE107*BE82)</f>
        <v/>
      </c>
      <c r="BF115" s="41">
        <f>BF62*(1-BF74+BF74*BF107*BF82)</f>
        <v/>
      </c>
      <c r="BG115" s="41">
        <f>BG62*(1-BG74+BG74*BG107*BG82)</f>
        <v/>
      </c>
      <c r="BH115" s="41">
        <f>BH62*(1-BH74+BH74*BH107*BH82)</f>
        <v/>
      </c>
      <c r="BI115" s="41">
        <f>BI62*(1-BI74+BI74*BI107*BI82)</f>
        <v/>
      </c>
      <c r="BJ115" s="41">
        <f>BJ62*(1-BJ74+BJ74*BJ107*BJ82)</f>
        <v/>
      </c>
    </row>
    <row r="116">
      <c r="A116" s="4" t="inlineStr">
        <is>
          <t>New SMEs: Nigeria</t>
        </is>
      </c>
      <c r="B116" s="17" t="inlineStr">
        <is>
          <t>workspaces</t>
        </is>
      </c>
      <c r="C116" s="41">
        <f>C63*(1-C74+C74*C107*C94)</f>
        <v/>
      </c>
      <c r="D116" s="41">
        <f>D63*(1-D74+D74*D107*D94)</f>
        <v/>
      </c>
      <c r="E116" s="41">
        <f>E63*(1-E74+E74*E107*E94)</f>
        <v/>
      </c>
      <c r="F116" s="41">
        <f>F63*(1-F74+F74*F107*F94)</f>
        <v/>
      </c>
      <c r="G116" s="41">
        <f>G63*(1-G74+G74*G107*G94)</f>
        <v/>
      </c>
      <c r="H116" s="41">
        <f>H63*(1-H74+H74*H107*H94)</f>
        <v/>
      </c>
      <c r="I116" s="41">
        <f>I63*(1-I74+I74*I107*I94)</f>
        <v/>
      </c>
      <c r="J116" s="41">
        <f>J63*(1-J74+J74*J107*J94)</f>
        <v/>
      </c>
      <c r="K116" s="41">
        <f>K63*(1-K74+K74*K107*K94)</f>
        <v/>
      </c>
      <c r="L116" s="41">
        <f>L63*(1-L74+L74*L107*L94)</f>
        <v/>
      </c>
      <c r="M116" s="41">
        <f>M63*(1-M74+M74*M107*M94)</f>
        <v/>
      </c>
      <c r="N116" s="41">
        <f>N63*(1-N74+N74*N107*N94)</f>
        <v/>
      </c>
      <c r="O116" s="41">
        <f>O63*(1-O74+O74*O107*O94)</f>
        <v/>
      </c>
      <c r="P116" s="41">
        <f>P63*(1-P74+P74*P107*P94)</f>
        <v/>
      </c>
      <c r="Q116" s="41">
        <f>Q63*(1-Q74+Q74*Q107*Q94)</f>
        <v/>
      </c>
      <c r="R116" s="41">
        <f>R63*(1-R74+R74*R107*R94)</f>
        <v/>
      </c>
      <c r="S116" s="41">
        <f>S63*(1-S74+S74*S107*S94)</f>
        <v/>
      </c>
      <c r="T116" s="41">
        <f>T63*(1-T74+T74*T107*T94)</f>
        <v/>
      </c>
      <c r="U116" s="41">
        <f>U63*(1-U74+U74*U107*U94)</f>
        <v/>
      </c>
      <c r="V116" s="41">
        <f>V63*(1-V74+V74*V107*V94)</f>
        <v/>
      </c>
      <c r="W116" s="41">
        <f>W63*(1-W74+W74*W107*W94)</f>
        <v/>
      </c>
      <c r="X116" s="41">
        <f>X63*(1-X74+X74*X107*X94)</f>
        <v/>
      </c>
      <c r="Y116" s="41">
        <f>Y63*(1-Y74+Y74*Y107*Y94)</f>
        <v/>
      </c>
      <c r="Z116" s="41">
        <f>Z63*(1-Z74+Z74*Z107*Z94)</f>
        <v/>
      </c>
      <c r="AA116" s="41">
        <f>AA63*(1-AA74+AA74*AA107*AA94)</f>
        <v/>
      </c>
      <c r="AB116" s="41">
        <f>AB63*(1-AB74+AB74*AB107*AB94)</f>
        <v/>
      </c>
      <c r="AC116" s="41">
        <f>AC63*(1-AC74+AC74*AC107*AC94)</f>
        <v/>
      </c>
      <c r="AD116" s="41">
        <f>AD63*(1-AD74+AD74*AD107*AD94)</f>
        <v/>
      </c>
      <c r="AE116" s="41">
        <f>AE63*(1-AE74+AE74*AE107*AE94)</f>
        <v/>
      </c>
      <c r="AF116" s="41">
        <f>AF63*(1-AF74+AF74*AF107*AF94)</f>
        <v/>
      </c>
      <c r="AG116" s="41">
        <f>AG63*(1-AG74+AG74*AG107*AG94)</f>
        <v/>
      </c>
      <c r="AH116" s="41">
        <f>AH63*(1-AH74+AH74*AH107*AH94)</f>
        <v/>
      </c>
      <c r="AI116" s="41">
        <f>AI63*(1-AI74+AI74*AI107*AI94)</f>
        <v/>
      </c>
      <c r="AJ116" s="41">
        <f>AJ63*(1-AJ74+AJ74*AJ107*AJ94)</f>
        <v/>
      </c>
      <c r="AK116" s="41">
        <f>AK63*(1-AK74+AK74*AK107*AK94)</f>
        <v/>
      </c>
      <c r="AL116" s="41">
        <f>AL63*(1-AL74+AL74*AL107*AL94)</f>
        <v/>
      </c>
      <c r="AM116" s="41">
        <f>AM63*(1-AM74+AM74*AM107*AM94)</f>
        <v/>
      </c>
      <c r="AN116" s="41">
        <f>AN63*(1-AN74+AN74*AN107*AN94)</f>
        <v/>
      </c>
      <c r="AO116" s="41">
        <f>AO63*(1-AO74+AO74*AO107*AO94)</f>
        <v/>
      </c>
      <c r="AP116" s="41">
        <f>AP63*(1-AP74+AP74*AP107*AP94)</f>
        <v/>
      </c>
      <c r="AQ116" s="41">
        <f>AQ63*(1-AQ74+AQ74*AQ107*AQ94)</f>
        <v/>
      </c>
      <c r="AR116" s="41">
        <f>AR63*(1-AR74+AR74*AR107*AR94)</f>
        <v/>
      </c>
      <c r="AS116" s="41">
        <f>AS63*(1-AS74+AS74*AS107*AS94)</f>
        <v/>
      </c>
      <c r="AT116" s="41">
        <f>AT63*(1-AT74+AT74*AT107*AT94)</f>
        <v/>
      </c>
      <c r="AU116" s="41">
        <f>AU63*(1-AU74+AU74*AU107*AU94)</f>
        <v/>
      </c>
      <c r="AV116" s="41">
        <f>AV63*(1-AV74+AV74*AV107*AV94)</f>
        <v/>
      </c>
      <c r="AW116" s="41">
        <f>AW63*(1-AW74+AW74*AW107*AW94)</f>
        <v/>
      </c>
      <c r="AX116" s="41">
        <f>AX63*(1-AX74+AX74*AX107*AX94)</f>
        <v/>
      </c>
      <c r="AY116" s="41">
        <f>AY63*(1-AY74+AY74*AY107*AY94)</f>
        <v/>
      </c>
      <c r="AZ116" s="41">
        <f>AZ63*(1-AZ74+AZ74*AZ107*AZ94)</f>
        <v/>
      </c>
      <c r="BA116" s="41">
        <f>BA63*(1-BA74+BA74*BA107*BA94)</f>
        <v/>
      </c>
      <c r="BB116" s="41">
        <f>BB63*(1-BB74+BB74*BB107*BB94)</f>
        <v/>
      </c>
      <c r="BC116" s="41">
        <f>BC63*(1-BC74+BC74*BC107*BC94)</f>
        <v/>
      </c>
      <c r="BD116" s="41">
        <f>BD63*(1-BD74+BD74*BD107*BD94)</f>
        <v/>
      </c>
      <c r="BE116" s="41">
        <f>BE63*(1-BE74+BE74*BE107*BE94)</f>
        <v/>
      </c>
      <c r="BF116" s="41">
        <f>BF63*(1-BF74+BF74*BF107*BF94)</f>
        <v/>
      </c>
      <c r="BG116" s="41">
        <f>BG63*(1-BG74+BG74*BG107*BG94)</f>
        <v/>
      </c>
      <c r="BH116" s="41">
        <f>BH63*(1-BH74+BH74*BH107*BH94)</f>
        <v/>
      </c>
      <c r="BI116" s="41">
        <f>BI63*(1-BI74+BI74*BI107*BI94)</f>
        <v/>
      </c>
      <c r="BJ116" s="41">
        <f>BJ63*(1-BJ74+BJ74*BJ107*BJ94)</f>
        <v/>
      </c>
    </row>
    <row r="117">
      <c r="A117" s="4" t="inlineStr">
        <is>
          <t>New Solo: Kenya</t>
        </is>
      </c>
      <c r="B117" s="17" t="inlineStr">
        <is>
          <t>workspaces</t>
        </is>
      </c>
      <c r="C117" s="41">
        <f>C64*(1-C74+C74*C107*C84)</f>
        <v/>
      </c>
      <c r="D117" s="41">
        <f>D64*(1-D74+D74*D107*D84)</f>
        <v/>
      </c>
      <c r="E117" s="41">
        <f>E64*(1-E74+E74*E107*E84)</f>
        <v/>
      </c>
      <c r="F117" s="41">
        <f>F64*(1-F74+F74*F107*F84)</f>
        <v/>
      </c>
      <c r="G117" s="41">
        <f>G64*(1-G74+G74*G107*G84)</f>
        <v/>
      </c>
      <c r="H117" s="41">
        <f>H64*(1-H74+H74*H107*H84)</f>
        <v/>
      </c>
      <c r="I117" s="41">
        <f>I64*(1-I74+I74*I107*I84)</f>
        <v/>
      </c>
      <c r="J117" s="41">
        <f>J64*(1-J74+J74*J107*J84)</f>
        <v/>
      </c>
      <c r="K117" s="41">
        <f>K64*(1-K74+K74*K107*K84)</f>
        <v/>
      </c>
      <c r="L117" s="41">
        <f>L64*(1-L74+L74*L107*L84)</f>
        <v/>
      </c>
      <c r="M117" s="41">
        <f>M64*(1-M74+M74*M107*M84)</f>
        <v/>
      </c>
      <c r="N117" s="41">
        <f>N64*(1-N74+N74*N107*N84)</f>
        <v/>
      </c>
      <c r="O117" s="41">
        <f>O64*(1-O74+O74*O107*O84)</f>
        <v/>
      </c>
      <c r="P117" s="41">
        <f>P64*(1-P74+P74*P107*P84)</f>
        <v/>
      </c>
      <c r="Q117" s="41">
        <f>Q64*(1-Q74+Q74*Q107*Q84)</f>
        <v/>
      </c>
      <c r="R117" s="41">
        <f>R64*(1-R74+R74*R107*R84)</f>
        <v/>
      </c>
      <c r="S117" s="41">
        <f>S64*(1-S74+S74*S107*S84)</f>
        <v/>
      </c>
      <c r="T117" s="41">
        <f>T64*(1-T74+T74*T107*T84)</f>
        <v/>
      </c>
      <c r="U117" s="41">
        <f>U64*(1-U74+U74*U107*U84)</f>
        <v/>
      </c>
      <c r="V117" s="41">
        <f>V64*(1-V74+V74*V107*V84)</f>
        <v/>
      </c>
      <c r="W117" s="41">
        <f>W64*(1-W74+W74*W107*W84)</f>
        <v/>
      </c>
      <c r="X117" s="41">
        <f>X64*(1-X74+X74*X107*X84)</f>
        <v/>
      </c>
      <c r="Y117" s="41">
        <f>Y64*(1-Y74+Y74*Y107*Y84)</f>
        <v/>
      </c>
      <c r="Z117" s="41">
        <f>Z64*(1-Z74+Z74*Z107*Z84)</f>
        <v/>
      </c>
      <c r="AA117" s="41">
        <f>AA64*(1-AA74+AA74*AA107*AA84)</f>
        <v/>
      </c>
      <c r="AB117" s="41">
        <f>AB64*(1-AB74+AB74*AB107*AB84)</f>
        <v/>
      </c>
      <c r="AC117" s="41">
        <f>AC64*(1-AC74+AC74*AC107*AC84)</f>
        <v/>
      </c>
      <c r="AD117" s="41">
        <f>AD64*(1-AD74+AD74*AD107*AD84)</f>
        <v/>
      </c>
      <c r="AE117" s="41">
        <f>AE64*(1-AE74+AE74*AE107*AE84)</f>
        <v/>
      </c>
      <c r="AF117" s="41">
        <f>AF64*(1-AF74+AF74*AF107*AF84)</f>
        <v/>
      </c>
      <c r="AG117" s="41">
        <f>AG64*(1-AG74+AG74*AG107*AG84)</f>
        <v/>
      </c>
      <c r="AH117" s="41">
        <f>AH64*(1-AH74+AH74*AH107*AH84)</f>
        <v/>
      </c>
      <c r="AI117" s="41">
        <f>AI64*(1-AI74+AI74*AI107*AI84)</f>
        <v/>
      </c>
      <c r="AJ117" s="41">
        <f>AJ64*(1-AJ74+AJ74*AJ107*AJ84)</f>
        <v/>
      </c>
      <c r="AK117" s="41">
        <f>AK64*(1-AK74+AK74*AK107*AK84)</f>
        <v/>
      </c>
      <c r="AL117" s="41">
        <f>AL64*(1-AL74+AL74*AL107*AL84)</f>
        <v/>
      </c>
      <c r="AM117" s="41">
        <f>AM64*(1-AM74+AM74*AM107*AM84)</f>
        <v/>
      </c>
      <c r="AN117" s="41">
        <f>AN64*(1-AN74+AN74*AN107*AN84)</f>
        <v/>
      </c>
      <c r="AO117" s="41">
        <f>AO64*(1-AO74+AO74*AO107*AO84)</f>
        <v/>
      </c>
      <c r="AP117" s="41">
        <f>AP64*(1-AP74+AP74*AP107*AP84)</f>
        <v/>
      </c>
      <c r="AQ117" s="41">
        <f>AQ64*(1-AQ74+AQ74*AQ107*AQ84)</f>
        <v/>
      </c>
      <c r="AR117" s="41">
        <f>AR64*(1-AR74+AR74*AR107*AR84)</f>
        <v/>
      </c>
      <c r="AS117" s="41">
        <f>AS64*(1-AS74+AS74*AS107*AS84)</f>
        <v/>
      </c>
      <c r="AT117" s="41">
        <f>AT64*(1-AT74+AT74*AT107*AT84)</f>
        <v/>
      </c>
      <c r="AU117" s="41">
        <f>AU64*(1-AU74+AU74*AU107*AU84)</f>
        <v/>
      </c>
      <c r="AV117" s="41">
        <f>AV64*(1-AV74+AV74*AV107*AV84)</f>
        <v/>
      </c>
      <c r="AW117" s="41">
        <f>AW64*(1-AW74+AW74*AW107*AW84)</f>
        <v/>
      </c>
      <c r="AX117" s="41">
        <f>AX64*(1-AX74+AX74*AX107*AX84)</f>
        <v/>
      </c>
      <c r="AY117" s="41">
        <f>AY64*(1-AY74+AY74*AY107*AY84)</f>
        <v/>
      </c>
      <c r="AZ117" s="41">
        <f>AZ64*(1-AZ74+AZ74*AZ107*AZ84)</f>
        <v/>
      </c>
      <c r="BA117" s="41">
        <f>BA64*(1-BA74+BA74*BA107*BA84)</f>
        <v/>
      </c>
      <c r="BB117" s="41">
        <f>BB64*(1-BB74+BB74*BB107*BB84)</f>
        <v/>
      </c>
      <c r="BC117" s="41">
        <f>BC64*(1-BC74+BC74*BC107*BC84)</f>
        <v/>
      </c>
      <c r="BD117" s="41">
        <f>BD64*(1-BD74+BD74*BD107*BD84)</f>
        <v/>
      </c>
      <c r="BE117" s="41">
        <f>BE64*(1-BE74+BE74*BE107*BE84)</f>
        <v/>
      </c>
      <c r="BF117" s="41">
        <f>BF64*(1-BF74+BF74*BF107*BF84)</f>
        <v/>
      </c>
      <c r="BG117" s="41">
        <f>BG64*(1-BG74+BG74*BG107*BG84)</f>
        <v/>
      </c>
      <c r="BH117" s="41">
        <f>BH64*(1-BH74+BH74*BH107*BH84)</f>
        <v/>
      </c>
      <c r="BI117" s="41">
        <f>BI64*(1-BI74+BI74*BI107*BI84)</f>
        <v/>
      </c>
      <c r="BJ117" s="41">
        <f>BJ64*(1-BJ74+BJ74*BJ107*BJ84)</f>
        <v/>
      </c>
    </row>
    <row r="118">
      <c r="A118" s="4" t="inlineStr">
        <is>
          <t>New SMEs: Kenya</t>
        </is>
      </c>
      <c r="B118" s="17" t="inlineStr">
        <is>
          <t>workspaces</t>
        </is>
      </c>
      <c r="C118" s="41">
        <f>C65*(1-C74+C74*C107*C96)</f>
        <v/>
      </c>
      <c r="D118" s="41">
        <f>D65*(1-D74+D74*D107*D96)</f>
        <v/>
      </c>
      <c r="E118" s="41">
        <f>E65*(1-E74+E74*E107*E96)</f>
        <v/>
      </c>
      <c r="F118" s="41">
        <f>F65*(1-F74+F74*F107*F96)</f>
        <v/>
      </c>
      <c r="G118" s="41">
        <f>G65*(1-G74+G74*G107*G96)</f>
        <v/>
      </c>
      <c r="H118" s="41">
        <f>H65*(1-H74+H74*H107*H96)</f>
        <v/>
      </c>
      <c r="I118" s="41">
        <f>I65*(1-I74+I74*I107*I96)</f>
        <v/>
      </c>
      <c r="J118" s="41">
        <f>J65*(1-J74+J74*J107*J96)</f>
        <v/>
      </c>
      <c r="K118" s="41">
        <f>K65*(1-K74+K74*K107*K96)</f>
        <v/>
      </c>
      <c r="L118" s="41">
        <f>L65*(1-L74+L74*L107*L96)</f>
        <v/>
      </c>
      <c r="M118" s="41">
        <f>M65*(1-M74+M74*M107*M96)</f>
        <v/>
      </c>
      <c r="N118" s="41">
        <f>N65*(1-N74+N74*N107*N96)</f>
        <v/>
      </c>
      <c r="O118" s="41">
        <f>O65*(1-O74+O74*O107*O96)</f>
        <v/>
      </c>
      <c r="P118" s="41">
        <f>P65*(1-P74+P74*P107*P96)</f>
        <v/>
      </c>
      <c r="Q118" s="41">
        <f>Q65*(1-Q74+Q74*Q107*Q96)</f>
        <v/>
      </c>
      <c r="R118" s="41">
        <f>R65*(1-R74+R74*R107*R96)</f>
        <v/>
      </c>
      <c r="S118" s="41">
        <f>S65*(1-S74+S74*S107*S96)</f>
        <v/>
      </c>
      <c r="T118" s="41">
        <f>T65*(1-T74+T74*T107*T96)</f>
        <v/>
      </c>
      <c r="U118" s="41">
        <f>U65*(1-U74+U74*U107*U96)</f>
        <v/>
      </c>
      <c r="V118" s="41">
        <f>V65*(1-V74+V74*V107*V96)</f>
        <v/>
      </c>
      <c r="W118" s="41">
        <f>W65*(1-W74+W74*W107*W96)</f>
        <v/>
      </c>
      <c r="X118" s="41">
        <f>X65*(1-X74+X74*X107*X96)</f>
        <v/>
      </c>
      <c r="Y118" s="41">
        <f>Y65*(1-Y74+Y74*Y107*Y96)</f>
        <v/>
      </c>
      <c r="Z118" s="41">
        <f>Z65*(1-Z74+Z74*Z107*Z96)</f>
        <v/>
      </c>
      <c r="AA118" s="41">
        <f>AA65*(1-AA74+AA74*AA107*AA96)</f>
        <v/>
      </c>
      <c r="AB118" s="41">
        <f>AB65*(1-AB74+AB74*AB107*AB96)</f>
        <v/>
      </c>
      <c r="AC118" s="41">
        <f>AC65*(1-AC74+AC74*AC107*AC96)</f>
        <v/>
      </c>
      <c r="AD118" s="41">
        <f>AD65*(1-AD74+AD74*AD107*AD96)</f>
        <v/>
      </c>
      <c r="AE118" s="41">
        <f>AE65*(1-AE74+AE74*AE107*AE96)</f>
        <v/>
      </c>
      <c r="AF118" s="41">
        <f>AF65*(1-AF74+AF74*AF107*AF96)</f>
        <v/>
      </c>
      <c r="AG118" s="41">
        <f>AG65*(1-AG74+AG74*AG107*AG96)</f>
        <v/>
      </c>
      <c r="AH118" s="41">
        <f>AH65*(1-AH74+AH74*AH107*AH96)</f>
        <v/>
      </c>
      <c r="AI118" s="41">
        <f>AI65*(1-AI74+AI74*AI107*AI96)</f>
        <v/>
      </c>
      <c r="AJ118" s="41">
        <f>AJ65*(1-AJ74+AJ74*AJ107*AJ96)</f>
        <v/>
      </c>
      <c r="AK118" s="41">
        <f>AK65*(1-AK74+AK74*AK107*AK96)</f>
        <v/>
      </c>
      <c r="AL118" s="41">
        <f>AL65*(1-AL74+AL74*AL107*AL96)</f>
        <v/>
      </c>
      <c r="AM118" s="41">
        <f>AM65*(1-AM74+AM74*AM107*AM96)</f>
        <v/>
      </c>
      <c r="AN118" s="41">
        <f>AN65*(1-AN74+AN74*AN107*AN96)</f>
        <v/>
      </c>
      <c r="AO118" s="41">
        <f>AO65*(1-AO74+AO74*AO107*AO96)</f>
        <v/>
      </c>
      <c r="AP118" s="41">
        <f>AP65*(1-AP74+AP74*AP107*AP96)</f>
        <v/>
      </c>
      <c r="AQ118" s="41">
        <f>AQ65*(1-AQ74+AQ74*AQ107*AQ96)</f>
        <v/>
      </c>
      <c r="AR118" s="41">
        <f>AR65*(1-AR74+AR74*AR107*AR96)</f>
        <v/>
      </c>
      <c r="AS118" s="41">
        <f>AS65*(1-AS74+AS74*AS107*AS96)</f>
        <v/>
      </c>
      <c r="AT118" s="41">
        <f>AT65*(1-AT74+AT74*AT107*AT96)</f>
        <v/>
      </c>
      <c r="AU118" s="41">
        <f>AU65*(1-AU74+AU74*AU107*AU96)</f>
        <v/>
      </c>
      <c r="AV118" s="41">
        <f>AV65*(1-AV74+AV74*AV107*AV96)</f>
        <v/>
      </c>
      <c r="AW118" s="41">
        <f>AW65*(1-AW74+AW74*AW107*AW96)</f>
        <v/>
      </c>
      <c r="AX118" s="41">
        <f>AX65*(1-AX74+AX74*AX107*AX96)</f>
        <v/>
      </c>
      <c r="AY118" s="41">
        <f>AY65*(1-AY74+AY74*AY107*AY96)</f>
        <v/>
      </c>
      <c r="AZ118" s="41">
        <f>AZ65*(1-AZ74+AZ74*AZ107*AZ96)</f>
        <v/>
      </c>
      <c r="BA118" s="41">
        <f>BA65*(1-BA74+BA74*BA107*BA96)</f>
        <v/>
      </c>
      <c r="BB118" s="41">
        <f>BB65*(1-BB74+BB74*BB107*BB96)</f>
        <v/>
      </c>
      <c r="BC118" s="41">
        <f>BC65*(1-BC74+BC74*BC107*BC96)</f>
        <v/>
      </c>
      <c r="BD118" s="41">
        <f>BD65*(1-BD74+BD74*BD107*BD96)</f>
        <v/>
      </c>
      <c r="BE118" s="41">
        <f>BE65*(1-BE74+BE74*BE107*BE96)</f>
        <v/>
      </c>
      <c r="BF118" s="41">
        <f>BF65*(1-BF74+BF74*BF107*BF96)</f>
        <v/>
      </c>
      <c r="BG118" s="41">
        <f>BG65*(1-BG74+BG74*BG107*BG96)</f>
        <v/>
      </c>
      <c r="BH118" s="41">
        <f>BH65*(1-BH74+BH74*BH107*BH96)</f>
        <v/>
      </c>
      <c r="BI118" s="41">
        <f>BI65*(1-BI74+BI74*BI107*BI96)</f>
        <v/>
      </c>
      <c r="BJ118" s="41">
        <f>BJ65*(1-BJ74+BJ74*BJ107*BJ96)</f>
        <v/>
      </c>
    </row>
    <row r="119">
      <c r="A119" s="4" t="inlineStr">
        <is>
          <t>New Solo: Ghana</t>
        </is>
      </c>
      <c r="B119" s="17" t="inlineStr">
        <is>
          <t>workspaces</t>
        </is>
      </c>
      <c r="C119" s="41">
        <f>C66*(1-C74+C74*C107*C86)</f>
        <v/>
      </c>
      <c r="D119" s="41">
        <f>D66*(1-D74+D74*D107*D86)</f>
        <v/>
      </c>
      <c r="E119" s="41">
        <f>E66*(1-E74+E74*E107*E86)</f>
        <v/>
      </c>
      <c r="F119" s="41">
        <f>F66*(1-F74+F74*F107*F86)</f>
        <v/>
      </c>
      <c r="G119" s="41">
        <f>G66*(1-G74+G74*G107*G86)</f>
        <v/>
      </c>
      <c r="H119" s="41">
        <f>H66*(1-H74+H74*H107*H86)</f>
        <v/>
      </c>
      <c r="I119" s="41">
        <f>I66*(1-I74+I74*I107*I86)</f>
        <v/>
      </c>
      <c r="J119" s="41">
        <f>J66*(1-J74+J74*J107*J86)</f>
        <v/>
      </c>
      <c r="K119" s="41">
        <f>K66*(1-K74+K74*K107*K86)</f>
        <v/>
      </c>
      <c r="L119" s="41">
        <f>L66*(1-L74+L74*L107*L86)</f>
        <v/>
      </c>
      <c r="M119" s="41">
        <f>M66*(1-M74+M74*M107*M86)</f>
        <v/>
      </c>
      <c r="N119" s="41">
        <f>N66*(1-N74+N74*N107*N86)</f>
        <v/>
      </c>
      <c r="O119" s="41">
        <f>O66*(1-O74+O74*O107*O86)</f>
        <v/>
      </c>
      <c r="P119" s="41">
        <f>P66*(1-P74+P74*P107*P86)</f>
        <v/>
      </c>
      <c r="Q119" s="41">
        <f>Q66*(1-Q74+Q74*Q107*Q86)</f>
        <v/>
      </c>
      <c r="R119" s="41">
        <f>R66*(1-R74+R74*R107*R86)</f>
        <v/>
      </c>
      <c r="S119" s="41">
        <f>S66*(1-S74+S74*S107*S86)</f>
        <v/>
      </c>
      <c r="T119" s="41">
        <f>T66*(1-T74+T74*T107*T86)</f>
        <v/>
      </c>
      <c r="U119" s="41">
        <f>U66*(1-U74+U74*U107*U86)</f>
        <v/>
      </c>
      <c r="V119" s="41">
        <f>V66*(1-V74+V74*V107*V86)</f>
        <v/>
      </c>
      <c r="W119" s="41">
        <f>W66*(1-W74+W74*W107*W86)</f>
        <v/>
      </c>
      <c r="X119" s="41">
        <f>X66*(1-X74+X74*X107*X86)</f>
        <v/>
      </c>
      <c r="Y119" s="41">
        <f>Y66*(1-Y74+Y74*Y107*Y86)</f>
        <v/>
      </c>
      <c r="Z119" s="41">
        <f>Z66*(1-Z74+Z74*Z107*Z86)</f>
        <v/>
      </c>
      <c r="AA119" s="41">
        <f>AA66*(1-AA74+AA74*AA107*AA86)</f>
        <v/>
      </c>
      <c r="AB119" s="41">
        <f>AB66*(1-AB74+AB74*AB107*AB86)</f>
        <v/>
      </c>
      <c r="AC119" s="41">
        <f>AC66*(1-AC74+AC74*AC107*AC86)</f>
        <v/>
      </c>
      <c r="AD119" s="41">
        <f>AD66*(1-AD74+AD74*AD107*AD86)</f>
        <v/>
      </c>
      <c r="AE119" s="41">
        <f>AE66*(1-AE74+AE74*AE107*AE86)</f>
        <v/>
      </c>
      <c r="AF119" s="41">
        <f>AF66*(1-AF74+AF74*AF107*AF86)</f>
        <v/>
      </c>
      <c r="AG119" s="41">
        <f>AG66*(1-AG74+AG74*AG107*AG86)</f>
        <v/>
      </c>
      <c r="AH119" s="41">
        <f>AH66*(1-AH74+AH74*AH107*AH86)</f>
        <v/>
      </c>
      <c r="AI119" s="41">
        <f>AI66*(1-AI74+AI74*AI107*AI86)</f>
        <v/>
      </c>
      <c r="AJ119" s="41">
        <f>AJ66*(1-AJ74+AJ74*AJ107*AJ86)</f>
        <v/>
      </c>
      <c r="AK119" s="41">
        <f>AK66*(1-AK74+AK74*AK107*AK86)</f>
        <v/>
      </c>
      <c r="AL119" s="41">
        <f>AL66*(1-AL74+AL74*AL107*AL86)</f>
        <v/>
      </c>
      <c r="AM119" s="41">
        <f>AM66*(1-AM74+AM74*AM107*AM86)</f>
        <v/>
      </c>
      <c r="AN119" s="41">
        <f>AN66*(1-AN74+AN74*AN107*AN86)</f>
        <v/>
      </c>
      <c r="AO119" s="41">
        <f>AO66*(1-AO74+AO74*AO107*AO86)</f>
        <v/>
      </c>
      <c r="AP119" s="41">
        <f>AP66*(1-AP74+AP74*AP107*AP86)</f>
        <v/>
      </c>
      <c r="AQ119" s="41">
        <f>AQ66*(1-AQ74+AQ74*AQ107*AQ86)</f>
        <v/>
      </c>
      <c r="AR119" s="41">
        <f>AR66*(1-AR74+AR74*AR107*AR86)</f>
        <v/>
      </c>
      <c r="AS119" s="41">
        <f>AS66*(1-AS74+AS74*AS107*AS86)</f>
        <v/>
      </c>
      <c r="AT119" s="41">
        <f>AT66*(1-AT74+AT74*AT107*AT86)</f>
        <v/>
      </c>
      <c r="AU119" s="41">
        <f>AU66*(1-AU74+AU74*AU107*AU86)</f>
        <v/>
      </c>
      <c r="AV119" s="41">
        <f>AV66*(1-AV74+AV74*AV107*AV86)</f>
        <v/>
      </c>
      <c r="AW119" s="41">
        <f>AW66*(1-AW74+AW74*AW107*AW86)</f>
        <v/>
      </c>
      <c r="AX119" s="41">
        <f>AX66*(1-AX74+AX74*AX107*AX86)</f>
        <v/>
      </c>
      <c r="AY119" s="41">
        <f>AY66*(1-AY74+AY74*AY107*AY86)</f>
        <v/>
      </c>
      <c r="AZ119" s="41">
        <f>AZ66*(1-AZ74+AZ74*AZ107*AZ86)</f>
        <v/>
      </c>
      <c r="BA119" s="41">
        <f>BA66*(1-BA74+BA74*BA107*BA86)</f>
        <v/>
      </c>
      <c r="BB119" s="41">
        <f>BB66*(1-BB74+BB74*BB107*BB86)</f>
        <v/>
      </c>
      <c r="BC119" s="41">
        <f>BC66*(1-BC74+BC74*BC107*BC86)</f>
        <v/>
      </c>
      <c r="BD119" s="41">
        <f>BD66*(1-BD74+BD74*BD107*BD86)</f>
        <v/>
      </c>
      <c r="BE119" s="41">
        <f>BE66*(1-BE74+BE74*BE107*BE86)</f>
        <v/>
      </c>
      <c r="BF119" s="41">
        <f>BF66*(1-BF74+BF74*BF107*BF86)</f>
        <v/>
      </c>
      <c r="BG119" s="41">
        <f>BG66*(1-BG74+BG74*BG107*BG86)</f>
        <v/>
      </c>
      <c r="BH119" s="41">
        <f>BH66*(1-BH74+BH74*BH107*BH86)</f>
        <v/>
      </c>
      <c r="BI119" s="41">
        <f>BI66*(1-BI74+BI74*BI107*BI86)</f>
        <v/>
      </c>
      <c r="BJ119" s="41">
        <f>BJ66*(1-BJ74+BJ74*BJ107*BJ86)</f>
        <v/>
      </c>
    </row>
    <row r="120">
      <c r="A120" s="4" t="inlineStr">
        <is>
          <t>New SMEs: Ghana</t>
        </is>
      </c>
      <c r="B120" s="17" t="inlineStr">
        <is>
          <t>workspaces</t>
        </is>
      </c>
      <c r="C120" s="41">
        <f>C67*(1-C74+C74*C107*C98)</f>
        <v/>
      </c>
      <c r="D120" s="41">
        <f>D67*(1-D74+D74*D107*D98)</f>
        <v/>
      </c>
      <c r="E120" s="41">
        <f>E67*(1-E74+E74*E107*E98)</f>
        <v/>
      </c>
      <c r="F120" s="41">
        <f>F67*(1-F74+F74*F107*F98)</f>
        <v/>
      </c>
      <c r="G120" s="41">
        <f>G67*(1-G74+G74*G107*G98)</f>
        <v/>
      </c>
      <c r="H120" s="41">
        <f>H67*(1-H74+H74*H107*H98)</f>
        <v/>
      </c>
      <c r="I120" s="41">
        <f>I67*(1-I74+I74*I107*I98)</f>
        <v/>
      </c>
      <c r="J120" s="41">
        <f>J67*(1-J74+J74*J107*J98)</f>
        <v/>
      </c>
      <c r="K120" s="41">
        <f>K67*(1-K74+K74*K107*K98)</f>
        <v/>
      </c>
      <c r="L120" s="41">
        <f>L67*(1-L74+L74*L107*L98)</f>
        <v/>
      </c>
      <c r="M120" s="41">
        <f>M67*(1-M74+M74*M107*M98)</f>
        <v/>
      </c>
      <c r="N120" s="41">
        <f>N67*(1-N74+N74*N107*N98)</f>
        <v/>
      </c>
      <c r="O120" s="41">
        <f>O67*(1-O74+O74*O107*O98)</f>
        <v/>
      </c>
      <c r="P120" s="41">
        <f>P67*(1-P74+P74*P107*P98)</f>
        <v/>
      </c>
      <c r="Q120" s="41">
        <f>Q67*(1-Q74+Q74*Q107*Q98)</f>
        <v/>
      </c>
      <c r="R120" s="41">
        <f>R67*(1-R74+R74*R107*R98)</f>
        <v/>
      </c>
      <c r="S120" s="41">
        <f>S67*(1-S74+S74*S107*S98)</f>
        <v/>
      </c>
      <c r="T120" s="41">
        <f>T67*(1-T74+T74*T107*T98)</f>
        <v/>
      </c>
      <c r="U120" s="41">
        <f>U67*(1-U74+U74*U107*U98)</f>
        <v/>
      </c>
      <c r="V120" s="41">
        <f>V67*(1-V74+V74*V107*V98)</f>
        <v/>
      </c>
      <c r="W120" s="41">
        <f>W67*(1-W74+W74*W107*W98)</f>
        <v/>
      </c>
      <c r="X120" s="41">
        <f>X67*(1-X74+X74*X107*X98)</f>
        <v/>
      </c>
      <c r="Y120" s="41">
        <f>Y67*(1-Y74+Y74*Y107*Y98)</f>
        <v/>
      </c>
      <c r="Z120" s="41">
        <f>Z67*(1-Z74+Z74*Z107*Z98)</f>
        <v/>
      </c>
      <c r="AA120" s="41">
        <f>AA67*(1-AA74+AA74*AA107*AA98)</f>
        <v/>
      </c>
      <c r="AB120" s="41">
        <f>AB67*(1-AB74+AB74*AB107*AB98)</f>
        <v/>
      </c>
      <c r="AC120" s="41">
        <f>AC67*(1-AC74+AC74*AC107*AC98)</f>
        <v/>
      </c>
      <c r="AD120" s="41">
        <f>AD67*(1-AD74+AD74*AD107*AD98)</f>
        <v/>
      </c>
      <c r="AE120" s="41">
        <f>AE67*(1-AE74+AE74*AE107*AE98)</f>
        <v/>
      </c>
      <c r="AF120" s="41">
        <f>AF67*(1-AF74+AF74*AF107*AF98)</f>
        <v/>
      </c>
      <c r="AG120" s="41">
        <f>AG67*(1-AG74+AG74*AG107*AG98)</f>
        <v/>
      </c>
      <c r="AH120" s="41">
        <f>AH67*(1-AH74+AH74*AH107*AH98)</f>
        <v/>
      </c>
      <c r="AI120" s="41">
        <f>AI67*(1-AI74+AI74*AI107*AI98)</f>
        <v/>
      </c>
      <c r="AJ120" s="41">
        <f>AJ67*(1-AJ74+AJ74*AJ107*AJ98)</f>
        <v/>
      </c>
      <c r="AK120" s="41">
        <f>AK67*(1-AK74+AK74*AK107*AK98)</f>
        <v/>
      </c>
      <c r="AL120" s="41">
        <f>AL67*(1-AL74+AL74*AL107*AL98)</f>
        <v/>
      </c>
      <c r="AM120" s="41">
        <f>AM67*(1-AM74+AM74*AM107*AM98)</f>
        <v/>
      </c>
      <c r="AN120" s="41">
        <f>AN67*(1-AN74+AN74*AN107*AN98)</f>
        <v/>
      </c>
      <c r="AO120" s="41">
        <f>AO67*(1-AO74+AO74*AO107*AO98)</f>
        <v/>
      </c>
      <c r="AP120" s="41">
        <f>AP67*(1-AP74+AP74*AP107*AP98)</f>
        <v/>
      </c>
      <c r="AQ120" s="41">
        <f>AQ67*(1-AQ74+AQ74*AQ107*AQ98)</f>
        <v/>
      </c>
      <c r="AR120" s="41">
        <f>AR67*(1-AR74+AR74*AR107*AR98)</f>
        <v/>
      </c>
      <c r="AS120" s="41">
        <f>AS67*(1-AS74+AS74*AS107*AS98)</f>
        <v/>
      </c>
      <c r="AT120" s="41">
        <f>AT67*(1-AT74+AT74*AT107*AT98)</f>
        <v/>
      </c>
      <c r="AU120" s="41">
        <f>AU67*(1-AU74+AU74*AU107*AU98)</f>
        <v/>
      </c>
      <c r="AV120" s="41">
        <f>AV67*(1-AV74+AV74*AV107*AV98)</f>
        <v/>
      </c>
      <c r="AW120" s="41">
        <f>AW67*(1-AW74+AW74*AW107*AW98)</f>
        <v/>
      </c>
      <c r="AX120" s="41">
        <f>AX67*(1-AX74+AX74*AX107*AX98)</f>
        <v/>
      </c>
      <c r="AY120" s="41">
        <f>AY67*(1-AY74+AY74*AY107*AY98)</f>
        <v/>
      </c>
      <c r="AZ120" s="41">
        <f>AZ67*(1-AZ74+AZ74*AZ107*AZ98)</f>
        <v/>
      </c>
      <c r="BA120" s="41">
        <f>BA67*(1-BA74+BA74*BA107*BA98)</f>
        <v/>
      </c>
      <c r="BB120" s="41">
        <f>BB67*(1-BB74+BB74*BB107*BB98)</f>
        <v/>
      </c>
      <c r="BC120" s="41">
        <f>BC67*(1-BC74+BC74*BC107*BC98)</f>
        <v/>
      </c>
      <c r="BD120" s="41">
        <f>BD67*(1-BD74+BD74*BD107*BD98)</f>
        <v/>
      </c>
      <c r="BE120" s="41">
        <f>BE67*(1-BE74+BE74*BE107*BE98)</f>
        <v/>
      </c>
      <c r="BF120" s="41">
        <f>BF67*(1-BF74+BF74*BF107*BF98)</f>
        <v/>
      </c>
      <c r="BG120" s="41">
        <f>BG67*(1-BG74+BG74*BG107*BG98)</f>
        <v/>
      </c>
      <c r="BH120" s="41">
        <f>BH67*(1-BH74+BH74*BH107*BH98)</f>
        <v/>
      </c>
      <c r="BI120" s="41">
        <f>BI67*(1-BI74+BI74*BI107*BI98)</f>
        <v/>
      </c>
      <c r="BJ120" s="41">
        <f>BJ67*(1-BJ74+BJ74*BJ107*BJ98)</f>
        <v/>
      </c>
    </row>
    <row r="121">
      <c r="A121" s="4" t="inlineStr">
        <is>
          <t>New Solo: Rest of Africa (USD)</t>
        </is>
      </c>
      <c r="B121" s="17" t="inlineStr">
        <is>
          <t>workspaces</t>
        </is>
      </c>
      <c r="C121" s="41">
        <f>C68*(1-C74+C74*C107*C88)</f>
        <v/>
      </c>
      <c r="D121" s="41">
        <f>D68*(1-D74+D74*D107*D88)</f>
        <v/>
      </c>
      <c r="E121" s="41">
        <f>E68*(1-E74+E74*E107*E88)</f>
        <v/>
      </c>
      <c r="F121" s="41">
        <f>F68*(1-F74+F74*F107*F88)</f>
        <v/>
      </c>
      <c r="G121" s="41">
        <f>G68*(1-G74+G74*G107*G88)</f>
        <v/>
      </c>
      <c r="H121" s="41">
        <f>H68*(1-H74+H74*H107*H88)</f>
        <v/>
      </c>
      <c r="I121" s="41">
        <f>I68*(1-I74+I74*I107*I88)</f>
        <v/>
      </c>
      <c r="J121" s="41">
        <f>J68*(1-J74+J74*J107*J88)</f>
        <v/>
      </c>
      <c r="K121" s="41">
        <f>K68*(1-K74+K74*K107*K88)</f>
        <v/>
      </c>
      <c r="L121" s="41">
        <f>L68*(1-L74+L74*L107*L88)</f>
        <v/>
      </c>
      <c r="M121" s="41">
        <f>M68*(1-M74+M74*M107*M88)</f>
        <v/>
      </c>
      <c r="N121" s="41">
        <f>N68*(1-N74+N74*N107*N88)</f>
        <v/>
      </c>
      <c r="O121" s="41">
        <f>O68*(1-O74+O74*O107*O88)</f>
        <v/>
      </c>
      <c r="P121" s="41">
        <f>P68*(1-P74+P74*P107*P88)</f>
        <v/>
      </c>
      <c r="Q121" s="41">
        <f>Q68*(1-Q74+Q74*Q107*Q88)</f>
        <v/>
      </c>
      <c r="R121" s="41">
        <f>R68*(1-R74+R74*R107*R88)</f>
        <v/>
      </c>
      <c r="S121" s="41">
        <f>S68*(1-S74+S74*S107*S88)</f>
        <v/>
      </c>
      <c r="T121" s="41">
        <f>T68*(1-T74+T74*T107*T88)</f>
        <v/>
      </c>
      <c r="U121" s="41">
        <f>U68*(1-U74+U74*U107*U88)</f>
        <v/>
      </c>
      <c r="V121" s="41">
        <f>V68*(1-V74+V74*V107*V88)</f>
        <v/>
      </c>
      <c r="W121" s="41">
        <f>W68*(1-W74+W74*W107*W88)</f>
        <v/>
      </c>
      <c r="X121" s="41">
        <f>X68*(1-X74+X74*X107*X88)</f>
        <v/>
      </c>
      <c r="Y121" s="41">
        <f>Y68*(1-Y74+Y74*Y107*Y88)</f>
        <v/>
      </c>
      <c r="Z121" s="41">
        <f>Z68*(1-Z74+Z74*Z107*Z88)</f>
        <v/>
      </c>
      <c r="AA121" s="41">
        <f>AA68*(1-AA74+AA74*AA107*AA88)</f>
        <v/>
      </c>
      <c r="AB121" s="41">
        <f>AB68*(1-AB74+AB74*AB107*AB88)</f>
        <v/>
      </c>
      <c r="AC121" s="41">
        <f>AC68*(1-AC74+AC74*AC107*AC88)</f>
        <v/>
      </c>
      <c r="AD121" s="41">
        <f>AD68*(1-AD74+AD74*AD107*AD88)</f>
        <v/>
      </c>
      <c r="AE121" s="41">
        <f>AE68*(1-AE74+AE74*AE107*AE88)</f>
        <v/>
      </c>
      <c r="AF121" s="41">
        <f>AF68*(1-AF74+AF74*AF107*AF88)</f>
        <v/>
      </c>
      <c r="AG121" s="41">
        <f>AG68*(1-AG74+AG74*AG107*AG88)</f>
        <v/>
      </c>
      <c r="AH121" s="41">
        <f>AH68*(1-AH74+AH74*AH107*AH88)</f>
        <v/>
      </c>
      <c r="AI121" s="41">
        <f>AI68*(1-AI74+AI74*AI107*AI88)</f>
        <v/>
      </c>
      <c r="AJ121" s="41">
        <f>AJ68*(1-AJ74+AJ74*AJ107*AJ88)</f>
        <v/>
      </c>
      <c r="AK121" s="41">
        <f>AK68*(1-AK74+AK74*AK107*AK88)</f>
        <v/>
      </c>
      <c r="AL121" s="41">
        <f>AL68*(1-AL74+AL74*AL107*AL88)</f>
        <v/>
      </c>
      <c r="AM121" s="41">
        <f>AM68*(1-AM74+AM74*AM107*AM88)</f>
        <v/>
      </c>
      <c r="AN121" s="41">
        <f>AN68*(1-AN74+AN74*AN107*AN88)</f>
        <v/>
      </c>
      <c r="AO121" s="41">
        <f>AO68*(1-AO74+AO74*AO107*AO88)</f>
        <v/>
      </c>
      <c r="AP121" s="41">
        <f>AP68*(1-AP74+AP74*AP107*AP88)</f>
        <v/>
      </c>
      <c r="AQ121" s="41">
        <f>AQ68*(1-AQ74+AQ74*AQ107*AQ88)</f>
        <v/>
      </c>
      <c r="AR121" s="41">
        <f>AR68*(1-AR74+AR74*AR107*AR88)</f>
        <v/>
      </c>
      <c r="AS121" s="41">
        <f>AS68*(1-AS74+AS74*AS107*AS88)</f>
        <v/>
      </c>
      <c r="AT121" s="41">
        <f>AT68*(1-AT74+AT74*AT107*AT88)</f>
        <v/>
      </c>
      <c r="AU121" s="41">
        <f>AU68*(1-AU74+AU74*AU107*AU88)</f>
        <v/>
      </c>
      <c r="AV121" s="41">
        <f>AV68*(1-AV74+AV74*AV107*AV88)</f>
        <v/>
      </c>
      <c r="AW121" s="41">
        <f>AW68*(1-AW74+AW74*AW107*AW88)</f>
        <v/>
      </c>
      <c r="AX121" s="41">
        <f>AX68*(1-AX74+AX74*AX107*AX88)</f>
        <v/>
      </c>
      <c r="AY121" s="41">
        <f>AY68*(1-AY74+AY74*AY107*AY88)</f>
        <v/>
      </c>
      <c r="AZ121" s="41">
        <f>AZ68*(1-AZ74+AZ74*AZ107*AZ88)</f>
        <v/>
      </c>
      <c r="BA121" s="41">
        <f>BA68*(1-BA74+BA74*BA107*BA88)</f>
        <v/>
      </c>
      <c r="BB121" s="41">
        <f>BB68*(1-BB74+BB74*BB107*BB88)</f>
        <v/>
      </c>
      <c r="BC121" s="41">
        <f>BC68*(1-BC74+BC74*BC107*BC88)</f>
        <v/>
      </c>
      <c r="BD121" s="41">
        <f>BD68*(1-BD74+BD74*BD107*BD88)</f>
        <v/>
      </c>
      <c r="BE121" s="41">
        <f>BE68*(1-BE74+BE74*BE107*BE88)</f>
        <v/>
      </c>
      <c r="BF121" s="41">
        <f>BF68*(1-BF74+BF74*BF107*BF88)</f>
        <v/>
      </c>
      <c r="BG121" s="41">
        <f>BG68*(1-BG74+BG74*BG107*BG88)</f>
        <v/>
      </c>
      <c r="BH121" s="41">
        <f>BH68*(1-BH74+BH74*BH107*BH88)</f>
        <v/>
      </c>
      <c r="BI121" s="41">
        <f>BI68*(1-BI74+BI74*BI107*BI88)</f>
        <v/>
      </c>
      <c r="BJ121" s="41">
        <f>BJ68*(1-BJ74+BJ74*BJ107*BJ88)</f>
        <v/>
      </c>
    </row>
    <row r="122">
      <c r="A122" s="4" t="inlineStr">
        <is>
          <t>New SMEs: Rest of Africa (USD)</t>
        </is>
      </c>
      <c r="B122" s="17" t="inlineStr">
        <is>
          <t>workspaces</t>
        </is>
      </c>
      <c r="C122" s="41">
        <f>C69*(1-C74+C74*C107*C100)</f>
        <v/>
      </c>
      <c r="D122" s="41">
        <f>D69*(1-D74+D74*D107*D100)</f>
        <v/>
      </c>
      <c r="E122" s="41">
        <f>E69*(1-E74+E74*E107*E100)</f>
        <v/>
      </c>
      <c r="F122" s="41">
        <f>F69*(1-F74+F74*F107*F100)</f>
        <v/>
      </c>
      <c r="G122" s="41">
        <f>G69*(1-G74+G74*G107*G100)</f>
        <v/>
      </c>
      <c r="H122" s="41">
        <f>H69*(1-H74+H74*H107*H100)</f>
        <v/>
      </c>
      <c r="I122" s="41">
        <f>I69*(1-I74+I74*I107*I100)</f>
        <v/>
      </c>
      <c r="J122" s="41">
        <f>J69*(1-J74+J74*J107*J100)</f>
        <v/>
      </c>
      <c r="K122" s="41">
        <f>K69*(1-K74+K74*K107*K100)</f>
        <v/>
      </c>
      <c r="L122" s="41">
        <f>L69*(1-L74+L74*L107*L100)</f>
        <v/>
      </c>
      <c r="M122" s="41">
        <f>M69*(1-M74+M74*M107*M100)</f>
        <v/>
      </c>
      <c r="N122" s="41">
        <f>N69*(1-N74+N74*N107*N100)</f>
        <v/>
      </c>
      <c r="O122" s="41">
        <f>O69*(1-O74+O74*O107*O100)</f>
        <v/>
      </c>
      <c r="P122" s="41">
        <f>P69*(1-P74+P74*P107*P100)</f>
        <v/>
      </c>
      <c r="Q122" s="41">
        <f>Q69*(1-Q74+Q74*Q107*Q100)</f>
        <v/>
      </c>
      <c r="R122" s="41">
        <f>R69*(1-R74+R74*R107*R100)</f>
        <v/>
      </c>
      <c r="S122" s="41">
        <f>S69*(1-S74+S74*S107*S100)</f>
        <v/>
      </c>
      <c r="T122" s="41">
        <f>T69*(1-T74+T74*T107*T100)</f>
        <v/>
      </c>
      <c r="U122" s="41">
        <f>U69*(1-U74+U74*U107*U100)</f>
        <v/>
      </c>
      <c r="V122" s="41">
        <f>V69*(1-V74+V74*V107*V100)</f>
        <v/>
      </c>
      <c r="W122" s="41">
        <f>W69*(1-W74+W74*W107*W100)</f>
        <v/>
      </c>
      <c r="X122" s="41">
        <f>X69*(1-X74+X74*X107*X100)</f>
        <v/>
      </c>
      <c r="Y122" s="41">
        <f>Y69*(1-Y74+Y74*Y107*Y100)</f>
        <v/>
      </c>
      <c r="Z122" s="41">
        <f>Z69*(1-Z74+Z74*Z107*Z100)</f>
        <v/>
      </c>
      <c r="AA122" s="41">
        <f>AA69*(1-AA74+AA74*AA107*AA100)</f>
        <v/>
      </c>
      <c r="AB122" s="41">
        <f>AB69*(1-AB74+AB74*AB107*AB100)</f>
        <v/>
      </c>
      <c r="AC122" s="41">
        <f>AC69*(1-AC74+AC74*AC107*AC100)</f>
        <v/>
      </c>
      <c r="AD122" s="41">
        <f>AD69*(1-AD74+AD74*AD107*AD100)</f>
        <v/>
      </c>
      <c r="AE122" s="41">
        <f>AE69*(1-AE74+AE74*AE107*AE100)</f>
        <v/>
      </c>
      <c r="AF122" s="41">
        <f>AF69*(1-AF74+AF74*AF107*AF100)</f>
        <v/>
      </c>
      <c r="AG122" s="41">
        <f>AG69*(1-AG74+AG74*AG107*AG100)</f>
        <v/>
      </c>
      <c r="AH122" s="41">
        <f>AH69*(1-AH74+AH74*AH107*AH100)</f>
        <v/>
      </c>
      <c r="AI122" s="41">
        <f>AI69*(1-AI74+AI74*AI107*AI100)</f>
        <v/>
      </c>
      <c r="AJ122" s="41">
        <f>AJ69*(1-AJ74+AJ74*AJ107*AJ100)</f>
        <v/>
      </c>
      <c r="AK122" s="41">
        <f>AK69*(1-AK74+AK74*AK107*AK100)</f>
        <v/>
      </c>
      <c r="AL122" s="41">
        <f>AL69*(1-AL74+AL74*AL107*AL100)</f>
        <v/>
      </c>
      <c r="AM122" s="41">
        <f>AM69*(1-AM74+AM74*AM107*AM100)</f>
        <v/>
      </c>
      <c r="AN122" s="41">
        <f>AN69*(1-AN74+AN74*AN107*AN100)</f>
        <v/>
      </c>
      <c r="AO122" s="41">
        <f>AO69*(1-AO74+AO74*AO107*AO100)</f>
        <v/>
      </c>
      <c r="AP122" s="41">
        <f>AP69*(1-AP74+AP74*AP107*AP100)</f>
        <v/>
      </c>
      <c r="AQ122" s="41">
        <f>AQ69*(1-AQ74+AQ74*AQ107*AQ100)</f>
        <v/>
      </c>
      <c r="AR122" s="41">
        <f>AR69*(1-AR74+AR74*AR107*AR100)</f>
        <v/>
      </c>
      <c r="AS122" s="41">
        <f>AS69*(1-AS74+AS74*AS107*AS100)</f>
        <v/>
      </c>
      <c r="AT122" s="41">
        <f>AT69*(1-AT74+AT74*AT107*AT100)</f>
        <v/>
      </c>
      <c r="AU122" s="41">
        <f>AU69*(1-AU74+AU74*AU107*AU100)</f>
        <v/>
      </c>
      <c r="AV122" s="41">
        <f>AV69*(1-AV74+AV74*AV107*AV100)</f>
        <v/>
      </c>
      <c r="AW122" s="41">
        <f>AW69*(1-AW74+AW74*AW107*AW100)</f>
        <v/>
      </c>
      <c r="AX122" s="41">
        <f>AX69*(1-AX74+AX74*AX107*AX100)</f>
        <v/>
      </c>
      <c r="AY122" s="41">
        <f>AY69*(1-AY74+AY74*AY107*AY100)</f>
        <v/>
      </c>
      <c r="AZ122" s="41">
        <f>AZ69*(1-AZ74+AZ74*AZ107*AZ100)</f>
        <v/>
      </c>
      <c r="BA122" s="41">
        <f>BA69*(1-BA74+BA74*BA107*BA100)</f>
        <v/>
      </c>
      <c r="BB122" s="41">
        <f>BB69*(1-BB74+BB74*BB107*BB100)</f>
        <v/>
      </c>
      <c r="BC122" s="41">
        <f>BC69*(1-BC74+BC74*BC107*BC100)</f>
        <v/>
      </c>
      <c r="BD122" s="41">
        <f>BD69*(1-BD74+BD74*BD107*BD100)</f>
        <v/>
      </c>
      <c r="BE122" s="41">
        <f>BE69*(1-BE74+BE74*BE107*BE100)</f>
        <v/>
      </c>
      <c r="BF122" s="41">
        <f>BF69*(1-BF74+BF74*BF107*BF100)</f>
        <v/>
      </c>
      <c r="BG122" s="41">
        <f>BG69*(1-BG74+BG74*BG107*BG100)</f>
        <v/>
      </c>
      <c r="BH122" s="41">
        <f>BH69*(1-BH74+BH74*BH107*BH100)</f>
        <v/>
      </c>
      <c r="BI122" s="41">
        <f>BI69*(1-BI74+BI74*BI107*BI100)</f>
        <v/>
      </c>
      <c r="BJ122" s="41">
        <f>BJ69*(1-BJ74+BJ74*BJ107*BJ100)</f>
        <v/>
      </c>
    </row>
    <row r="123">
      <c r="A123" s="4" t="inlineStr">
        <is>
          <t>New Solo: Botswana &amp; Namibia</t>
        </is>
      </c>
      <c r="B123" s="17" t="inlineStr">
        <is>
          <t>workspaces</t>
        </is>
      </c>
      <c r="C123" s="41">
        <f>C70*(1-C74+C74*C107*C90)</f>
        <v/>
      </c>
      <c r="D123" s="41">
        <f>D70*(1-D74+D74*D107*D90)</f>
        <v/>
      </c>
      <c r="E123" s="41">
        <f>E70*(1-E74+E74*E107*E90)</f>
        <v/>
      </c>
      <c r="F123" s="41">
        <f>F70*(1-F74+F74*F107*F90)</f>
        <v/>
      </c>
      <c r="G123" s="41">
        <f>G70*(1-G74+G74*G107*G90)</f>
        <v/>
      </c>
      <c r="H123" s="41">
        <f>H70*(1-H74+H74*H107*H90)</f>
        <v/>
      </c>
      <c r="I123" s="41">
        <f>I70*(1-I74+I74*I107*I90)</f>
        <v/>
      </c>
      <c r="J123" s="41">
        <f>J70*(1-J74+J74*J107*J90)</f>
        <v/>
      </c>
      <c r="K123" s="41">
        <f>K70*(1-K74+K74*K107*K90)</f>
        <v/>
      </c>
      <c r="L123" s="41">
        <f>L70*(1-L74+L74*L107*L90)</f>
        <v/>
      </c>
      <c r="M123" s="41">
        <f>M70*(1-M74+M74*M107*M90)</f>
        <v/>
      </c>
      <c r="N123" s="41">
        <f>N70*(1-N74+N74*N107*N90)</f>
        <v/>
      </c>
      <c r="O123" s="41">
        <f>O70*(1-O74+O74*O107*O90)</f>
        <v/>
      </c>
      <c r="P123" s="41">
        <f>P70*(1-P74+P74*P107*P90)</f>
        <v/>
      </c>
      <c r="Q123" s="41">
        <f>Q70*(1-Q74+Q74*Q107*Q90)</f>
        <v/>
      </c>
      <c r="R123" s="41">
        <f>R70*(1-R74+R74*R107*R90)</f>
        <v/>
      </c>
      <c r="S123" s="41">
        <f>S70*(1-S74+S74*S107*S90)</f>
        <v/>
      </c>
      <c r="T123" s="41">
        <f>T70*(1-T74+T74*T107*T90)</f>
        <v/>
      </c>
      <c r="U123" s="41">
        <f>U70*(1-U74+U74*U107*U90)</f>
        <v/>
      </c>
      <c r="V123" s="41">
        <f>V70*(1-V74+V74*V107*V90)</f>
        <v/>
      </c>
      <c r="W123" s="41">
        <f>W70*(1-W74+W74*W107*W90)</f>
        <v/>
      </c>
      <c r="X123" s="41">
        <f>X70*(1-X74+X74*X107*X90)</f>
        <v/>
      </c>
      <c r="Y123" s="41">
        <f>Y70*(1-Y74+Y74*Y107*Y90)</f>
        <v/>
      </c>
      <c r="Z123" s="41">
        <f>Z70*(1-Z74+Z74*Z107*Z90)</f>
        <v/>
      </c>
      <c r="AA123" s="41">
        <f>AA70*(1-AA74+AA74*AA107*AA90)</f>
        <v/>
      </c>
      <c r="AB123" s="41">
        <f>AB70*(1-AB74+AB74*AB107*AB90)</f>
        <v/>
      </c>
      <c r="AC123" s="41">
        <f>AC70*(1-AC74+AC74*AC107*AC90)</f>
        <v/>
      </c>
      <c r="AD123" s="41">
        <f>AD70*(1-AD74+AD74*AD107*AD90)</f>
        <v/>
      </c>
      <c r="AE123" s="41">
        <f>AE70*(1-AE74+AE74*AE107*AE90)</f>
        <v/>
      </c>
      <c r="AF123" s="41">
        <f>AF70*(1-AF74+AF74*AF107*AF90)</f>
        <v/>
      </c>
      <c r="AG123" s="41">
        <f>AG70*(1-AG74+AG74*AG107*AG90)</f>
        <v/>
      </c>
      <c r="AH123" s="41">
        <f>AH70*(1-AH74+AH74*AH107*AH90)</f>
        <v/>
      </c>
      <c r="AI123" s="41">
        <f>AI70*(1-AI74+AI74*AI107*AI90)</f>
        <v/>
      </c>
      <c r="AJ123" s="41">
        <f>AJ70*(1-AJ74+AJ74*AJ107*AJ90)</f>
        <v/>
      </c>
      <c r="AK123" s="41">
        <f>AK70*(1-AK74+AK74*AK107*AK90)</f>
        <v/>
      </c>
      <c r="AL123" s="41">
        <f>AL70*(1-AL74+AL74*AL107*AL90)</f>
        <v/>
      </c>
      <c r="AM123" s="41">
        <f>AM70*(1-AM74+AM74*AM107*AM90)</f>
        <v/>
      </c>
      <c r="AN123" s="41">
        <f>AN70*(1-AN74+AN74*AN107*AN90)</f>
        <v/>
      </c>
      <c r="AO123" s="41">
        <f>AO70*(1-AO74+AO74*AO107*AO90)</f>
        <v/>
      </c>
      <c r="AP123" s="41">
        <f>AP70*(1-AP74+AP74*AP107*AP90)</f>
        <v/>
      </c>
      <c r="AQ123" s="41">
        <f>AQ70*(1-AQ74+AQ74*AQ107*AQ90)</f>
        <v/>
      </c>
      <c r="AR123" s="41">
        <f>AR70*(1-AR74+AR74*AR107*AR90)</f>
        <v/>
      </c>
      <c r="AS123" s="41">
        <f>AS70*(1-AS74+AS74*AS107*AS90)</f>
        <v/>
      </c>
      <c r="AT123" s="41">
        <f>AT70*(1-AT74+AT74*AT107*AT90)</f>
        <v/>
      </c>
      <c r="AU123" s="41">
        <f>AU70*(1-AU74+AU74*AU107*AU90)</f>
        <v/>
      </c>
      <c r="AV123" s="41">
        <f>AV70*(1-AV74+AV74*AV107*AV90)</f>
        <v/>
      </c>
      <c r="AW123" s="41">
        <f>AW70*(1-AW74+AW74*AW107*AW90)</f>
        <v/>
      </c>
      <c r="AX123" s="41">
        <f>AX70*(1-AX74+AX74*AX107*AX90)</f>
        <v/>
      </c>
      <c r="AY123" s="41">
        <f>AY70*(1-AY74+AY74*AY107*AY90)</f>
        <v/>
      </c>
      <c r="AZ123" s="41">
        <f>AZ70*(1-AZ74+AZ74*AZ107*AZ90)</f>
        <v/>
      </c>
      <c r="BA123" s="41">
        <f>BA70*(1-BA74+BA74*BA107*BA90)</f>
        <v/>
      </c>
      <c r="BB123" s="41">
        <f>BB70*(1-BB74+BB74*BB107*BB90)</f>
        <v/>
      </c>
      <c r="BC123" s="41">
        <f>BC70*(1-BC74+BC74*BC107*BC90)</f>
        <v/>
      </c>
      <c r="BD123" s="41">
        <f>BD70*(1-BD74+BD74*BD107*BD90)</f>
        <v/>
      </c>
      <c r="BE123" s="41">
        <f>BE70*(1-BE74+BE74*BE107*BE90)</f>
        <v/>
      </c>
      <c r="BF123" s="41">
        <f>BF70*(1-BF74+BF74*BF107*BF90)</f>
        <v/>
      </c>
      <c r="BG123" s="41">
        <f>BG70*(1-BG74+BG74*BG107*BG90)</f>
        <v/>
      </c>
      <c r="BH123" s="41">
        <f>BH70*(1-BH74+BH74*BH107*BH90)</f>
        <v/>
      </c>
      <c r="BI123" s="41">
        <f>BI70*(1-BI74+BI74*BI107*BI90)</f>
        <v/>
      </c>
      <c r="BJ123" s="41">
        <f>BJ70*(1-BJ74+BJ74*BJ107*BJ90)</f>
        <v/>
      </c>
    </row>
    <row r="124">
      <c r="A124" s="4" t="inlineStr">
        <is>
          <t>New SMEs: Botswana &amp; Namibia</t>
        </is>
      </c>
      <c r="B124" s="17" t="inlineStr">
        <is>
          <t>workspaces</t>
        </is>
      </c>
      <c r="C124" s="41">
        <f>C71*(1-C74+C74*C107*C102)</f>
        <v/>
      </c>
      <c r="D124" s="41">
        <f>D71*(1-D74+D74*D107*D102)</f>
        <v/>
      </c>
      <c r="E124" s="41">
        <f>E71*(1-E74+E74*E107*E102)</f>
        <v/>
      </c>
      <c r="F124" s="41">
        <f>F71*(1-F74+F74*F107*F102)</f>
        <v/>
      </c>
      <c r="G124" s="41">
        <f>G71*(1-G74+G74*G107*G102)</f>
        <v/>
      </c>
      <c r="H124" s="41">
        <f>H71*(1-H74+H74*H107*H102)</f>
        <v/>
      </c>
      <c r="I124" s="41">
        <f>I71*(1-I74+I74*I107*I102)</f>
        <v/>
      </c>
      <c r="J124" s="41">
        <f>J71*(1-J74+J74*J107*J102)</f>
        <v/>
      </c>
      <c r="K124" s="41">
        <f>K71*(1-K74+K74*K107*K102)</f>
        <v/>
      </c>
      <c r="L124" s="41">
        <f>L71*(1-L74+L74*L107*L102)</f>
        <v/>
      </c>
      <c r="M124" s="41">
        <f>M71*(1-M74+M74*M107*M102)</f>
        <v/>
      </c>
      <c r="N124" s="41">
        <f>N71*(1-N74+N74*N107*N102)</f>
        <v/>
      </c>
      <c r="O124" s="41">
        <f>O71*(1-O74+O74*O107*O102)</f>
        <v/>
      </c>
      <c r="P124" s="41">
        <f>P71*(1-P74+P74*P107*P102)</f>
        <v/>
      </c>
      <c r="Q124" s="41">
        <f>Q71*(1-Q74+Q74*Q107*Q102)</f>
        <v/>
      </c>
      <c r="R124" s="41">
        <f>R71*(1-R74+R74*R107*R102)</f>
        <v/>
      </c>
      <c r="S124" s="41">
        <f>S71*(1-S74+S74*S107*S102)</f>
        <v/>
      </c>
      <c r="T124" s="41">
        <f>T71*(1-T74+T74*T107*T102)</f>
        <v/>
      </c>
      <c r="U124" s="41">
        <f>U71*(1-U74+U74*U107*U102)</f>
        <v/>
      </c>
      <c r="V124" s="41">
        <f>V71*(1-V74+V74*V107*V102)</f>
        <v/>
      </c>
      <c r="W124" s="41">
        <f>W71*(1-W74+W74*W107*W102)</f>
        <v/>
      </c>
      <c r="X124" s="41">
        <f>X71*(1-X74+X74*X107*X102)</f>
        <v/>
      </c>
      <c r="Y124" s="41">
        <f>Y71*(1-Y74+Y74*Y107*Y102)</f>
        <v/>
      </c>
      <c r="Z124" s="41">
        <f>Z71*(1-Z74+Z74*Z107*Z102)</f>
        <v/>
      </c>
      <c r="AA124" s="41">
        <f>AA71*(1-AA74+AA74*AA107*AA102)</f>
        <v/>
      </c>
      <c r="AB124" s="41">
        <f>AB71*(1-AB74+AB74*AB107*AB102)</f>
        <v/>
      </c>
      <c r="AC124" s="41">
        <f>AC71*(1-AC74+AC74*AC107*AC102)</f>
        <v/>
      </c>
      <c r="AD124" s="41">
        <f>AD71*(1-AD74+AD74*AD107*AD102)</f>
        <v/>
      </c>
      <c r="AE124" s="41">
        <f>AE71*(1-AE74+AE74*AE107*AE102)</f>
        <v/>
      </c>
      <c r="AF124" s="41">
        <f>AF71*(1-AF74+AF74*AF107*AF102)</f>
        <v/>
      </c>
      <c r="AG124" s="41">
        <f>AG71*(1-AG74+AG74*AG107*AG102)</f>
        <v/>
      </c>
      <c r="AH124" s="41">
        <f>AH71*(1-AH74+AH74*AH107*AH102)</f>
        <v/>
      </c>
      <c r="AI124" s="41">
        <f>AI71*(1-AI74+AI74*AI107*AI102)</f>
        <v/>
      </c>
      <c r="AJ124" s="41">
        <f>AJ71*(1-AJ74+AJ74*AJ107*AJ102)</f>
        <v/>
      </c>
      <c r="AK124" s="41">
        <f>AK71*(1-AK74+AK74*AK107*AK102)</f>
        <v/>
      </c>
      <c r="AL124" s="41">
        <f>AL71*(1-AL74+AL74*AL107*AL102)</f>
        <v/>
      </c>
      <c r="AM124" s="41">
        <f>AM71*(1-AM74+AM74*AM107*AM102)</f>
        <v/>
      </c>
      <c r="AN124" s="41">
        <f>AN71*(1-AN74+AN74*AN107*AN102)</f>
        <v/>
      </c>
      <c r="AO124" s="41">
        <f>AO71*(1-AO74+AO74*AO107*AO102)</f>
        <v/>
      </c>
      <c r="AP124" s="41">
        <f>AP71*(1-AP74+AP74*AP107*AP102)</f>
        <v/>
      </c>
      <c r="AQ124" s="41">
        <f>AQ71*(1-AQ74+AQ74*AQ107*AQ102)</f>
        <v/>
      </c>
      <c r="AR124" s="41">
        <f>AR71*(1-AR74+AR74*AR107*AR102)</f>
        <v/>
      </c>
      <c r="AS124" s="41">
        <f>AS71*(1-AS74+AS74*AS107*AS102)</f>
        <v/>
      </c>
      <c r="AT124" s="41">
        <f>AT71*(1-AT74+AT74*AT107*AT102)</f>
        <v/>
      </c>
      <c r="AU124" s="41">
        <f>AU71*(1-AU74+AU74*AU107*AU102)</f>
        <v/>
      </c>
      <c r="AV124" s="41">
        <f>AV71*(1-AV74+AV74*AV107*AV102)</f>
        <v/>
      </c>
      <c r="AW124" s="41">
        <f>AW71*(1-AW74+AW74*AW107*AW102)</f>
        <v/>
      </c>
      <c r="AX124" s="41">
        <f>AX71*(1-AX74+AX74*AX107*AX102)</f>
        <v/>
      </c>
      <c r="AY124" s="41">
        <f>AY71*(1-AY74+AY74*AY107*AY102)</f>
        <v/>
      </c>
      <c r="AZ124" s="41">
        <f>AZ71*(1-AZ74+AZ74*AZ107*AZ102)</f>
        <v/>
      </c>
      <c r="BA124" s="41">
        <f>BA71*(1-BA74+BA74*BA107*BA102)</f>
        <v/>
      </c>
      <c r="BB124" s="41">
        <f>BB71*(1-BB74+BB74*BB107*BB102)</f>
        <v/>
      </c>
      <c r="BC124" s="41">
        <f>BC71*(1-BC74+BC74*BC107*BC102)</f>
        <v/>
      </c>
      <c r="BD124" s="41">
        <f>BD71*(1-BD74+BD74*BD107*BD102)</f>
        <v/>
      </c>
      <c r="BE124" s="41">
        <f>BE71*(1-BE74+BE74*BE107*BE102)</f>
        <v/>
      </c>
      <c r="BF124" s="41">
        <f>BF71*(1-BF74+BF74*BF107*BF102)</f>
        <v/>
      </c>
      <c r="BG124" s="41">
        <f>BG71*(1-BG74+BG74*BG107*BG102)</f>
        <v/>
      </c>
      <c r="BH124" s="41">
        <f>BH71*(1-BH74+BH74*BH107*BH102)</f>
        <v/>
      </c>
      <c r="BI124" s="41">
        <f>BI71*(1-BI74+BI74*BI107*BI102)</f>
        <v/>
      </c>
      <c r="BJ124" s="41">
        <f>BJ71*(1-BJ74+BJ74*BJ107*BJ102)</f>
        <v/>
      </c>
    </row>
    <row r="125">
      <c r="A125" s="4" t="inlineStr">
        <is>
          <t>Pilot brands converting (Pilot Founding terms)</t>
        </is>
      </c>
      <c r="B125" s="17" t="inlineStr">
        <is>
          <t>workspaces</t>
        </is>
      </c>
      <c r="C125" s="41">
        <f>IF(C$3=Assumptions!$B$23,Assumptions!$B$20*Assumptions!$B$22,0)</f>
        <v/>
      </c>
      <c r="D125" s="41">
        <f>IF(D$3=Assumptions!$B$23,Assumptions!$B$20*Assumptions!$B$22,0)</f>
        <v/>
      </c>
      <c r="E125" s="41">
        <f>IF(E$3=Assumptions!$B$23,Assumptions!$B$20*Assumptions!$B$22,0)</f>
        <v/>
      </c>
      <c r="F125" s="41">
        <f>IF(F$3=Assumptions!$B$23,Assumptions!$B$20*Assumptions!$B$22,0)</f>
        <v/>
      </c>
      <c r="G125" s="41">
        <f>IF(G$3=Assumptions!$B$23,Assumptions!$B$20*Assumptions!$B$22,0)</f>
        <v/>
      </c>
      <c r="H125" s="41">
        <f>IF(H$3=Assumptions!$B$23,Assumptions!$B$20*Assumptions!$B$22,0)</f>
        <v/>
      </c>
      <c r="I125" s="41">
        <f>IF(I$3=Assumptions!$B$23,Assumptions!$B$20*Assumptions!$B$22,0)</f>
        <v/>
      </c>
      <c r="J125" s="41">
        <f>IF(J$3=Assumptions!$B$23,Assumptions!$B$20*Assumptions!$B$22,0)</f>
        <v/>
      </c>
      <c r="K125" s="41">
        <f>IF(K$3=Assumptions!$B$23,Assumptions!$B$20*Assumptions!$B$22,0)</f>
        <v/>
      </c>
      <c r="L125" s="41">
        <f>IF(L$3=Assumptions!$B$23,Assumptions!$B$20*Assumptions!$B$22,0)</f>
        <v/>
      </c>
      <c r="M125" s="41">
        <f>IF(M$3=Assumptions!$B$23,Assumptions!$B$20*Assumptions!$B$22,0)</f>
        <v/>
      </c>
      <c r="N125" s="41">
        <f>IF(N$3=Assumptions!$B$23,Assumptions!$B$20*Assumptions!$B$22,0)</f>
        <v/>
      </c>
      <c r="O125" s="41">
        <f>IF(O$3=Assumptions!$B$23,Assumptions!$B$20*Assumptions!$B$22,0)</f>
        <v/>
      </c>
      <c r="P125" s="41">
        <f>IF(P$3=Assumptions!$B$23,Assumptions!$B$20*Assumptions!$B$22,0)</f>
        <v/>
      </c>
      <c r="Q125" s="41">
        <f>IF(Q$3=Assumptions!$B$23,Assumptions!$B$20*Assumptions!$B$22,0)</f>
        <v/>
      </c>
      <c r="R125" s="41">
        <f>IF(R$3=Assumptions!$B$23,Assumptions!$B$20*Assumptions!$B$22,0)</f>
        <v/>
      </c>
      <c r="S125" s="41">
        <f>IF(S$3=Assumptions!$B$23,Assumptions!$B$20*Assumptions!$B$22,0)</f>
        <v/>
      </c>
      <c r="T125" s="41">
        <f>IF(T$3=Assumptions!$B$23,Assumptions!$B$20*Assumptions!$B$22,0)</f>
        <v/>
      </c>
      <c r="U125" s="41">
        <f>IF(U$3=Assumptions!$B$23,Assumptions!$B$20*Assumptions!$B$22,0)</f>
        <v/>
      </c>
      <c r="V125" s="41">
        <f>IF(V$3=Assumptions!$B$23,Assumptions!$B$20*Assumptions!$B$22,0)</f>
        <v/>
      </c>
      <c r="W125" s="41">
        <f>IF(W$3=Assumptions!$B$23,Assumptions!$B$20*Assumptions!$B$22,0)</f>
        <v/>
      </c>
      <c r="X125" s="41">
        <f>IF(X$3=Assumptions!$B$23,Assumptions!$B$20*Assumptions!$B$22,0)</f>
        <v/>
      </c>
      <c r="Y125" s="41">
        <f>IF(Y$3=Assumptions!$B$23,Assumptions!$B$20*Assumptions!$B$22,0)</f>
        <v/>
      </c>
      <c r="Z125" s="41">
        <f>IF(Z$3=Assumptions!$B$23,Assumptions!$B$20*Assumptions!$B$22,0)</f>
        <v/>
      </c>
      <c r="AA125" s="41">
        <f>IF(AA$3=Assumptions!$B$23,Assumptions!$B$20*Assumptions!$B$22,0)</f>
        <v/>
      </c>
      <c r="AB125" s="41">
        <f>IF(AB$3=Assumptions!$B$23,Assumptions!$B$20*Assumptions!$B$22,0)</f>
        <v/>
      </c>
      <c r="AC125" s="41">
        <f>IF(AC$3=Assumptions!$B$23,Assumptions!$B$20*Assumptions!$B$22,0)</f>
        <v/>
      </c>
      <c r="AD125" s="41">
        <f>IF(AD$3=Assumptions!$B$23,Assumptions!$B$20*Assumptions!$B$22,0)</f>
        <v/>
      </c>
      <c r="AE125" s="41">
        <f>IF(AE$3=Assumptions!$B$23,Assumptions!$B$20*Assumptions!$B$22,0)</f>
        <v/>
      </c>
      <c r="AF125" s="41">
        <f>IF(AF$3=Assumptions!$B$23,Assumptions!$B$20*Assumptions!$B$22,0)</f>
        <v/>
      </c>
      <c r="AG125" s="41">
        <f>IF(AG$3=Assumptions!$B$23,Assumptions!$B$20*Assumptions!$B$22,0)</f>
        <v/>
      </c>
      <c r="AH125" s="41">
        <f>IF(AH$3=Assumptions!$B$23,Assumptions!$B$20*Assumptions!$B$22,0)</f>
        <v/>
      </c>
      <c r="AI125" s="41">
        <f>IF(AI$3=Assumptions!$B$23,Assumptions!$B$20*Assumptions!$B$22,0)</f>
        <v/>
      </c>
      <c r="AJ125" s="41">
        <f>IF(AJ$3=Assumptions!$B$23,Assumptions!$B$20*Assumptions!$B$22,0)</f>
        <v/>
      </c>
      <c r="AK125" s="41">
        <f>IF(AK$3=Assumptions!$B$23,Assumptions!$B$20*Assumptions!$B$22,0)</f>
        <v/>
      </c>
      <c r="AL125" s="41">
        <f>IF(AL$3=Assumptions!$B$23,Assumptions!$B$20*Assumptions!$B$22,0)</f>
        <v/>
      </c>
      <c r="AM125" s="41">
        <f>IF(AM$3=Assumptions!$B$23,Assumptions!$B$20*Assumptions!$B$22,0)</f>
        <v/>
      </c>
      <c r="AN125" s="41">
        <f>IF(AN$3=Assumptions!$B$23,Assumptions!$B$20*Assumptions!$B$22,0)</f>
        <v/>
      </c>
      <c r="AO125" s="41">
        <f>IF(AO$3=Assumptions!$B$23,Assumptions!$B$20*Assumptions!$B$22,0)</f>
        <v/>
      </c>
      <c r="AP125" s="41">
        <f>IF(AP$3=Assumptions!$B$23,Assumptions!$B$20*Assumptions!$B$22,0)</f>
        <v/>
      </c>
      <c r="AQ125" s="41">
        <f>IF(AQ$3=Assumptions!$B$23,Assumptions!$B$20*Assumptions!$B$22,0)</f>
        <v/>
      </c>
      <c r="AR125" s="41">
        <f>IF(AR$3=Assumptions!$B$23,Assumptions!$B$20*Assumptions!$B$22,0)</f>
        <v/>
      </c>
      <c r="AS125" s="41">
        <f>IF(AS$3=Assumptions!$B$23,Assumptions!$B$20*Assumptions!$B$22,0)</f>
        <v/>
      </c>
      <c r="AT125" s="41">
        <f>IF(AT$3=Assumptions!$B$23,Assumptions!$B$20*Assumptions!$B$22,0)</f>
        <v/>
      </c>
      <c r="AU125" s="41">
        <f>IF(AU$3=Assumptions!$B$23,Assumptions!$B$20*Assumptions!$B$22,0)</f>
        <v/>
      </c>
      <c r="AV125" s="41">
        <f>IF(AV$3=Assumptions!$B$23,Assumptions!$B$20*Assumptions!$B$22,0)</f>
        <v/>
      </c>
      <c r="AW125" s="41">
        <f>IF(AW$3=Assumptions!$B$23,Assumptions!$B$20*Assumptions!$B$22,0)</f>
        <v/>
      </c>
      <c r="AX125" s="41">
        <f>IF(AX$3=Assumptions!$B$23,Assumptions!$B$20*Assumptions!$B$22,0)</f>
        <v/>
      </c>
      <c r="AY125" s="41">
        <f>IF(AY$3=Assumptions!$B$23,Assumptions!$B$20*Assumptions!$B$22,0)</f>
        <v/>
      </c>
      <c r="AZ125" s="41">
        <f>IF(AZ$3=Assumptions!$B$23,Assumptions!$B$20*Assumptions!$B$22,0)</f>
        <v/>
      </c>
      <c r="BA125" s="41">
        <f>IF(BA$3=Assumptions!$B$23,Assumptions!$B$20*Assumptions!$B$22,0)</f>
        <v/>
      </c>
      <c r="BB125" s="41">
        <f>IF(BB$3=Assumptions!$B$23,Assumptions!$B$20*Assumptions!$B$22,0)</f>
        <v/>
      </c>
      <c r="BC125" s="41">
        <f>IF(BC$3=Assumptions!$B$23,Assumptions!$B$20*Assumptions!$B$22,0)</f>
        <v/>
      </c>
      <c r="BD125" s="41">
        <f>IF(BD$3=Assumptions!$B$23,Assumptions!$B$20*Assumptions!$B$22,0)</f>
        <v/>
      </c>
      <c r="BE125" s="41">
        <f>IF(BE$3=Assumptions!$B$23,Assumptions!$B$20*Assumptions!$B$22,0)</f>
        <v/>
      </c>
      <c r="BF125" s="41">
        <f>IF(BF$3=Assumptions!$B$23,Assumptions!$B$20*Assumptions!$B$22,0)</f>
        <v/>
      </c>
      <c r="BG125" s="41">
        <f>IF(BG$3=Assumptions!$B$23,Assumptions!$B$20*Assumptions!$B$22,0)</f>
        <v/>
      </c>
      <c r="BH125" s="41">
        <f>IF(BH$3=Assumptions!$B$23,Assumptions!$B$20*Assumptions!$B$22,0)</f>
        <v/>
      </c>
      <c r="BI125" s="41">
        <f>IF(BI$3=Assumptions!$B$23,Assumptions!$B$20*Assumptions!$B$22,0)</f>
        <v/>
      </c>
      <c r="BJ125" s="41">
        <f>IF(BJ$3=Assumptions!$B$23,Assumptions!$B$20*Assumptions!$B$22,0)</f>
        <v/>
      </c>
    </row>
    <row r="126">
      <c r="A126" s="4" t="inlineStr">
        <is>
          <t>New agencies: South Africa (inbound + partnerships managers)</t>
        </is>
      </c>
      <c r="B126" s="17" t="inlineStr">
        <is>
          <t>agencies</t>
        </is>
      </c>
      <c r="C126" s="43">
        <f>C13*Assumptions!$B$139+Costs!C77*Assumptions!$B$140</f>
        <v/>
      </c>
      <c r="D126" s="43">
        <f>D13*Assumptions!$B$139+Costs!D77*Assumptions!$B$140</f>
        <v/>
      </c>
      <c r="E126" s="43">
        <f>E13*Assumptions!$B$139+Costs!E77*Assumptions!$B$140</f>
        <v/>
      </c>
      <c r="F126" s="43">
        <f>F13*Assumptions!$B$139+Costs!F77*Assumptions!$B$140</f>
        <v/>
      </c>
      <c r="G126" s="43">
        <f>G13*Assumptions!$B$139+Costs!G77*Assumptions!$B$140</f>
        <v/>
      </c>
      <c r="H126" s="43">
        <f>H13*Assumptions!$B$139+Costs!H77*Assumptions!$B$140</f>
        <v/>
      </c>
      <c r="I126" s="43">
        <f>I13*Assumptions!$B$139+Costs!I77*Assumptions!$B$140</f>
        <v/>
      </c>
      <c r="J126" s="43">
        <f>J13*Assumptions!$B$139+Costs!J77*Assumptions!$B$140</f>
        <v/>
      </c>
      <c r="K126" s="43">
        <f>K13*Assumptions!$B$139+Costs!K77*Assumptions!$B$140</f>
        <v/>
      </c>
      <c r="L126" s="43">
        <f>L13*Assumptions!$B$139+Costs!L77*Assumptions!$B$140</f>
        <v/>
      </c>
      <c r="M126" s="43">
        <f>M13*Assumptions!$B$139+Costs!M77*Assumptions!$B$140</f>
        <v/>
      </c>
      <c r="N126" s="43">
        <f>N13*Assumptions!$B$139+Costs!N77*Assumptions!$B$140</f>
        <v/>
      </c>
      <c r="O126" s="43">
        <f>O13*Assumptions!$B$139+Costs!O77*Assumptions!$B$140</f>
        <v/>
      </c>
      <c r="P126" s="43">
        <f>P13*Assumptions!$B$139+Costs!P77*Assumptions!$B$140</f>
        <v/>
      </c>
      <c r="Q126" s="43">
        <f>Q13*Assumptions!$B$139+Costs!Q77*Assumptions!$B$140</f>
        <v/>
      </c>
      <c r="R126" s="43">
        <f>R13*Assumptions!$B$139+Costs!R77*Assumptions!$B$140</f>
        <v/>
      </c>
      <c r="S126" s="43">
        <f>S13*Assumptions!$B$139+Costs!S77*Assumptions!$B$140</f>
        <v/>
      </c>
      <c r="T126" s="43">
        <f>T13*Assumptions!$B$139+Costs!T77*Assumptions!$B$140</f>
        <v/>
      </c>
      <c r="U126" s="43">
        <f>U13*Assumptions!$B$139+Costs!U77*Assumptions!$B$140</f>
        <v/>
      </c>
      <c r="V126" s="43">
        <f>V13*Assumptions!$B$139+Costs!V77*Assumptions!$B$140</f>
        <v/>
      </c>
      <c r="W126" s="43">
        <f>W13*Assumptions!$B$139+Costs!W77*Assumptions!$B$140</f>
        <v/>
      </c>
      <c r="X126" s="43">
        <f>X13*Assumptions!$B$139+Costs!X77*Assumptions!$B$140</f>
        <v/>
      </c>
      <c r="Y126" s="43">
        <f>Y13*Assumptions!$B$139+Costs!Y77*Assumptions!$B$140</f>
        <v/>
      </c>
      <c r="Z126" s="43">
        <f>Z13*Assumptions!$B$139+Costs!Z77*Assumptions!$B$140</f>
        <v/>
      </c>
      <c r="AA126" s="43">
        <f>AA13*Assumptions!$B$139+Costs!AA77*Assumptions!$B$140</f>
        <v/>
      </c>
      <c r="AB126" s="43">
        <f>AB13*Assumptions!$B$139+Costs!AB77*Assumptions!$B$140</f>
        <v/>
      </c>
      <c r="AC126" s="43">
        <f>AC13*Assumptions!$B$139+Costs!AC77*Assumptions!$B$140</f>
        <v/>
      </c>
      <c r="AD126" s="43">
        <f>AD13*Assumptions!$B$139+Costs!AD77*Assumptions!$B$140</f>
        <v/>
      </c>
      <c r="AE126" s="43">
        <f>AE13*Assumptions!$B$139+Costs!AE77*Assumptions!$B$140</f>
        <v/>
      </c>
      <c r="AF126" s="43">
        <f>AF13*Assumptions!$B$139+Costs!AF77*Assumptions!$B$140</f>
        <v/>
      </c>
      <c r="AG126" s="43">
        <f>AG13*Assumptions!$B$139+Costs!AG77*Assumptions!$B$140</f>
        <v/>
      </c>
      <c r="AH126" s="43">
        <f>AH13*Assumptions!$B$139+Costs!AH77*Assumptions!$B$140</f>
        <v/>
      </c>
      <c r="AI126" s="43">
        <f>AI13*Assumptions!$B$139+Costs!AI77*Assumptions!$B$140</f>
        <v/>
      </c>
      <c r="AJ126" s="43">
        <f>AJ13*Assumptions!$B$139+Costs!AJ77*Assumptions!$B$140</f>
        <v/>
      </c>
      <c r="AK126" s="43">
        <f>AK13*Assumptions!$B$139+Costs!AK77*Assumptions!$B$140</f>
        <v/>
      </c>
      <c r="AL126" s="43">
        <f>AL13*Assumptions!$B$139+Costs!AL77*Assumptions!$B$140</f>
        <v/>
      </c>
      <c r="AM126" s="43">
        <f>AM13*Assumptions!$B$139+Costs!AM77*Assumptions!$B$140</f>
        <v/>
      </c>
      <c r="AN126" s="43">
        <f>AN13*Assumptions!$B$139+Costs!AN77*Assumptions!$B$140</f>
        <v/>
      </c>
      <c r="AO126" s="43">
        <f>AO13*Assumptions!$B$139+Costs!AO77*Assumptions!$B$140</f>
        <v/>
      </c>
      <c r="AP126" s="43">
        <f>AP13*Assumptions!$B$139+Costs!AP77*Assumptions!$B$140</f>
        <v/>
      </c>
      <c r="AQ126" s="43">
        <f>AQ13*Assumptions!$B$139+Costs!AQ77*Assumptions!$B$140</f>
        <v/>
      </c>
      <c r="AR126" s="43">
        <f>AR13*Assumptions!$B$139+Costs!AR77*Assumptions!$B$140</f>
        <v/>
      </c>
      <c r="AS126" s="43">
        <f>AS13*Assumptions!$B$139+Costs!AS77*Assumptions!$B$140</f>
        <v/>
      </c>
      <c r="AT126" s="43">
        <f>AT13*Assumptions!$B$139+Costs!AT77*Assumptions!$B$140</f>
        <v/>
      </c>
      <c r="AU126" s="43">
        <f>AU13*Assumptions!$B$139+Costs!AU77*Assumptions!$B$140</f>
        <v/>
      </c>
      <c r="AV126" s="43">
        <f>AV13*Assumptions!$B$139+Costs!AV77*Assumptions!$B$140</f>
        <v/>
      </c>
      <c r="AW126" s="43">
        <f>AW13*Assumptions!$B$139+Costs!AW77*Assumptions!$B$140</f>
        <v/>
      </c>
      <c r="AX126" s="43">
        <f>AX13*Assumptions!$B$139+Costs!AX77*Assumptions!$B$140</f>
        <v/>
      </c>
      <c r="AY126" s="43">
        <f>AY13*Assumptions!$B$139+Costs!AY77*Assumptions!$B$140</f>
        <v/>
      </c>
      <c r="AZ126" s="43">
        <f>AZ13*Assumptions!$B$139+Costs!AZ77*Assumptions!$B$140</f>
        <v/>
      </c>
      <c r="BA126" s="43">
        <f>BA13*Assumptions!$B$139+Costs!BA77*Assumptions!$B$140</f>
        <v/>
      </c>
      <c r="BB126" s="43">
        <f>BB13*Assumptions!$B$139+Costs!BB77*Assumptions!$B$140</f>
        <v/>
      </c>
      <c r="BC126" s="43">
        <f>BC13*Assumptions!$B$139+Costs!BC77*Assumptions!$B$140</f>
        <v/>
      </c>
      <c r="BD126" s="43">
        <f>BD13*Assumptions!$B$139+Costs!BD77*Assumptions!$B$140</f>
        <v/>
      </c>
      <c r="BE126" s="43">
        <f>BE13*Assumptions!$B$139+Costs!BE77*Assumptions!$B$140</f>
        <v/>
      </c>
      <c r="BF126" s="43">
        <f>BF13*Assumptions!$B$139+Costs!BF77*Assumptions!$B$140</f>
        <v/>
      </c>
      <c r="BG126" s="43">
        <f>BG13*Assumptions!$B$139+Costs!BG77*Assumptions!$B$140</f>
        <v/>
      </c>
      <c r="BH126" s="43">
        <f>BH13*Assumptions!$B$139+Costs!BH77*Assumptions!$B$140</f>
        <v/>
      </c>
      <c r="BI126" s="43">
        <f>BI13*Assumptions!$B$139+Costs!BI77*Assumptions!$B$140</f>
        <v/>
      </c>
      <c r="BJ126" s="43">
        <f>BJ13*Assumptions!$B$139+Costs!BJ77*Assumptions!$B$140</f>
        <v/>
      </c>
    </row>
    <row r="127">
      <c r="A127" s="4" t="inlineStr">
        <is>
          <t>New agencies: Nigeria (inbound + country lead)</t>
        </is>
      </c>
      <c r="B127" s="17" t="inlineStr">
        <is>
          <t>agencies</t>
        </is>
      </c>
      <c r="C127" s="43">
        <f>C15*Assumptions!$B$75+Costs!C78*Assumptions!$B$114</f>
        <v/>
      </c>
      <c r="D127" s="43">
        <f>D15*Assumptions!$B$75+Costs!D78*Assumptions!$B$114</f>
        <v/>
      </c>
      <c r="E127" s="43">
        <f>E15*Assumptions!$B$75+Costs!E78*Assumptions!$B$114</f>
        <v/>
      </c>
      <c r="F127" s="43">
        <f>F15*Assumptions!$B$75+Costs!F78*Assumptions!$B$114</f>
        <v/>
      </c>
      <c r="G127" s="43">
        <f>G15*Assumptions!$B$75+Costs!G78*Assumptions!$B$114</f>
        <v/>
      </c>
      <c r="H127" s="43">
        <f>H15*Assumptions!$B$75+Costs!H78*Assumptions!$B$114</f>
        <v/>
      </c>
      <c r="I127" s="43">
        <f>I15*Assumptions!$B$75+Costs!I78*Assumptions!$B$114</f>
        <v/>
      </c>
      <c r="J127" s="43">
        <f>J15*Assumptions!$B$75+Costs!J78*Assumptions!$B$114</f>
        <v/>
      </c>
      <c r="K127" s="43">
        <f>K15*Assumptions!$B$75+Costs!K78*Assumptions!$B$114</f>
        <v/>
      </c>
      <c r="L127" s="43">
        <f>L15*Assumptions!$B$75+Costs!L78*Assumptions!$B$114</f>
        <v/>
      </c>
      <c r="M127" s="43">
        <f>M15*Assumptions!$B$75+Costs!M78*Assumptions!$B$114</f>
        <v/>
      </c>
      <c r="N127" s="43">
        <f>N15*Assumptions!$B$75+Costs!N78*Assumptions!$B$114</f>
        <v/>
      </c>
      <c r="O127" s="43">
        <f>O15*Assumptions!$B$75+Costs!O78*Assumptions!$B$114</f>
        <v/>
      </c>
      <c r="P127" s="43">
        <f>P15*Assumptions!$B$75+Costs!P78*Assumptions!$B$114</f>
        <v/>
      </c>
      <c r="Q127" s="43">
        <f>Q15*Assumptions!$B$75+Costs!Q78*Assumptions!$B$114</f>
        <v/>
      </c>
      <c r="R127" s="43">
        <f>R15*Assumptions!$B$75+Costs!R78*Assumptions!$B$114</f>
        <v/>
      </c>
      <c r="S127" s="43">
        <f>S15*Assumptions!$B$75+Costs!S78*Assumptions!$B$114</f>
        <v/>
      </c>
      <c r="T127" s="43">
        <f>T15*Assumptions!$B$75+Costs!T78*Assumptions!$B$114</f>
        <v/>
      </c>
      <c r="U127" s="43">
        <f>U15*Assumptions!$B$75+Costs!U78*Assumptions!$B$114</f>
        <v/>
      </c>
      <c r="V127" s="43">
        <f>V15*Assumptions!$B$75+Costs!V78*Assumptions!$B$114</f>
        <v/>
      </c>
      <c r="W127" s="43">
        <f>W15*Assumptions!$B$75+Costs!W78*Assumptions!$B$114</f>
        <v/>
      </c>
      <c r="X127" s="43">
        <f>X15*Assumptions!$B$75+Costs!X78*Assumptions!$B$114</f>
        <v/>
      </c>
      <c r="Y127" s="43">
        <f>Y15*Assumptions!$B$75+Costs!Y78*Assumptions!$B$114</f>
        <v/>
      </c>
      <c r="Z127" s="43">
        <f>Z15*Assumptions!$B$75+Costs!Z78*Assumptions!$B$114</f>
        <v/>
      </c>
      <c r="AA127" s="43">
        <f>AA15*Assumptions!$B$75+Costs!AA78*Assumptions!$B$114</f>
        <v/>
      </c>
      <c r="AB127" s="43">
        <f>AB15*Assumptions!$B$75+Costs!AB78*Assumptions!$B$114</f>
        <v/>
      </c>
      <c r="AC127" s="43">
        <f>AC15*Assumptions!$B$75+Costs!AC78*Assumptions!$B$114</f>
        <v/>
      </c>
      <c r="AD127" s="43">
        <f>AD15*Assumptions!$B$75+Costs!AD78*Assumptions!$B$114</f>
        <v/>
      </c>
      <c r="AE127" s="43">
        <f>AE15*Assumptions!$B$75+Costs!AE78*Assumptions!$B$114</f>
        <v/>
      </c>
      <c r="AF127" s="43">
        <f>AF15*Assumptions!$B$75+Costs!AF78*Assumptions!$B$114</f>
        <v/>
      </c>
      <c r="AG127" s="43">
        <f>AG15*Assumptions!$B$75+Costs!AG78*Assumptions!$B$114</f>
        <v/>
      </c>
      <c r="AH127" s="43">
        <f>AH15*Assumptions!$B$75+Costs!AH78*Assumptions!$B$114</f>
        <v/>
      </c>
      <c r="AI127" s="43">
        <f>AI15*Assumptions!$B$75+Costs!AI78*Assumptions!$B$114</f>
        <v/>
      </c>
      <c r="AJ127" s="43">
        <f>AJ15*Assumptions!$B$75+Costs!AJ78*Assumptions!$B$114</f>
        <v/>
      </c>
      <c r="AK127" s="43">
        <f>AK15*Assumptions!$B$75+Costs!AK78*Assumptions!$B$114</f>
        <v/>
      </c>
      <c r="AL127" s="43">
        <f>AL15*Assumptions!$B$75+Costs!AL78*Assumptions!$B$114</f>
        <v/>
      </c>
      <c r="AM127" s="43">
        <f>AM15*Assumptions!$B$75+Costs!AM78*Assumptions!$B$114</f>
        <v/>
      </c>
      <c r="AN127" s="43">
        <f>AN15*Assumptions!$B$75+Costs!AN78*Assumptions!$B$114</f>
        <v/>
      </c>
      <c r="AO127" s="43">
        <f>AO15*Assumptions!$B$75+Costs!AO78*Assumptions!$B$114</f>
        <v/>
      </c>
      <c r="AP127" s="43">
        <f>AP15*Assumptions!$B$75+Costs!AP78*Assumptions!$B$114</f>
        <v/>
      </c>
      <c r="AQ127" s="43">
        <f>AQ15*Assumptions!$B$75+Costs!AQ78*Assumptions!$B$114</f>
        <v/>
      </c>
      <c r="AR127" s="43">
        <f>AR15*Assumptions!$B$75+Costs!AR78*Assumptions!$B$114</f>
        <v/>
      </c>
      <c r="AS127" s="43">
        <f>AS15*Assumptions!$B$75+Costs!AS78*Assumptions!$B$114</f>
        <v/>
      </c>
      <c r="AT127" s="43">
        <f>AT15*Assumptions!$B$75+Costs!AT78*Assumptions!$B$114</f>
        <v/>
      </c>
      <c r="AU127" s="43">
        <f>AU15*Assumptions!$B$75+Costs!AU78*Assumptions!$B$114</f>
        <v/>
      </c>
      <c r="AV127" s="43">
        <f>AV15*Assumptions!$B$75+Costs!AV78*Assumptions!$B$114</f>
        <v/>
      </c>
      <c r="AW127" s="43">
        <f>AW15*Assumptions!$B$75+Costs!AW78*Assumptions!$B$114</f>
        <v/>
      </c>
      <c r="AX127" s="43">
        <f>AX15*Assumptions!$B$75+Costs!AX78*Assumptions!$B$114</f>
        <v/>
      </c>
      <c r="AY127" s="43">
        <f>AY15*Assumptions!$B$75+Costs!AY78*Assumptions!$B$114</f>
        <v/>
      </c>
      <c r="AZ127" s="43">
        <f>AZ15*Assumptions!$B$75+Costs!AZ78*Assumptions!$B$114</f>
        <v/>
      </c>
      <c r="BA127" s="43">
        <f>BA15*Assumptions!$B$75+Costs!BA78*Assumptions!$B$114</f>
        <v/>
      </c>
      <c r="BB127" s="43">
        <f>BB15*Assumptions!$B$75+Costs!BB78*Assumptions!$B$114</f>
        <v/>
      </c>
      <c r="BC127" s="43">
        <f>BC15*Assumptions!$B$75+Costs!BC78*Assumptions!$B$114</f>
        <v/>
      </c>
      <c r="BD127" s="43">
        <f>BD15*Assumptions!$B$75+Costs!BD78*Assumptions!$B$114</f>
        <v/>
      </c>
      <c r="BE127" s="43">
        <f>BE15*Assumptions!$B$75+Costs!BE78*Assumptions!$B$114</f>
        <v/>
      </c>
      <c r="BF127" s="43">
        <f>BF15*Assumptions!$B$75+Costs!BF78*Assumptions!$B$114</f>
        <v/>
      </c>
      <c r="BG127" s="43">
        <f>BG15*Assumptions!$B$75+Costs!BG78*Assumptions!$B$114</f>
        <v/>
      </c>
      <c r="BH127" s="43">
        <f>BH15*Assumptions!$B$75+Costs!BH78*Assumptions!$B$114</f>
        <v/>
      </c>
      <c r="BI127" s="43">
        <f>BI15*Assumptions!$B$75+Costs!BI78*Assumptions!$B$114</f>
        <v/>
      </c>
      <c r="BJ127" s="43">
        <f>BJ15*Assumptions!$B$75+Costs!BJ78*Assumptions!$B$114</f>
        <v/>
      </c>
    </row>
    <row r="128">
      <c r="A128" s="4" t="inlineStr">
        <is>
          <t>New agencies: Kenya (inbound + country lead)</t>
        </is>
      </c>
      <c r="B128" s="17" t="inlineStr">
        <is>
          <t>agencies</t>
        </is>
      </c>
      <c r="C128" s="43">
        <f>C17*Assumptions!$B$85+Costs!C79*Assumptions!$B$114</f>
        <v/>
      </c>
      <c r="D128" s="43">
        <f>D17*Assumptions!$B$85+Costs!D79*Assumptions!$B$114</f>
        <v/>
      </c>
      <c r="E128" s="43">
        <f>E17*Assumptions!$B$85+Costs!E79*Assumptions!$B$114</f>
        <v/>
      </c>
      <c r="F128" s="43">
        <f>F17*Assumptions!$B$85+Costs!F79*Assumptions!$B$114</f>
        <v/>
      </c>
      <c r="G128" s="43">
        <f>G17*Assumptions!$B$85+Costs!G79*Assumptions!$B$114</f>
        <v/>
      </c>
      <c r="H128" s="43">
        <f>H17*Assumptions!$B$85+Costs!H79*Assumptions!$B$114</f>
        <v/>
      </c>
      <c r="I128" s="43">
        <f>I17*Assumptions!$B$85+Costs!I79*Assumptions!$B$114</f>
        <v/>
      </c>
      <c r="J128" s="43">
        <f>J17*Assumptions!$B$85+Costs!J79*Assumptions!$B$114</f>
        <v/>
      </c>
      <c r="K128" s="43">
        <f>K17*Assumptions!$B$85+Costs!K79*Assumptions!$B$114</f>
        <v/>
      </c>
      <c r="L128" s="43">
        <f>L17*Assumptions!$B$85+Costs!L79*Assumptions!$B$114</f>
        <v/>
      </c>
      <c r="M128" s="43">
        <f>M17*Assumptions!$B$85+Costs!M79*Assumptions!$B$114</f>
        <v/>
      </c>
      <c r="N128" s="43">
        <f>N17*Assumptions!$B$85+Costs!N79*Assumptions!$B$114</f>
        <v/>
      </c>
      <c r="O128" s="43">
        <f>O17*Assumptions!$B$85+Costs!O79*Assumptions!$B$114</f>
        <v/>
      </c>
      <c r="P128" s="43">
        <f>P17*Assumptions!$B$85+Costs!P79*Assumptions!$B$114</f>
        <v/>
      </c>
      <c r="Q128" s="43">
        <f>Q17*Assumptions!$B$85+Costs!Q79*Assumptions!$B$114</f>
        <v/>
      </c>
      <c r="R128" s="43">
        <f>R17*Assumptions!$B$85+Costs!R79*Assumptions!$B$114</f>
        <v/>
      </c>
      <c r="S128" s="43">
        <f>S17*Assumptions!$B$85+Costs!S79*Assumptions!$B$114</f>
        <v/>
      </c>
      <c r="T128" s="43">
        <f>T17*Assumptions!$B$85+Costs!T79*Assumptions!$B$114</f>
        <v/>
      </c>
      <c r="U128" s="43">
        <f>U17*Assumptions!$B$85+Costs!U79*Assumptions!$B$114</f>
        <v/>
      </c>
      <c r="V128" s="43">
        <f>V17*Assumptions!$B$85+Costs!V79*Assumptions!$B$114</f>
        <v/>
      </c>
      <c r="W128" s="43">
        <f>W17*Assumptions!$B$85+Costs!W79*Assumptions!$B$114</f>
        <v/>
      </c>
      <c r="X128" s="43">
        <f>X17*Assumptions!$B$85+Costs!X79*Assumptions!$B$114</f>
        <v/>
      </c>
      <c r="Y128" s="43">
        <f>Y17*Assumptions!$B$85+Costs!Y79*Assumptions!$B$114</f>
        <v/>
      </c>
      <c r="Z128" s="43">
        <f>Z17*Assumptions!$B$85+Costs!Z79*Assumptions!$B$114</f>
        <v/>
      </c>
      <c r="AA128" s="43">
        <f>AA17*Assumptions!$B$85+Costs!AA79*Assumptions!$B$114</f>
        <v/>
      </c>
      <c r="AB128" s="43">
        <f>AB17*Assumptions!$B$85+Costs!AB79*Assumptions!$B$114</f>
        <v/>
      </c>
      <c r="AC128" s="43">
        <f>AC17*Assumptions!$B$85+Costs!AC79*Assumptions!$B$114</f>
        <v/>
      </c>
      <c r="AD128" s="43">
        <f>AD17*Assumptions!$B$85+Costs!AD79*Assumptions!$B$114</f>
        <v/>
      </c>
      <c r="AE128" s="43">
        <f>AE17*Assumptions!$B$85+Costs!AE79*Assumptions!$B$114</f>
        <v/>
      </c>
      <c r="AF128" s="43">
        <f>AF17*Assumptions!$B$85+Costs!AF79*Assumptions!$B$114</f>
        <v/>
      </c>
      <c r="AG128" s="43">
        <f>AG17*Assumptions!$B$85+Costs!AG79*Assumptions!$B$114</f>
        <v/>
      </c>
      <c r="AH128" s="43">
        <f>AH17*Assumptions!$B$85+Costs!AH79*Assumptions!$B$114</f>
        <v/>
      </c>
      <c r="AI128" s="43">
        <f>AI17*Assumptions!$B$85+Costs!AI79*Assumptions!$B$114</f>
        <v/>
      </c>
      <c r="AJ128" s="43">
        <f>AJ17*Assumptions!$B$85+Costs!AJ79*Assumptions!$B$114</f>
        <v/>
      </c>
      <c r="AK128" s="43">
        <f>AK17*Assumptions!$B$85+Costs!AK79*Assumptions!$B$114</f>
        <v/>
      </c>
      <c r="AL128" s="43">
        <f>AL17*Assumptions!$B$85+Costs!AL79*Assumptions!$B$114</f>
        <v/>
      </c>
      <c r="AM128" s="43">
        <f>AM17*Assumptions!$B$85+Costs!AM79*Assumptions!$B$114</f>
        <v/>
      </c>
      <c r="AN128" s="43">
        <f>AN17*Assumptions!$B$85+Costs!AN79*Assumptions!$B$114</f>
        <v/>
      </c>
      <c r="AO128" s="43">
        <f>AO17*Assumptions!$B$85+Costs!AO79*Assumptions!$B$114</f>
        <v/>
      </c>
      <c r="AP128" s="43">
        <f>AP17*Assumptions!$B$85+Costs!AP79*Assumptions!$B$114</f>
        <v/>
      </c>
      <c r="AQ128" s="43">
        <f>AQ17*Assumptions!$B$85+Costs!AQ79*Assumptions!$B$114</f>
        <v/>
      </c>
      <c r="AR128" s="43">
        <f>AR17*Assumptions!$B$85+Costs!AR79*Assumptions!$B$114</f>
        <v/>
      </c>
      <c r="AS128" s="43">
        <f>AS17*Assumptions!$B$85+Costs!AS79*Assumptions!$B$114</f>
        <v/>
      </c>
      <c r="AT128" s="43">
        <f>AT17*Assumptions!$B$85+Costs!AT79*Assumptions!$B$114</f>
        <v/>
      </c>
      <c r="AU128" s="43">
        <f>AU17*Assumptions!$B$85+Costs!AU79*Assumptions!$B$114</f>
        <v/>
      </c>
      <c r="AV128" s="43">
        <f>AV17*Assumptions!$B$85+Costs!AV79*Assumptions!$B$114</f>
        <v/>
      </c>
      <c r="AW128" s="43">
        <f>AW17*Assumptions!$B$85+Costs!AW79*Assumptions!$B$114</f>
        <v/>
      </c>
      <c r="AX128" s="43">
        <f>AX17*Assumptions!$B$85+Costs!AX79*Assumptions!$B$114</f>
        <v/>
      </c>
      <c r="AY128" s="43">
        <f>AY17*Assumptions!$B$85+Costs!AY79*Assumptions!$B$114</f>
        <v/>
      </c>
      <c r="AZ128" s="43">
        <f>AZ17*Assumptions!$B$85+Costs!AZ79*Assumptions!$B$114</f>
        <v/>
      </c>
      <c r="BA128" s="43">
        <f>BA17*Assumptions!$B$85+Costs!BA79*Assumptions!$B$114</f>
        <v/>
      </c>
      <c r="BB128" s="43">
        <f>BB17*Assumptions!$B$85+Costs!BB79*Assumptions!$B$114</f>
        <v/>
      </c>
      <c r="BC128" s="43">
        <f>BC17*Assumptions!$B$85+Costs!BC79*Assumptions!$B$114</f>
        <v/>
      </c>
      <c r="BD128" s="43">
        <f>BD17*Assumptions!$B$85+Costs!BD79*Assumptions!$B$114</f>
        <v/>
      </c>
      <c r="BE128" s="43">
        <f>BE17*Assumptions!$B$85+Costs!BE79*Assumptions!$B$114</f>
        <v/>
      </c>
      <c r="BF128" s="43">
        <f>BF17*Assumptions!$B$85+Costs!BF79*Assumptions!$B$114</f>
        <v/>
      </c>
      <c r="BG128" s="43">
        <f>BG17*Assumptions!$B$85+Costs!BG79*Assumptions!$B$114</f>
        <v/>
      </c>
      <c r="BH128" s="43">
        <f>BH17*Assumptions!$B$85+Costs!BH79*Assumptions!$B$114</f>
        <v/>
      </c>
      <c r="BI128" s="43">
        <f>BI17*Assumptions!$B$85+Costs!BI79*Assumptions!$B$114</f>
        <v/>
      </c>
      <c r="BJ128" s="43">
        <f>BJ17*Assumptions!$B$85+Costs!BJ79*Assumptions!$B$114</f>
        <v/>
      </c>
    </row>
    <row r="129">
      <c r="A129" s="4" t="inlineStr">
        <is>
          <t>New agencies: Ghana (inbound + country lead)</t>
        </is>
      </c>
      <c r="B129" s="17" t="inlineStr">
        <is>
          <t>agencies</t>
        </is>
      </c>
      <c r="C129" s="43">
        <f>C19*Assumptions!$B$95+Costs!C80*Assumptions!$B$114</f>
        <v/>
      </c>
      <c r="D129" s="43">
        <f>D19*Assumptions!$B$95+Costs!D80*Assumptions!$B$114</f>
        <v/>
      </c>
      <c r="E129" s="43">
        <f>E19*Assumptions!$B$95+Costs!E80*Assumptions!$B$114</f>
        <v/>
      </c>
      <c r="F129" s="43">
        <f>F19*Assumptions!$B$95+Costs!F80*Assumptions!$B$114</f>
        <v/>
      </c>
      <c r="G129" s="43">
        <f>G19*Assumptions!$B$95+Costs!G80*Assumptions!$B$114</f>
        <v/>
      </c>
      <c r="H129" s="43">
        <f>H19*Assumptions!$B$95+Costs!H80*Assumptions!$B$114</f>
        <v/>
      </c>
      <c r="I129" s="43">
        <f>I19*Assumptions!$B$95+Costs!I80*Assumptions!$B$114</f>
        <v/>
      </c>
      <c r="J129" s="43">
        <f>J19*Assumptions!$B$95+Costs!J80*Assumptions!$B$114</f>
        <v/>
      </c>
      <c r="K129" s="43">
        <f>K19*Assumptions!$B$95+Costs!K80*Assumptions!$B$114</f>
        <v/>
      </c>
      <c r="L129" s="43">
        <f>L19*Assumptions!$B$95+Costs!L80*Assumptions!$B$114</f>
        <v/>
      </c>
      <c r="M129" s="43">
        <f>M19*Assumptions!$B$95+Costs!M80*Assumptions!$B$114</f>
        <v/>
      </c>
      <c r="N129" s="43">
        <f>N19*Assumptions!$B$95+Costs!N80*Assumptions!$B$114</f>
        <v/>
      </c>
      <c r="O129" s="43">
        <f>O19*Assumptions!$B$95+Costs!O80*Assumptions!$B$114</f>
        <v/>
      </c>
      <c r="P129" s="43">
        <f>P19*Assumptions!$B$95+Costs!P80*Assumptions!$B$114</f>
        <v/>
      </c>
      <c r="Q129" s="43">
        <f>Q19*Assumptions!$B$95+Costs!Q80*Assumptions!$B$114</f>
        <v/>
      </c>
      <c r="R129" s="43">
        <f>R19*Assumptions!$B$95+Costs!R80*Assumptions!$B$114</f>
        <v/>
      </c>
      <c r="S129" s="43">
        <f>S19*Assumptions!$B$95+Costs!S80*Assumptions!$B$114</f>
        <v/>
      </c>
      <c r="T129" s="43">
        <f>T19*Assumptions!$B$95+Costs!T80*Assumptions!$B$114</f>
        <v/>
      </c>
      <c r="U129" s="43">
        <f>U19*Assumptions!$B$95+Costs!U80*Assumptions!$B$114</f>
        <v/>
      </c>
      <c r="V129" s="43">
        <f>V19*Assumptions!$B$95+Costs!V80*Assumptions!$B$114</f>
        <v/>
      </c>
      <c r="W129" s="43">
        <f>W19*Assumptions!$B$95+Costs!W80*Assumptions!$B$114</f>
        <v/>
      </c>
      <c r="X129" s="43">
        <f>X19*Assumptions!$B$95+Costs!X80*Assumptions!$B$114</f>
        <v/>
      </c>
      <c r="Y129" s="43">
        <f>Y19*Assumptions!$B$95+Costs!Y80*Assumptions!$B$114</f>
        <v/>
      </c>
      <c r="Z129" s="43">
        <f>Z19*Assumptions!$B$95+Costs!Z80*Assumptions!$B$114</f>
        <v/>
      </c>
      <c r="AA129" s="43">
        <f>AA19*Assumptions!$B$95+Costs!AA80*Assumptions!$B$114</f>
        <v/>
      </c>
      <c r="AB129" s="43">
        <f>AB19*Assumptions!$B$95+Costs!AB80*Assumptions!$B$114</f>
        <v/>
      </c>
      <c r="AC129" s="43">
        <f>AC19*Assumptions!$B$95+Costs!AC80*Assumptions!$B$114</f>
        <v/>
      </c>
      <c r="AD129" s="43">
        <f>AD19*Assumptions!$B$95+Costs!AD80*Assumptions!$B$114</f>
        <v/>
      </c>
      <c r="AE129" s="43">
        <f>AE19*Assumptions!$B$95+Costs!AE80*Assumptions!$B$114</f>
        <v/>
      </c>
      <c r="AF129" s="43">
        <f>AF19*Assumptions!$B$95+Costs!AF80*Assumptions!$B$114</f>
        <v/>
      </c>
      <c r="AG129" s="43">
        <f>AG19*Assumptions!$B$95+Costs!AG80*Assumptions!$B$114</f>
        <v/>
      </c>
      <c r="AH129" s="43">
        <f>AH19*Assumptions!$B$95+Costs!AH80*Assumptions!$B$114</f>
        <v/>
      </c>
      <c r="AI129" s="43">
        <f>AI19*Assumptions!$B$95+Costs!AI80*Assumptions!$B$114</f>
        <v/>
      </c>
      <c r="AJ129" s="43">
        <f>AJ19*Assumptions!$B$95+Costs!AJ80*Assumptions!$B$114</f>
        <v/>
      </c>
      <c r="AK129" s="43">
        <f>AK19*Assumptions!$B$95+Costs!AK80*Assumptions!$B$114</f>
        <v/>
      </c>
      <c r="AL129" s="43">
        <f>AL19*Assumptions!$B$95+Costs!AL80*Assumptions!$B$114</f>
        <v/>
      </c>
      <c r="AM129" s="43">
        <f>AM19*Assumptions!$B$95+Costs!AM80*Assumptions!$B$114</f>
        <v/>
      </c>
      <c r="AN129" s="43">
        <f>AN19*Assumptions!$B$95+Costs!AN80*Assumptions!$B$114</f>
        <v/>
      </c>
      <c r="AO129" s="43">
        <f>AO19*Assumptions!$B$95+Costs!AO80*Assumptions!$B$114</f>
        <v/>
      </c>
      <c r="AP129" s="43">
        <f>AP19*Assumptions!$B$95+Costs!AP80*Assumptions!$B$114</f>
        <v/>
      </c>
      <c r="AQ129" s="43">
        <f>AQ19*Assumptions!$B$95+Costs!AQ80*Assumptions!$B$114</f>
        <v/>
      </c>
      <c r="AR129" s="43">
        <f>AR19*Assumptions!$B$95+Costs!AR80*Assumptions!$B$114</f>
        <v/>
      </c>
      <c r="AS129" s="43">
        <f>AS19*Assumptions!$B$95+Costs!AS80*Assumptions!$B$114</f>
        <v/>
      </c>
      <c r="AT129" s="43">
        <f>AT19*Assumptions!$B$95+Costs!AT80*Assumptions!$B$114</f>
        <v/>
      </c>
      <c r="AU129" s="43">
        <f>AU19*Assumptions!$B$95+Costs!AU80*Assumptions!$B$114</f>
        <v/>
      </c>
      <c r="AV129" s="43">
        <f>AV19*Assumptions!$B$95+Costs!AV80*Assumptions!$B$114</f>
        <v/>
      </c>
      <c r="AW129" s="43">
        <f>AW19*Assumptions!$B$95+Costs!AW80*Assumptions!$B$114</f>
        <v/>
      </c>
      <c r="AX129" s="43">
        <f>AX19*Assumptions!$B$95+Costs!AX80*Assumptions!$B$114</f>
        <v/>
      </c>
      <c r="AY129" s="43">
        <f>AY19*Assumptions!$B$95+Costs!AY80*Assumptions!$B$114</f>
        <v/>
      </c>
      <c r="AZ129" s="43">
        <f>AZ19*Assumptions!$B$95+Costs!AZ80*Assumptions!$B$114</f>
        <v/>
      </c>
      <c r="BA129" s="43">
        <f>BA19*Assumptions!$B$95+Costs!BA80*Assumptions!$B$114</f>
        <v/>
      </c>
      <c r="BB129" s="43">
        <f>BB19*Assumptions!$B$95+Costs!BB80*Assumptions!$B$114</f>
        <v/>
      </c>
      <c r="BC129" s="43">
        <f>BC19*Assumptions!$B$95+Costs!BC80*Assumptions!$B$114</f>
        <v/>
      </c>
      <c r="BD129" s="43">
        <f>BD19*Assumptions!$B$95+Costs!BD80*Assumptions!$B$114</f>
        <v/>
      </c>
      <c r="BE129" s="43">
        <f>BE19*Assumptions!$B$95+Costs!BE80*Assumptions!$B$114</f>
        <v/>
      </c>
      <c r="BF129" s="43">
        <f>BF19*Assumptions!$B$95+Costs!BF80*Assumptions!$B$114</f>
        <v/>
      </c>
      <c r="BG129" s="43">
        <f>BG19*Assumptions!$B$95+Costs!BG80*Assumptions!$B$114</f>
        <v/>
      </c>
      <c r="BH129" s="43">
        <f>BH19*Assumptions!$B$95+Costs!BH80*Assumptions!$B$114</f>
        <v/>
      </c>
      <c r="BI129" s="43">
        <f>BI19*Assumptions!$B$95+Costs!BI80*Assumptions!$B$114</f>
        <v/>
      </c>
      <c r="BJ129" s="43">
        <f>BJ19*Assumptions!$B$95+Costs!BJ80*Assumptions!$B$114</f>
        <v/>
      </c>
    </row>
    <row r="130">
      <c r="A130" s="4" t="inlineStr">
        <is>
          <t>New inbound enterprise deals (SA)</t>
        </is>
      </c>
      <c r="B130" s="17" t="inlineStr">
        <is>
          <t>deals</t>
        </is>
      </c>
      <c r="C130" s="43">
        <f>C13*CHOOSE(C$5,Assumptions!$B$142,Assumptions!$B$143,Assumptions!$B$144,Assumptions!$B$145,Assumptions!$B$146)/12*Assumptions!$B$53</f>
        <v/>
      </c>
      <c r="D130" s="43">
        <f>D13*CHOOSE(D$5,Assumptions!$B$142,Assumptions!$B$143,Assumptions!$B$144,Assumptions!$B$145,Assumptions!$B$146)/12*Assumptions!$B$53</f>
        <v/>
      </c>
      <c r="E130" s="43">
        <f>E13*CHOOSE(E$5,Assumptions!$B$142,Assumptions!$B$143,Assumptions!$B$144,Assumptions!$B$145,Assumptions!$B$146)/12*Assumptions!$B$53</f>
        <v/>
      </c>
      <c r="F130" s="43">
        <f>F13*CHOOSE(F$5,Assumptions!$B$142,Assumptions!$B$143,Assumptions!$B$144,Assumptions!$B$145,Assumptions!$B$146)/12*Assumptions!$B$53</f>
        <v/>
      </c>
      <c r="G130" s="43">
        <f>G13*CHOOSE(G$5,Assumptions!$B$142,Assumptions!$B$143,Assumptions!$B$144,Assumptions!$B$145,Assumptions!$B$146)/12*Assumptions!$B$53</f>
        <v/>
      </c>
      <c r="H130" s="43">
        <f>H13*CHOOSE(H$5,Assumptions!$B$142,Assumptions!$B$143,Assumptions!$B$144,Assumptions!$B$145,Assumptions!$B$146)/12*Assumptions!$B$53</f>
        <v/>
      </c>
      <c r="I130" s="43">
        <f>I13*CHOOSE(I$5,Assumptions!$B$142,Assumptions!$B$143,Assumptions!$B$144,Assumptions!$B$145,Assumptions!$B$146)/12*Assumptions!$B$53</f>
        <v/>
      </c>
      <c r="J130" s="43">
        <f>J13*CHOOSE(J$5,Assumptions!$B$142,Assumptions!$B$143,Assumptions!$B$144,Assumptions!$B$145,Assumptions!$B$146)/12*Assumptions!$B$53</f>
        <v/>
      </c>
      <c r="K130" s="43">
        <f>K13*CHOOSE(K$5,Assumptions!$B$142,Assumptions!$B$143,Assumptions!$B$144,Assumptions!$B$145,Assumptions!$B$146)/12*Assumptions!$B$53</f>
        <v/>
      </c>
      <c r="L130" s="43">
        <f>L13*CHOOSE(L$5,Assumptions!$B$142,Assumptions!$B$143,Assumptions!$B$144,Assumptions!$B$145,Assumptions!$B$146)/12*Assumptions!$B$53</f>
        <v/>
      </c>
      <c r="M130" s="43">
        <f>M13*CHOOSE(M$5,Assumptions!$B$142,Assumptions!$B$143,Assumptions!$B$144,Assumptions!$B$145,Assumptions!$B$146)/12*Assumptions!$B$53</f>
        <v/>
      </c>
      <c r="N130" s="43">
        <f>N13*CHOOSE(N$5,Assumptions!$B$142,Assumptions!$B$143,Assumptions!$B$144,Assumptions!$B$145,Assumptions!$B$146)/12*Assumptions!$B$53</f>
        <v/>
      </c>
      <c r="O130" s="43">
        <f>O13*CHOOSE(O$5,Assumptions!$B$142,Assumptions!$B$143,Assumptions!$B$144,Assumptions!$B$145,Assumptions!$B$146)/12*Assumptions!$B$53</f>
        <v/>
      </c>
      <c r="P130" s="43">
        <f>P13*CHOOSE(P$5,Assumptions!$B$142,Assumptions!$B$143,Assumptions!$B$144,Assumptions!$B$145,Assumptions!$B$146)/12*Assumptions!$B$53</f>
        <v/>
      </c>
      <c r="Q130" s="43">
        <f>Q13*CHOOSE(Q$5,Assumptions!$B$142,Assumptions!$B$143,Assumptions!$B$144,Assumptions!$B$145,Assumptions!$B$146)/12*Assumptions!$B$53</f>
        <v/>
      </c>
      <c r="R130" s="43">
        <f>R13*CHOOSE(R$5,Assumptions!$B$142,Assumptions!$B$143,Assumptions!$B$144,Assumptions!$B$145,Assumptions!$B$146)/12*Assumptions!$B$53</f>
        <v/>
      </c>
      <c r="S130" s="43">
        <f>S13*CHOOSE(S$5,Assumptions!$B$142,Assumptions!$B$143,Assumptions!$B$144,Assumptions!$B$145,Assumptions!$B$146)/12*Assumptions!$B$53</f>
        <v/>
      </c>
      <c r="T130" s="43">
        <f>T13*CHOOSE(T$5,Assumptions!$B$142,Assumptions!$B$143,Assumptions!$B$144,Assumptions!$B$145,Assumptions!$B$146)/12*Assumptions!$B$53</f>
        <v/>
      </c>
      <c r="U130" s="43">
        <f>U13*CHOOSE(U$5,Assumptions!$B$142,Assumptions!$B$143,Assumptions!$B$144,Assumptions!$B$145,Assumptions!$B$146)/12*Assumptions!$B$53</f>
        <v/>
      </c>
      <c r="V130" s="43">
        <f>V13*CHOOSE(V$5,Assumptions!$B$142,Assumptions!$B$143,Assumptions!$B$144,Assumptions!$B$145,Assumptions!$B$146)/12*Assumptions!$B$53</f>
        <v/>
      </c>
      <c r="W130" s="43">
        <f>W13*CHOOSE(W$5,Assumptions!$B$142,Assumptions!$B$143,Assumptions!$B$144,Assumptions!$B$145,Assumptions!$B$146)/12*Assumptions!$B$53</f>
        <v/>
      </c>
      <c r="X130" s="43">
        <f>X13*CHOOSE(X$5,Assumptions!$B$142,Assumptions!$B$143,Assumptions!$B$144,Assumptions!$B$145,Assumptions!$B$146)/12*Assumptions!$B$53</f>
        <v/>
      </c>
      <c r="Y130" s="43">
        <f>Y13*CHOOSE(Y$5,Assumptions!$B$142,Assumptions!$B$143,Assumptions!$B$144,Assumptions!$B$145,Assumptions!$B$146)/12*Assumptions!$B$53</f>
        <v/>
      </c>
      <c r="Z130" s="43">
        <f>Z13*CHOOSE(Z$5,Assumptions!$B$142,Assumptions!$B$143,Assumptions!$B$144,Assumptions!$B$145,Assumptions!$B$146)/12*Assumptions!$B$53</f>
        <v/>
      </c>
      <c r="AA130" s="43">
        <f>AA13*CHOOSE(AA$5,Assumptions!$B$142,Assumptions!$B$143,Assumptions!$B$144,Assumptions!$B$145,Assumptions!$B$146)/12*Assumptions!$B$53</f>
        <v/>
      </c>
      <c r="AB130" s="43">
        <f>AB13*CHOOSE(AB$5,Assumptions!$B$142,Assumptions!$B$143,Assumptions!$B$144,Assumptions!$B$145,Assumptions!$B$146)/12*Assumptions!$B$53</f>
        <v/>
      </c>
      <c r="AC130" s="43">
        <f>AC13*CHOOSE(AC$5,Assumptions!$B$142,Assumptions!$B$143,Assumptions!$B$144,Assumptions!$B$145,Assumptions!$B$146)/12*Assumptions!$B$53</f>
        <v/>
      </c>
      <c r="AD130" s="43">
        <f>AD13*CHOOSE(AD$5,Assumptions!$B$142,Assumptions!$B$143,Assumptions!$B$144,Assumptions!$B$145,Assumptions!$B$146)/12*Assumptions!$B$53</f>
        <v/>
      </c>
      <c r="AE130" s="43">
        <f>AE13*CHOOSE(AE$5,Assumptions!$B$142,Assumptions!$B$143,Assumptions!$B$144,Assumptions!$B$145,Assumptions!$B$146)/12*Assumptions!$B$53</f>
        <v/>
      </c>
      <c r="AF130" s="43">
        <f>AF13*CHOOSE(AF$5,Assumptions!$B$142,Assumptions!$B$143,Assumptions!$B$144,Assumptions!$B$145,Assumptions!$B$146)/12*Assumptions!$B$53</f>
        <v/>
      </c>
      <c r="AG130" s="43">
        <f>AG13*CHOOSE(AG$5,Assumptions!$B$142,Assumptions!$B$143,Assumptions!$B$144,Assumptions!$B$145,Assumptions!$B$146)/12*Assumptions!$B$53</f>
        <v/>
      </c>
      <c r="AH130" s="43">
        <f>AH13*CHOOSE(AH$5,Assumptions!$B$142,Assumptions!$B$143,Assumptions!$B$144,Assumptions!$B$145,Assumptions!$B$146)/12*Assumptions!$B$53</f>
        <v/>
      </c>
      <c r="AI130" s="43">
        <f>AI13*CHOOSE(AI$5,Assumptions!$B$142,Assumptions!$B$143,Assumptions!$B$144,Assumptions!$B$145,Assumptions!$B$146)/12*Assumptions!$B$53</f>
        <v/>
      </c>
      <c r="AJ130" s="43">
        <f>AJ13*CHOOSE(AJ$5,Assumptions!$B$142,Assumptions!$B$143,Assumptions!$B$144,Assumptions!$B$145,Assumptions!$B$146)/12*Assumptions!$B$53</f>
        <v/>
      </c>
      <c r="AK130" s="43">
        <f>AK13*CHOOSE(AK$5,Assumptions!$B$142,Assumptions!$B$143,Assumptions!$B$144,Assumptions!$B$145,Assumptions!$B$146)/12*Assumptions!$B$53</f>
        <v/>
      </c>
      <c r="AL130" s="43">
        <f>AL13*CHOOSE(AL$5,Assumptions!$B$142,Assumptions!$B$143,Assumptions!$B$144,Assumptions!$B$145,Assumptions!$B$146)/12*Assumptions!$B$53</f>
        <v/>
      </c>
      <c r="AM130" s="43">
        <f>AM13*CHOOSE(AM$5,Assumptions!$B$142,Assumptions!$B$143,Assumptions!$B$144,Assumptions!$B$145,Assumptions!$B$146)/12*Assumptions!$B$53</f>
        <v/>
      </c>
      <c r="AN130" s="43">
        <f>AN13*CHOOSE(AN$5,Assumptions!$B$142,Assumptions!$B$143,Assumptions!$B$144,Assumptions!$B$145,Assumptions!$B$146)/12*Assumptions!$B$53</f>
        <v/>
      </c>
      <c r="AO130" s="43">
        <f>AO13*CHOOSE(AO$5,Assumptions!$B$142,Assumptions!$B$143,Assumptions!$B$144,Assumptions!$B$145,Assumptions!$B$146)/12*Assumptions!$B$53</f>
        <v/>
      </c>
      <c r="AP130" s="43">
        <f>AP13*CHOOSE(AP$5,Assumptions!$B$142,Assumptions!$B$143,Assumptions!$B$144,Assumptions!$B$145,Assumptions!$B$146)/12*Assumptions!$B$53</f>
        <v/>
      </c>
      <c r="AQ130" s="43">
        <f>AQ13*CHOOSE(AQ$5,Assumptions!$B$142,Assumptions!$B$143,Assumptions!$B$144,Assumptions!$B$145,Assumptions!$B$146)/12*Assumptions!$B$53</f>
        <v/>
      </c>
      <c r="AR130" s="43">
        <f>AR13*CHOOSE(AR$5,Assumptions!$B$142,Assumptions!$B$143,Assumptions!$B$144,Assumptions!$B$145,Assumptions!$B$146)/12*Assumptions!$B$53</f>
        <v/>
      </c>
      <c r="AS130" s="43">
        <f>AS13*CHOOSE(AS$5,Assumptions!$B$142,Assumptions!$B$143,Assumptions!$B$144,Assumptions!$B$145,Assumptions!$B$146)/12*Assumptions!$B$53</f>
        <v/>
      </c>
      <c r="AT130" s="43">
        <f>AT13*CHOOSE(AT$5,Assumptions!$B$142,Assumptions!$B$143,Assumptions!$B$144,Assumptions!$B$145,Assumptions!$B$146)/12*Assumptions!$B$53</f>
        <v/>
      </c>
      <c r="AU130" s="43">
        <f>AU13*CHOOSE(AU$5,Assumptions!$B$142,Assumptions!$B$143,Assumptions!$B$144,Assumptions!$B$145,Assumptions!$B$146)/12*Assumptions!$B$53</f>
        <v/>
      </c>
      <c r="AV130" s="43">
        <f>AV13*CHOOSE(AV$5,Assumptions!$B$142,Assumptions!$B$143,Assumptions!$B$144,Assumptions!$B$145,Assumptions!$B$146)/12*Assumptions!$B$53</f>
        <v/>
      </c>
      <c r="AW130" s="43">
        <f>AW13*CHOOSE(AW$5,Assumptions!$B$142,Assumptions!$B$143,Assumptions!$B$144,Assumptions!$B$145,Assumptions!$B$146)/12*Assumptions!$B$53</f>
        <v/>
      </c>
      <c r="AX130" s="43">
        <f>AX13*CHOOSE(AX$5,Assumptions!$B$142,Assumptions!$B$143,Assumptions!$B$144,Assumptions!$B$145,Assumptions!$B$146)/12*Assumptions!$B$53</f>
        <v/>
      </c>
      <c r="AY130" s="43">
        <f>AY13*CHOOSE(AY$5,Assumptions!$B$142,Assumptions!$B$143,Assumptions!$B$144,Assumptions!$B$145,Assumptions!$B$146)/12*Assumptions!$B$53</f>
        <v/>
      </c>
      <c r="AZ130" s="43">
        <f>AZ13*CHOOSE(AZ$5,Assumptions!$B$142,Assumptions!$B$143,Assumptions!$B$144,Assumptions!$B$145,Assumptions!$B$146)/12*Assumptions!$B$53</f>
        <v/>
      </c>
      <c r="BA130" s="43">
        <f>BA13*CHOOSE(BA$5,Assumptions!$B$142,Assumptions!$B$143,Assumptions!$B$144,Assumptions!$B$145,Assumptions!$B$146)/12*Assumptions!$B$53</f>
        <v/>
      </c>
      <c r="BB130" s="43">
        <f>BB13*CHOOSE(BB$5,Assumptions!$B$142,Assumptions!$B$143,Assumptions!$B$144,Assumptions!$B$145,Assumptions!$B$146)/12*Assumptions!$B$53</f>
        <v/>
      </c>
      <c r="BC130" s="43">
        <f>BC13*CHOOSE(BC$5,Assumptions!$B$142,Assumptions!$B$143,Assumptions!$B$144,Assumptions!$B$145,Assumptions!$B$146)/12*Assumptions!$B$53</f>
        <v/>
      </c>
      <c r="BD130" s="43">
        <f>BD13*CHOOSE(BD$5,Assumptions!$B$142,Assumptions!$B$143,Assumptions!$B$144,Assumptions!$B$145,Assumptions!$B$146)/12*Assumptions!$B$53</f>
        <v/>
      </c>
      <c r="BE130" s="43">
        <f>BE13*CHOOSE(BE$5,Assumptions!$B$142,Assumptions!$B$143,Assumptions!$B$144,Assumptions!$B$145,Assumptions!$B$146)/12*Assumptions!$B$53</f>
        <v/>
      </c>
      <c r="BF130" s="43">
        <f>BF13*CHOOSE(BF$5,Assumptions!$B$142,Assumptions!$B$143,Assumptions!$B$144,Assumptions!$B$145,Assumptions!$B$146)/12*Assumptions!$B$53</f>
        <v/>
      </c>
      <c r="BG130" s="43">
        <f>BG13*CHOOSE(BG$5,Assumptions!$B$142,Assumptions!$B$143,Assumptions!$B$144,Assumptions!$B$145,Assumptions!$B$146)/12*Assumptions!$B$53</f>
        <v/>
      </c>
      <c r="BH130" s="43">
        <f>BH13*CHOOSE(BH$5,Assumptions!$B$142,Assumptions!$B$143,Assumptions!$B$144,Assumptions!$B$145,Assumptions!$B$146)/12*Assumptions!$B$53</f>
        <v/>
      </c>
      <c r="BI130" s="43">
        <f>BI13*CHOOSE(BI$5,Assumptions!$B$142,Assumptions!$B$143,Assumptions!$B$144,Assumptions!$B$145,Assumptions!$B$146)/12*Assumptions!$B$53</f>
        <v/>
      </c>
      <c r="BJ130" s="43">
        <f>BJ13*CHOOSE(BJ$5,Assumptions!$B$142,Assumptions!$B$143,Assumptions!$B$144,Assumptions!$B$145,Assumptions!$B$146)/12*Assumptions!$B$53</f>
        <v/>
      </c>
    </row>
    <row r="131"/>
    <row r="132">
      <c r="A132" s="19" t="inlineStr">
        <is>
          <t>Customer cohorts by market, segment &amp; tier: opening, new (incl. upgrades in), churned, upgraded out, closing</t>
        </is>
      </c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9" t="n"/>
      <c r="AI132" s="19" t="n"/>
      <c r="AJ132" s="19" t="n"/>
      <c r="AK132" s="19" t="n"/>
      <c r="AL132" s="19" t="n"/>
      <c r="AM132" s="19" t="n"/>
      <c r="AN132" s="19" t="n"/>
      <c r="AO132" s="19" t="n"/>
      <c r="AP132" s="19" t="n"/>
      <c r="AQ132" s="19" t="n"/>
      <c r="AR132" s="19" t="n"/>
      <c r="AS132" s="19" t="n"/>
      <c r="AT132" s="19" t="n"/>
      <c r="AU132" s="19" t="n"/>
      <c r="AV132" s="19" t="n"/>
      <c r="AW132" s="19" t="n"/>
      <c r="AX132" s="19" t="n"/>
      <c r="AY132" s="19" t="n"/>
      <c r="AZ132" s="19" t="n"/>
      <c r="BA132" s="19" t="n"/>
      <c r="BB132" s="19" t="n"/>
      <c r="BC132" s="19" t="n"/>
      <c r="BD132" s="19" t="n"/>
      <c r="BE132" s="19" t="n"/>
      <c r="BF132" s="19" t="n"/>
      <c r="BG132" s="19" t="n"/>
      <c r="BH132" s="19" t="n"/>
      <c r="BI132" s="19" t="n"/>
      <c r="BJ132" s="19" t="n"/>
    </row>
    <row r="133">
      <c r="A133" s="4" t="inlineStr">
        <is>
          <t>South Africa: Solo: Starter: opening</t>
        </is>
      </c>
      <c r="B133" s="17" t="inlineStr">
        <is>
          <t>workspaces</t>
        </is>
      </c>
      <c r="C133" s="41">
        <f>0</f>
        <v/>
      </c>
      <c r="D133" s="41">
        <f>C137</f>
        <v/>
      </c>
      <c r="E133" s="41">
        <f>D137</f>
        <v/>
      </c>
      <c r="F133" s="41">
        <f>E137</f>
        <v/>
      </c>
      <c r="G133" s="41">
        <f>F137</f>
        <v/>
      </c>
      <c r="H133" s="41">
        <f>G137</f>
        <v/>
      </c>
      <c r="I133" s="41">
        <f>H137</f>
        <v/>
      </c>
      <c r="J133" s="41">
        <f>I137</f>
        <v/>
      </c>
      <c r="K133" s="41">
        <f>J137</f>
        <v/>
      </c>
      <c r="L133" s="41">
        <f>K137</f>
        <v/>
      </c>
      <c r="M133" s="41">
        <f>L137</f>
        <v/>
      </c>
      <c r="N133" s="41">
        <f>M137</f>
        <v/>
      </c>
      <c r="O133" s="41">
        <f>N137</f>
        <v/>
      </c>
      <c r="P133" s="41">
        <f>O137</f>
        <v/>
      </c>
      <c r="Q133" s="41">
        <f>P137</f>
        <v/>
      </c>
      <c r="R133" s="41">
        <f>Q137</f>
        <v/>
      </c>
      <c r="S133" s="41">
        <f>R137</f>
        <v/>
      </c>
      <c r="T133" s="41">
        <f>S137</f>
        <v/>
      </c>
      <c r="U133" s="41">
        <f>T137</f>
        <v/>
      </c>
      <c r="V133" s="41">
        <f>U137</f>
        <v/>
      </c>
      <c r="W133" s="41">
        <f>V137</f>
        <v/>
      </c>
      <c r="X133" s="41">
        <f>W137</f>
        <v/>
      </c>
      <c r="Y133" s="41">
        <f>X137</f>
        <v/>
      </c>
      <c r="Z133" s="41">
        <f>Y137</f>
        <v/>
      </c>
      <c r="AA133" s="41">
        <f>Z137</f>
        <v/>
      </c>
      <c r="AB133" s="41">
        <f>AA137</f>
        <v/>
      </c>
      <c r="AC133" s="41">
        <f>AB137</f>
        <v/>
      </c>
      <c r="AD133" s="41">
        <f>AC137</f>
        <v/>
      </c>
      <c r="AE133" s="41">
        <f>AD137</f>
        <v/>
      </c>
      <c r="AF133" s="41">
        <f>AE137</f>
        <v/>
      </c>
      <c r="AG133" s="41">
        <f>AF137</f>
        <v/>
      </c>
      <c r="AH133" s="41">
        <f>AG137</f>
        <v/>
      </c>
      <c r="AI133" s="41">
        <f>AH137</f>
        <v/>
      </c>
      <c r="AJ133" s="41">
        <f>AI137</f>
        <v/>
      </c>
      <c r="AK133" s="41">
        <f>AJ137</f>
        <v/>
      </c>
      <c r="AL133" s="41">
        <f>AK137</f>
        <v/>
      </c>
      <c r="AM133" s="41">
        <f>AL137</f>
        <v/>
      </c>
      <c r="AN133" s="41">
        <f>AM137</f>
        <v/>
      </c>
      <c r="AO133" s="41">
        <f>AN137</f>
        <v/>
      </c>
      <c r="AP133" s="41">
        <f>AO137</f>
        <v/>
      </c>
      <c r="AQ133" s="41">
        <f>AP137</f>
        <v/>
      </c>
      <c r="AR133" s="41">
        <f>AQ137</f>
        <v/>
      </c>
      <c r="AS133" s="41">
        <f>AR137</f>
        <v/>
      </c>
      <c r="AT133" s="41">
        <f>AS137</f>
        <v/>
      </c>
      <c r="AU133" s="41">
        <f>AT137</f>
        <v/>
      </c>
      <c r="AV133" s="41">
        <f>AU137</f>
        <v/>
      </c>
      <c r="AW133" s="41">
        <f>AV137</f>
        <v/>
      </c>
      <c r="AX133" s="41">
        <f>AW137</f>
        <v/>
      </c>
      <c r="AY133" s="41">
        <f>AX137</f>
        <v/>
      </c>
      <c r="AZ133" s="41">
        <f>AY137</f>
        <v/>
      </c>
      <c r="BA133" s="41">
        <f>AZ137</f>
        <v/>
      </c>
      <c r="BB133" s="41">
        <f>BA137</f>
        <v/>
      </c>
      <c r="BC133" s="41">
        <f>BB137</f>
        <v/>
      </c>
      <c r="BD133" s="41">
        <f>BC137</f>
        <v/>
      </c>
      <c r="BE133" s="41">
        <f>BD137</f>
        <v/>
      </c>
      <c r="BF133" s="41">
        <f>BE137</f>
        <v/>
      </c>
      <c r="BG133" s="41">
        <f>BF137</f>
        <v/>
      </c>
      <c r="BH133" s="41">
        <f>BG137</f>
        <v/>
      </c>
      <c r="BI133" s="41">
        <f>BH137</f>
        <v/>
      </c>
      <c r="BJ133" s="41">
        <f>BI137</f>
        <v/>
      </c>
    </row>
    <row r="134">
      <c r="A134" s="4" t="inlineStr">
        <is>
          <t>South Africa: Solo: Starter: new</t>
        </is>
      </c>
      <c r="B134" s="17" t="inlineStr">
        <is>
          <t>workspaces</t>
        </is>
      </c>
      <c r="C134" s="41">
        <f>C113*(1-Assumptions!$B$125)+C125*Assumptions!$B$26</f>
        <v/>
      </c>
      <c r="D134" s="41">
        <f>D113*(1-Assumptions!$B$125)+D125*Assumptions!$B$26</f>
        <v/>
      </c>
      <c r="E134" s="41">
        <f>E113*(1-Assumptions!$B$125)+E125*Assumptions!$B$26</f>
        <v/>
      </c>
      <c r="F134" s="41">
        <f>F113*(1-Assumptions!$B$125)+F125*Assumptions!$B$26</f>
        <v/>
      </c>
      <c r="G134" s="41">
        <f>G113*(1-Assumptions!$B$125)+G125*Assumptions!$B$26</f>
        <v/>
      </c>
      <c r="H134" s="41">
        <f>H113*(1-Assumptions!$B$125)+H125*Assumptions!$B$26</f>
        <v/>
      </c>
      <c r="I134" s="41">
        <f>I113*(1-Assumptions!$B$125)+I125*Assumptions!$B$26</f>
        <v/>
      </c>
      <c r="J134" s="41">
        <f>J113*(1-Assumptions!$B$125)+J125*Assumptions!$B$26</f>
        <v/>
      </c>
      <c r="K134" s="41">
        <f>K113*(1-Assumptions!$B$125)+K125*Assumptions!$B$26</f>
        <v/>
      </c>
      <c r="L134" s="41">
        <f>L113*(1-Assumptions!$B$125)+L125*Assumptions!$B$26</f>
        <v/>
      </c>
      <c r="M134" s="41">
        <f>M113*(1-Assumptions!$B$125)+M125*Assumptions!$B$26</f>
        <v/>
      </c>
      <c r="N134" s="41">
        <f>N113*(1-Assumptions!$B$125)+N125*Assumptions!$B$26</f>
        <v/>
      </c>
      <c r="O134" s="41">
        <f>O113*(1-Assumptions!$B$125)+O125*Assumptions!$B$26</f>
        <v/>
      </c>
      <c r="P134" s="41">
        <f>P113*(1-Assumptions!$B$125)+P125*Assumptions!$B$26</f>
        <v/>
      </c>
      <c r="Q134" s="41">
        <f>Q113*(1-Assumptions!$B$125)+Q125*Assumptions!$B$26</f>
        <v/>
      </c>
      <c r="R134" s="41">
        <f>R113*(1-Assumptions!$B$125)+R125*Assumptions!$B$26</f>
        <v/>
      </c>
      <c r="S134" s="41">
        <f>S113*(1-Assumptions!$B$125)+S125*Assumptions!$B$26</f>
        <v/>
      </c>
      <c r="T134" s="41">
        <f>T113*(1-Assumptions!$B$125)+T125*Assumptions!$B$26</f>
        <v/>
      </c>
      <c r="U134" s="41">
        <f>U113*(1-Assumptions!$B$125)+U125*Assumptions!$B$26</f>
        <v/>
      </c>
      <c r="V134" s="41">
        <f>V113*(1-Assumptions!$B$125)+V125*Assumptions!$B$26</f>
        <v/>
      </c>
      <c r="W134" s="41">
        <f>W113*(1-Assumptions!$B$125)+W125*Assumptions!$B$26</f>
        <v/>
      </c>
      <c r="X134" s="41">
        <f>X113*(1-Assumptions!$B$125)+X125*Assumptions!$B$26</f>
        <v/>
      </c>
      <c r="Y134" s="41">
        <f>Y113*(1-Assumptions!$B$125)+Y125*Assumptions!$B$26</f>
        <v/>
      </c>
      <c r="Z134" s="41">
        <f>Z113*(1-Assumptions!$B$125)+Z125*Assumptions!$B$26</f>
        <v/>
      </c>
      <c r="AA134" s="41">
        <f>AA113*(1-Assumptions!$B$125)+AA125*Assumptions!$B$26</f>
        <v/>
      </c>
      <c r="AB134" s="41">
        <f>AB113*(1-Assumptions!$B$125)+AB125*Assumptions!$B$26</f>
        <v/>
      </c>
      <c r="AC134" s="41">
        <f>AC113*(1-Assumptions!$B$125)+AC125*Assumptions!$B$26</f>
        <v/>
      </c>
      <c r="AD134" s="41">
        <f>AD113*(1-Assumptions!$B$125)+AD125*Assumptions!$B$26</f>
        <v/>
      </c>
      <c r="AE134" s="41">
        <f>AE113*(1-Assumptions!$B$125)+AE125*Assumptions!$B$26</f>
        <v/>
      </c>
      <c r="AF134" s="41">
        <f>AF113*(1-Assumptions!$B$125)+AF125*Assumptions!$B$26</f>
        <v/>
      </c>
      <c r="AG134" s="41">
        <f>AG113*(1-Assumptions!$B$125)+AG125*Assumptions!$B$26</f>
        <v/>
      </c>
      <c r="AH134" s="41">
        <f>AH113*(1-Assumptions!$B$125)+AH125*Assumptions!$B$26</f>
        <v/>
      </c>
      <c r="AI134" s="41">
        <f>AI113*(1-Assumptions!$B$125)+AI125*Assumptions!$B$26</f>
        <v/>
      </c>
      <c r="AJ134" s="41">
        <f>AJ113*(1-Assumptions!$B$125)+AJ125*Assumptions!$B$26</f>
        <v/>
      </c>
      <c r="AK134" s="41">
        <f>AK113*(1-Assumptions!$B$125)+AK125*Assumptions!$B$26</f>
        <v/>
      </c>
      <c r="AL134" s="41">
        <f>AL113*(1-Assumptions!$B$125)+AL125*Assumptions!$B$26</f>
        <v/>
      </c>
      <c r="AM134" s="41">
        <f>AM113*(1-Assumptions!$B$125)+AM125*Assumptions!$B$26</f>
        <v/>
      </c>
      <c r="AN134" s="41">
        <f>AN113*(1-Assumptions!$B$125)+AN125*Assumptions!$B$26</f>
        <v/>
      </c>
      <c r="AO134" s="41">
        <f>AO113*(1-Assumptions!$B$125)+AO125*Assumptions!$B$26</f>
        <v/>
      </c>
      <c r="AP134" s="41">
        <f>AP113*(1-Assumptions!$B$125)+AP125*Assumptions!$B$26</f>
        <v/>
      </c>
      <c r="AQ134" s="41">
        <f>AQ113*(1-Assumptions!$B$125)+AQ125*Assumptions!$B$26</f>
        <v/>
      </c>
      <c r="AR134" s="41">
        <f>AR113*(1-Assumptions!$B$125)+AR125*Assumptions!$B$26</f>
        <v/>
      </c>
      <c r="AS134" s="41">
        <f>AS113*(1-Assumptions!$B$125)+AS125*Assumptions!$B$26</f>
        <v/>
      </c>
      <c r="AT134" s="41">
        <f>AT113*(1-Assumptions!$B$125)+AT125*Assumptions!$B$26</f>
        <v/>
      </c>
      <c r="AU134" s="41">
        <f>AU113*(1-Assumptions!$B$125)+AU125*Assumptions!$B$26</f>
        <v/>
      </c>
      <c r="AV134" s="41">
        <f>AV113*(1-Assumptions!$B$125)+AV125*Assumptions!$B$26</f>
        <v/>
      </c>
      <c r="AW134" s="41">
        <f>AW113*(1-Assumptions!$B$125)+AW125*Assumptions!$B$26</f>
        <v/>
      </c>
      <c r="AX134" s="41">
        <f>AX113*(1-Assumptions!$B$125)+AX125*Assumptions!$B$26</f>
        <v/>
      </c>
      <c r="AY134" s="41">
        <f>AY113*(1-Assumptions!$B$125)+AY125*Assumptions!$B$26</f>
        <v/>
      </c>
      <c r="AZ134" s="41">
        <f>AZ113*(1-Assumptions!$B$125)+AZ125*Assumptions!$B$26</f>
        <v/>
      </c>
      <c r="BA134" s="41">
        <f>BA113*(1-Assumptions!$B$125)+BA125*Assumptions!$B$26</f>
        <v/>
      </c>
      <c r="BB134" s="41">
        <f>BB113*(1-Assumptions!$B$125)+BB125*Assumptions!$B$26</f>
        <v/>
      </c>
      <c r="BC134" s="41">
        <f>BC113*(1-Assumptions!$B$125)+BC125*Assumptions!$B$26</f>
        <v/>
      </c>
      <c r="BD134" s="41">
        <f>BD113*(1-Assumptions!$B$125)+BD125*Assumptions!$B$26</f>
        <v/>
      </c>
      <c r="BE134" s="41">
        <f>BE113*(1-Assumptions!$B$125)+BE125*Assumptions!$B$26</f>
        <v/>
      </c>
      <c r="BF134" s="41">
        <f>BF113*(1-Assumptions!$B$125)+BF125*Assumptions!$B$26</f>
        <v/>
      </c>
      <c r="BG134" s="41">
        <f>BG113*(1-Assumptions!$B$125)+BG125*Assumptions!$B$26</f>
        <v/>
      </c>
      <c r="BH134" s="41">
        <f>BH113*(1-Assumptions!$B$125)+BH125*Assumptions!$B$26</f>
        <v/>
      </c>
      <c r="BI134" s="41">
        <f>BI113*(1-Assumptions!$B$125)+BI125*Assumptions!$B$26</f>
        <v/>
      </c>
      <c r="BJ134" s="41">
        <f>BJ113*(1-Assumptions!$B$125)+BJ125*Assumptions!$B$26</f>
        <v/>
      </c>
    </row>
    <row r="135">
      <c r="A135" s="4" t="inlineStr">
        <is>
          <t>South Africa: Solo: Starter: churned</t>
        </is>
      </c>
      <c r="B135" s="17" t="inlineStr">
        <is>
          <t>workspaces</t>
        </is>
      </c>
      <c r="C135" s="41">
        <f>C133*Assumptions!$B$132*Assumptions!$B$50*Assumptions!$B$35</f>
        <v/>
      </c>
      <c r="D135" s="41">
        <f>D133*Assumptions!$B$132*Assumptions!$B$50*Assumptions!$B$35</f>
        <v/>
      </c>
      <c r="E135" s="41">
        <f>E133*Assumptions!$B$132*Assumptions!$B$50*Assumptions!$B$35</f>
        <v/>
      </c>
      <c r="F135" s="41">
        <f>F133*Assumptions!$B$132*Assumptions!$B$50*Assumptions!$B$35</f>
        <v/>
      </c>
      <c r="G135" s="41">
        <f>G133*Assumptions!$B$132*Assumptions!$B$50*Assumptions!$B$35</f>
        <v/>
      </c>
      <c r="H135" s="41">
        <f>H133*Assumptions!$B$132*Assumptions!$B$50*Assumptions!$B$35</f>
        <v/>
      </c>
      <c r="I135" s="41">
        <f>I133*Assumptions!$B$132*Assumptions!$B$50*Assumptions!$B$35</f>
        <v/>
      </c>
      <c r="J135" s="41">
        <f>J133*Assumptions!$B$132*Assumptions!$B$50*Assumptions!$B$35</f>
        <v/>
      </c>
      <c r="K135" s="41">
        <f>K133*Assumptions!$B$132*Assumptions!$B$50*Assumptions!$B$35</f>
        <v/>
      </c>
      <c r="L135" s="41">
        <f>L133*Assumptions!$B$132*Assumptions!$B$50*Assumptions!$B$35</f>
        <v/>
      </c>
      <c r="M135" s="41">
        <f>M133*Assumptions!$B$132*Assumptions!$B$50*Assumptions!$B$35</f>
        <v/>
      </c>
      <c r="N135" s="41">
        <f>N133*Assumptions!$B$132*Assumptions!$B$50*Assumptions!$B$35</f>
        <v/>
      </c>
      <c r="O135" s="41">
        <f>O133*Assumptions!$B$132*Assumptions!$B$50*Assumptions!$B$35</f>
        <v/>
      </c>
      <c r="P135" s="41">
        <f>P133*Assumptions!$B$132*Assumptions!$B$50*Assumptions!$B$35</f>
        <v/>
      </c>
      <c r="Q135" s="41">
        <f>Q133*Assumptions!$B$132*Assumptions!$B$50*Assumptions!$B$35</f>
        <v/>
      </c>
      <c r="R135" s="41">
        <f>R133*Assumptions!$B$132*Assumptions!$B$50*Assumptions!$B$35</f>
        <v/>
      </c>
      <c r="S135" s="41">
        <f>S133*Assumptions!$B$132*Assumptions!$B$50*Assumptions!$B$35</f>
        <v/>
      </c>
      <c r="T135" s="41">
        <f>T133*Assumptions!$B$132*Assumptions!$B$50*Assumptions!$B$35</f>
        <v/>
      </c>
      <c r="U135" s="41">
        <f>U133*Assumptions!$B$132*Assumptions!$B$50*Assumptions!$B$35</f>
        <v/>
      </c>
      <c r="V135" s="41">
        <f>V133*Assumptions!$B$132*Assumptions!$B$50*Assumptions!$B$35</f>
        <v/>
      </c>
      <c r="W135" s="41">
        <f>W133*Assumptions!$B$132*Assumptions!$B$50*Assumptions!$B$35</f>
        <v/>
      </c>
      <c r="X135" s="41">
        <f>X133*Assumptions!$B$132*Assumptions!$B$50*Assumptions!$B$35</f>
        <v/>
      </c>
      <c r="Y135" s="41">
        <f>Y133*Assumptions!$B$132*Assumptions!$B$50*Assumptions!$B$35</f>
        <v/>
      </c>
      <c r="Z135" s="41">
        <f>Z133*Assumptions!$B$132*Assumptions!$B$50*Assumptions!$B$35</f>
        <v/>
      </c>
      <c r="AA135" s="41">
        <f>AA133*Assumptions!$B$132*Assumptions!$B$50*Assumptions!$B$35</f>
        <v/>
      </c>
      <c r="AB135" s="41">
        <f>AB133*Assumptions!$B$132*Assumptions!$B$50*Assumptions!$B$35</f>
        <v/>
      </c>
      <c r="AC135" s="41">
        <f>AC133*Assumptions!$B$132*Assumptions!$B$50*Assumptions!$B$35</f>
        <v/>
      </c>
      <c r="AD135" s="41">
        <f>AD133*Assumptions!$B$132*Assumptions!$B$50*Assumptions!$B$35</f>
        <v/>
      </c>
      <c r="AE135" s="41">
        <f>AE133*Assumptions!$B$132*Assumptions!$B$50*Assumptions!$B$35</f>
        <v/>
      </c>
      <c r="AF135" s="41">
        <f>AF133*Assumptions!$B$132*Assumptions!$B$50*Assumptions!$B$35</f>
        <v/>
      </c>
      <c r="AG135" s="41">
        <f>AG133*Assumptions!$B$132*Assumptions!$B$50*Assumptions!$B$35</f>
        <v/>
      </c>
      <c r="AH135" s="41">
        <f>AH133*Assumptions!$B$132*Assumptions!$B$50*Assumptions!$B$35</f>
        <v/>
      </c>
      <c r="AI135" s="41">
        <f>AI133*Assumptions!$B$132*Assumptions!$B$50*Assumptions!$B$35</f>
        <v/>
      </c>
      <c r="AJ135" s="41">
        <f>AJ133*Assumptions!$B$132*Assumptions!$B$50*Assumptions!$B$35</f>
        <v/>
      </c>
      <c r="AK135" s="41">
        <f>AK133*Assumptions!$B$132*Assumptions!$B$50*Assumptions!$B$35</f>
        <v/>
      </c>
      <c r="AL135" s="41">
        <f>AL133*Assumptions!$B$132*Assumptions!$B$50*Assumptions!$B$35</f>
        <v/>
      </c>
      <c r="AM135" s="41">
        <f>AM133*Assumptions!$B$132*Assumptions!$B$50*Assumptions!$B$35</f>
        <v/>
      </c>
      <c r="AN135" s="41">
        <f>AN133*Assumptions!$B$132*Assumptions!$B$50*Assumptions!$B$35</f>
        <v/>
      </c>
      <c r="AO135" s="41">
        <f>AO133*Assumptions!$B$132*Assumptions!$B$50*Assumptions!$B$35</f>
        <v/>
      </c>
      <c r="AP135" s="41">
        <f>AP133*Assumptions!$B$132*Assumptions!$B$50*Assumptions!$B$35</f>
        <v/>
      </c>
      <c r="AQ135" s="41">
        <f>AQ133*Assumptions!$B$132*Assumptions!$B$50*Assumptions!$B$35</f>
        <v/>
      </c>
      <c r="AR135" s="41">
        <f>AR133*Assumptions!$B$132*Assumptions!$B$50*Assumptions!$B$35</f>
        <v/>
      </c>
      <c r="AS135" s="41">
        <f>AS133*Assumptions!$B$132*Assumptions!$B$50*Assumptions!$B$35</f>
        <v/>
      </c>
      <c r="AT135" s="41">
        <f>AT133*Assumptions!$B$132*Assumptions!$B$50*Assumptions!$B$35</f>
        <v/>
      </c>
      <c r="AU135" s="41">
        <f>AU133*Assumptions!$B$132*Assumptions!$B$50*Assumptions!$B$35</f>
        <v/>
      </c>
      <c r="AV135" s="41">
        <f>AV133*Assumptions!$B$132*Assumptions!$B$50*Assumptions!$B$35</f>
        <v/>
      </c>
      <c r="AW135" s="41">
        <f>AW133*Assumptions!$B$132*Assumptions!$B$50*Assumptions!$B$35</f>
        <v/>
      </c>
      <c r="AX135" s="41">
        <f>AX133*Assumptions!$B$132*Assumptions!$B$50*Assumptions!$B$35</f>
        <v/>
      </c>
      <c r="AY135" s="41">
        <f>AY133*Assumptions!$B$132*Assumptions!$B$50*Assumptions!$B$35</f>
        <v/>
      </c>
      <c r="AZ135" s="41">
        <f>AZ133*Assumptions!$B$132*Assumptions!$B$50*Assumptions!$B$35</f>
        <v/>
      </c>
      <c r="BA135" s="41">
        <f>BA133*Assumptions!$B$132*Assumptions!$B$50*Assumptions!$B$35</f>
        <v/>
      </c>
      <c r="BB135" s="41">
        <f>BB133*Assumptions!$B$132*Assumptions!$B$50*Assumptions!$B$35</f>
        <v/>
      </c>
      <c r="BC135" s="41">
        <f>BC133*Assumptions!$B$132*Assumptions!$B$50*Assumptions!$B$35</f>
        <v/>
      </c>
      <c r="BD135" s="41">
        <f>BD133*Assumptions!$B$132*Assumptions!$B$50*Assumptions!$B$35</f>
        <v/>
      </c>
      <c r="BE135" s="41">
        <f>BE133*Assumptions!$B$132*Assumptions!$B$50*Assumptions!$B$35</f>
        <v/>
      </c>
      <c r="BF135" s="41">
        <f>BF133*Assumptions!$B$132*Assumptions!$B$50*Assumptions!$B$35</f>
        <v/>
      </c>
      <c r="BG135" s="41">
        <f>BG133*Assumptions!$B$132*Assumptions!$B$50*Assumptions!$B$35</f>
        <v/>
      </c>
      <c r="BH135" s="41">
        <f>BH133*Assumptions!$B$132*Assumptions!$B$50*Assumptions!$B$35</f>
        <v/>
      </c>
      <c r="BI135" s="41">
        <f>BI133*Assumptions!$B$132*Assumptions!$B$50*Assumptions!$B$35</f>
        <v/>
      </c>
      <c r="BJ135" s="41">
        <f>BJ133*Assumptions!$B$132*Assumptions!$B$50*Assumptions!$B$35</f>
        <v/>
      </c>
    </row>
    <row r="136">
      <c r="A136" s="4" t="inlineStr">
        <is>
          <t>South Africa: Solo: Starter: upgraded out</t>
        </is>
      </c>
      <c r="B136" s="17" t="inlineStr">
        <is>
          <t>workspaces</t>
        </is>
      </c>
      <c r="C136" s="41">
        <f>C133*Assumptions!$B$127</f>
        <v/>
      </c>
      <c r="D136" s="41">
        <f>D133*Assumptions!$B$127</f>
        <v/>
      </c>
      <c r="E136" s="41">
        <f>E133*Assumptions!$B$127</f>
        <v/>
      </c>
      <c r="F136" s="41">
        <f>F133*Assumptions!$B$127</f>
        <v/>
      </c>
      <c r="G136" s="41">
        <f>G133*Assumptions!$B$127</f>
        <v/>
      </c>
      <c r="H136" s="41">
        <f>H133*Assumptions!$B$127</f>
        <v/>
      </c>
      <c r="I136" s="41">
        <f>I133*Assumptions!$B$127</f>
        <v/>
      </c>
      <c r="J136" s="41">
        <f>J133*Assumptions!$B$127</f>
        <v/>
      </c>
      <c r="K136" s="41">
        <f>K133*Assumptions!$B$127</f>
        <v/>
      </c>
      <c r="L136" s="41">
        <f>L133*Assumptions!$B$127</f>
        <v/>
      </c>
      <c r="M136" s="41">
        <f>M133*Assumptions!$B$127</f>
        <v/>
      </c>
      <c r="N136" s="41">
        <f>N133*Assumptions!$B$127</f>
        <v/>
      </c>
      <c r="O136" s="41">
        <f>O133*Assumptions!$B$127</f>
        <v/>
      </c>
      <c r="P136" s="41">
        <f>P133*Assumptions!$B$127</f>
        <v/>
      </c>
      <c r="Q136" s="41">
        <f>Q133*Assumptions!$B$127</f>
        <v/>
      </c>
      <c r="R136" s="41">
        <f>R133*Assumptions!$B$127</f>
        <v/>
      </c>
      <c r="S136" s="41">
        <f>S133*Assumptions!$B$127</f>
        <v/>
      </c>
      <c r="T136" s="41">
        <f>T133*Assumptions!$B$127</f>
        <v/>
      </c>
      <c r="U136" s="41">
        <f>U133*Assumptions!$B$127</f>
        <v/>
      </c>
      <c r="V136" s="41">
        <f>V133*Assumptions!$B$127</f>
        <v/>
      </c>
      <c r="W136" s="41">
        <f>W133*Assumptions!$B$127</f>
        <v/>
      </c>
      <c r="X136" s="41">
        <f>X133*Assumptions!$B$127</f>
        <v/>
      </c>
      <c r="Y136" s="41">
        <f>Y133*Assumptions!$B$127</f>
        <v/>
      </c>
      <c r="Z136" s="41">
        <f>Z133*Assumptions!$B$127</f>
        <v/>
      </c>
      <c r="AA136" s="41">
        <f>AA133*Assumptions!$B$127</f>
        <v/>
      </c>
      <c r="AB136" s="41">
        <f>AB133*Assumptions!$B$127</f>
        <v/>
      </c>
      <c r="AC136" s="41">
        <f>AC133*Assumptions!$B$127</f>
        <v/>
      </c>
      <c r="AD136" s="41">
        <f>AD133*Assumptions!$B$127</f>
        <v/>
      </c>
      <c r="AE136" s="41">
        <f>AE133*Assumptions!$B$127</f>
        <v/>
      </c>
      <c r="AF136" s="41">
        <f>AF133*Assumptions!$B$127</f>
        <v/>
      </c>
      <c r="AG136" s="41">
        <f>AG133*Assumptions!$B$127</f>
        <v/>
      </c>
      <c r="AH136" s="41">
        <f>AH133*Assumptions!$B$127</f>
        <v/>
      </c>
      <c r="AI136" s="41">
        <f>AI133*Assumptions!$B$127</f>
        <v/>
      </c>
      <c r="AJ136" s="41">
        <f>AJ133*Assumptions!$B$127</f>
        <v/>
      </c>
      <c r="AK136" s="41">
        <f>AK133*Assumptions!$B$127</f>
        <v/>
      </c>
      <c r="AL136" s="41">
        <f>AL133*Assumptions!$B$127</f>
        <v/>
      </c>
      <c r="AM136" s="41">
        <f>AM133*Assumptions!$B$127</f>
        <v/>
      </c>
      <c r="AN136" s="41">
        <f>AN133*Assumptions!$B$127</f>
        <v/>
      </c>
      <c r="AO136" s="41">
        <f>AO133*Assumptions!$B$127</f>
        <v/>
      </c>
      <c r="AP136" s="41">
        <f>AP133*Assumptions!$B$127</f>
        <v/>
      </c>
      <c r="AQ136" s="41">
        <f>AQ133*Assumptions!$B$127</f>
        <v/>
      </c>
      <c r="AR136" s="41">
        <f>AR133*Assumptions!$B$127</f>
        <v/>
      </c>
      <c r="AS136" s="41">
        <f>AS133*Assumptions!$B$127</f>
        <v/>
      </c>
      <c r="AT136" s="41">
        <f>AT133*Assumptions!$B$127</f>
        <v/>
      </c>
      <c r="AU136" s="41">
        <f>AU133*Assumptions!$B$127</f>
        <v/>
      </c>
      <c r="AV136" s="41">
        <f>AV133*Assumptions!$B$127</f>
        <v/>
      </c>
      <c r="AW136" s="41">
        <f>AW133*Assumptions!$B$127</f>
        <v/>
      </c>
      <c r="AX136" s="41">
        <f>AX133*Assumptions!$B$127</f>
        <v/>
      </c>
      <c r="AY136" s="41">
        <f>AY133*Assumptions!$B$127</f>
        <v/>
      </c>
      <c r="AZ136" s="41">
        <f>AZ133*Assumptions!$B$127</f>
        <v/>
      </c>
      <c r="BA136" s="41">
        <f>BA133*Assumptions!$B$127</f>
        <v/>
      </c>
      <c r="BB136" s="41">
        <f>BB133*Assumptions!$B$127</f>
        <v/>
      </c>
      <c r="BC136" s="41">
        <f>BC133*Assumptions!$B$127</f>
        <v/>
      </c>
      <c r="BD136" s="41">
        <f>BD133*Assumptions!$B$127</f>
        <v/>
      </c>
      <c r="BE136" s="41">
        <f>BE133*Assumptions!$B$127</f>
        <v/>
      </c>
      <c r="BF136" s="41">
        <f>BF133*Assumptions!$B$127</f>
        <v/>
      </c>
      <c r="BG136" s="41">
        <f>BG133*Assumptions!$B$127</f>
        <v/>
      </c>
      <c r="BH136" s="41">
        <f>BH133*Assumptions!$B$127</f>
        <v/>
      </c>
      <c r="BI136" s="41">
        <f>BI133*Assumptions!$B$127</f>
        <v/>
      </c>
      <c r="BJ136" s="41">
        <f>BJ133*Assumptions!$B$127</f>
        <v/>
      </c>
    </row>
    <row r="137">
      <c r="A137" s="3" t="inlineStr">
        <is>
          <t>South Africa: Solo: Starter: closing</t>
        </is>
      </c>
      <c r="B137" s="17" t="inlineStr">
        <is>
          <t>workspaces</t>
        </is>
      </c>
      <c r="C137" s="44">
        <f>C133+C134-C135-C136</f>
        <v/>
      </c>
      <c r="D137" s="44">
        <f>D133+D134-D135-D136</f>
        <v/>
      </c>
      <c r="E137" s="44">
        <f>E133+E134-E135-E136</f>
        <v/>
      </c>
      <c r="F137" s="44">
        <f>F133+F134-F135-F136</f>
        <v/>
      </c>
      <c r="G137" s="44">
        <f>G133+G134-G135-G136</f>
        <v/>
      </c>
      <c r="H137" s="44">
        <f>H133+H134-H135-H136</f>
        <v/>
      </c>
      <c r="I137" s="44">
        <f>I133+I134-I135-I136</f>
        <v/>
      </c>
      <c r="J137" s="44">
        <f>J133+J134-J135-J136</f>
        <v/>
      </c>
      <c r="K137" s="44">
        <f>K133+K134-K135-K136</f>
        <v/>
      </c>
      <c r="L137" s="44">
        <f>L133+L134-L135-L136</f>
        <v/>
      </c>
      <c r="M137" s="44">
        <f>M133+M134-M135-M136</f>
        <v/>
      </c>
      <c r="N137" s="44">
        <f>N133+N134-N135-N136</f>
        <v/>
      </c>
      <c r="O137" s="44">
        <f>O133+O134-O135-O136</f>
        <v/>
      </c>
      <c r="P137" s="44">
        <f>P133+P134-P135-P136</f>
        <v/>
      </c>
      <c r="Q137" s="44">
        <f>Q133+Q134-Q135-Q136</f>
        <v/>
      </c>
      <c r="R137" s="44">
        <f>R133+R134-R135-R136</f>
        <v/>
      </c>
      <c r="S137" s="44">
        <f>S133+S134-S135-S136</f>
        <v/>
      </c>
      <c r="T137" s="44">
        <f>T133+T134-T135-T136</f>
        <v/>
      </c>
      <c r="U137" s="44">
        <f>U133+U134-U135-U136</f>
        <v/>
      </c>
      <c r="V137" s="44">
        <f>V133+V134-V135-V136</f>
        <v/>
      </c>
      <c r="W137" s="44">
        <f>W133+W134-W135-W136</f>
        <v/>
      </c>
      <c r="X137" s="44">
        <f>X133+X134-X135-X136</f>
        <v/>
      </c>
      <c r="Y137" s="44">
        <f>Y133+Y134-Y135-Y136</f>
        <v/>
      </c>
      <c r="Z137" s="44">
        <f>Z133+Z134-Z135-Z136</f>
        <v/>
      </c>
      <c r="AA137" s="44">
        <f>AA133+AA134-AA135-AA136</f>
        <v/>
      </c>
      <c r="AB137" s="44">
        <f>AB133+AB134-AB135-AB136</f>
        <v/>
      </c>
      <c r="AC137" s="44">
        <f>AC133+AC134-AC135-AC136</f>
        <v/>
      </c>
      <c r="AD137" s="44">
        <f>AD133+AD134-AD135-AD136</f>
        <v/>
      </c>
      <c r="AE137" s="44">
        <f>AE133+AE134-AE135-AE136</f>
        <v/>
      </c>
      <c r="AF137" s="44">
        <f>AF133+AF134-AF135-AF136</f>
        <v/>
      </c>
      <c r="AG137" s="44">
        <f>AG133+AG134-AG135-AG136</f>
        <v/>
      </c>
      <c r="AH137" s="44">
        <f>AH133+AH134-AH135-AH136</f>
        <v/>
      </c>
      <c r="AI137" s="44">
        <f>AI133+AI134-AI135-AI136</f>
        <v/>
      </c>
      <c r="AJ137" s="44">
        <f>AJ133+AJ134-AJ135-AJ136</f>
        <v/>
      </c>
      <c r="AK137" s="44">
        <f>AK133+AK134-AK135-AK136</f>
        <v/>
      </c>
      <c r="AL137" s="44">
        <f>AL133+AL134-AL135-AL136</f>
        <v/>
      </c>
      <c r="AM137" s="44">
        <f>AM133+AM134-AM135-AM136</f>
        <v/>
      </c>
      <c r="AN137" s="44">
        <f>AN133+AN134-AN135-AN136</f>
        <v/>
      </c>
      <c r="AO137" s="44">
        <f>AO133+AO134-AO135-AO136</f>
        <v/>
      </c>
      <c r="AP137" s="44">
        <f>AP133+AP134-AP135-AP136</f>
        <v/>
      </c>
      <c r="AQ137" s="44">
        <f>AQ133+AQ134-AQ135-AQ136</f>
        <v/>
      </c>
      <c r="AR137" s="44">
        <f>AR133+AR134-AR135-AR136</f>
        <v/>
      </c>
      <c r="AS137" s="44">
        <f>AS133+AS134-AS135-AS136</f>
        <v/>
      </c>
      <c r="AT137" s="44">
        <f>AT133+AT134-AT135-AT136</f>
        <v/>
      </c>
      <c r="AU137" s="44">
        <f>AU133+AU134-AU135-AU136</f>
        <v/>
      </c>
      <c r="AV137" s="44">
        <f>AV133+AV134-AV135-AV136</f>
        <v/>
      </c>
      <c r="AW137" s="44">
        <f>AW133+AW134-AW135-AW136</f>
        <v/>
      </c>
      <c r="AX137" s="44">
        <f>AX133+AX134-AX135-AX136</f>
        <v/>
      </c>
      <c r="AY137" s="44">
        <f>AY133+AY134-AY135-AY136</f>
        <v/>
      </c>
      <c r="AZ137" s="44">
        <f>AZ133+AZ134-AZ135-AZ136</f>
        <v/>
      </c>
      <c r="BA137" s="44">
        <f>BA133+BA134-BA135-BA136</f>
        <v/>
      </c>
      <c r="BB137" s="44">
        <f>BB133+BB134-BB135-BB136</f>
        <v/>
      </c>
      <c r="BC137" s="44">
        <f>BC133+BC134-BC135-BC136</f>
        <v/>
      </c>
      <c r="BD137" s="44">
        <f>BD133+BD134-BD135-BD136</f>
        <v/>
      </c>
      <c r="BE137" s="44">
        <f>BE133+BE134-BE135-BE136</f>
        <v/>
      </c>
      <c r="BF137" s="44">
        <f>BF133+BF134-BF135-BF136</f>
        <v/>
      </c>
      <c r="BG137" s="44">
        <f>BG133+BG134-BG135-BG136</f>
        <v/>
      </c>
      <c r="BH137" s="44">
        <f>BH133+BH134-BH135-BH136</f>
        <v/>
      </c>
      <c r="BI137" s="44">
        <f>BI133+BI134-BI135-BI136</f>
        <v/>
      </c>
      <c r="BJ137" s="44">
        <f>BJ133+BJ134-BJ135-BJ136</f>
        <v/>
      </c>
    </row>
    <row r="138">
      <c r="A138" s="4" t="inlineStr">
        <is>
          <t>South Africa: Solo: Growth (upgraded or direct): opening</t>
        </is>
      </c>
      <c r="B138" s="17" t="inlineStr">
        <is>
          <t>workspaces</t>
        </is>
      </c>
      <c r="C138" s="41">
        <f>0</f>
        <v/>
      </c>
      <c r="D138" s="41">
        <f>C141</f>
        <v/>
      </c>
      <c r="E138" s="41">
        <f>D141</f>
        <v/>
      </c>
      <c r="F138" s="41">
        <f>E141</f>
        <v/>
      </c>
      <c r="G138" s="41">
        <f>F141</f>
        <v/>
      </c>
      <c r="H138" s="41">
        <f>G141</f>
        <v/>
      </c>
      <c r="I138" s="41">
        <f>H141</f>
        <v/>
      </c>
      <c r="J138" s="41">
        <f>I141</f>
        <v/>
      </c>
      <c r="K138" s="41">
        <f>J141</f>
        <v/>
      </c>
      <c r="L138" s="41">
        <f>K141</f>
        <v/>
      </c>
      <c r="M138" s="41">
        <f>L141</f>
        <v/>
      </c>
      <c r="N138" s="41">
        <f>M141</f>
        <v/>
      </c>
      <c r="O138" s="41">
        <f>N141</f>
        <v/>
      </c>
      <c r="P138" s="41">
        <f>O141</f>
        <v/>
      </c>
      <c r="Q138" s="41">
        <f>P141</f>
        <v/>
      </c>
      <c r="R138" s="41">
        <f>Q141</f>
        <v/>
      </c>
      <c r="S138" s="41">
        <f>R141</f>
        <v/>
      </c>
      <c r="T138" s="41">
        <f>S141</f>
        <v/>
      </c>
      <c r="U138" s="41">
        <f>T141</f>
        <v/>
      </c>
      <c r="V138" s="41">
        <f>U141</f>
        <v/>
      </c>
      <c r="W138" s="41">
        <f>V141</f>
        <v/>
      </c>
      <c r="X138" s="41">
        <f>W141</f>
        <v/>
      </c>
      <c r="Y138" s="41">
        <f>X141</f>
        <v/>
      </c>
      <c r="Z138" s="41">
        <f>Y141</f>
        <v/>
      </c>
      <c r="AA138" s="41">
        <f>Z141</f>
        <v/>
      </c>
      <c r="AB138" s="41">
        <f>AA141</f>
        <v/>
      </c>
      <c r="AC138" s="41">
        <f>AB141</f>
        <v/>
      </c>
      <c r="AD138" s="41">
        <f>AC141</f>
        <v/>
      </c>
      <c r="AE138" s="41">
        <f>AD141</f>
        <v/>
      </c>
      <c r="AF138" s="41">
        <f>AE141</f>
        <v/>
      </c>
      <c r="AG138" s="41">
        <f>AF141</f>
        <v/>
      </c>
      <c r="AH138" s="41">
        <f>AG141</f>
        <v/>
      </c>
      <c r="AI138" s="41">
        <f>AH141</f>
        <v/>
      </c>
      <c r="AJ138" s="41">
        <f>AI141</f>
        <v/>
      </c>
      <c r="AK138" s="41">
        <f>AJ141</f>
        <v/>
      </c>
      <c r="AL138" s="41">
        <f>AK141</f>
        <v/>
      </c>
      <c r="AM138" s="41">
        <f>AL141</f>
        <v/>
      </c>
      <c r="AN138" s="41">
        <f>AM141</f>
        <v/>
      </c>
      <c r="AO138" s="41">
        <f>AN141</f>
        <v/>
      </c>
      <c r="AP138" s="41">
        <f>AO141</f>
        <v/>
      </c>
      <c r="AQ138" s="41">
        <f>AP141</f>
        <v/>
      </c>
      <c r="AR138" s="41">
        <f>AQ141</f>
        <v/>
      </c>
      <c r="AS138" s="41">
        <f>AR141</f>
        <v/>
      </c>
      <c r="AT138" s="41">
        <f>AS141</f>
        <v/>
      </c>
      <c r="AU138" s="41">
        <f>AT141</f>
        <v/>
      </c>
      <c r="AV138" s="41">
        <f>AU141</f>
        <v/>
      </c>
      <c r="AW138" s="41">
        <f>AV141</f>
        <v/>
      </c>
      <c r="AX138" s="41">
        <f>AW141</f>
        <v/>
      </c>
      <c r="AY138" s="41">
        <f>AX141</f>
        <v/>
      </c>
      <c r="AZ138" s="41">
        <f>AY141</f>
        <v/>
      </c>
      <c r="BA138" s="41">
        <f>AZ141</f>
        <v/>
      </c>
      <c r="BB138" s="41">
        <f>BA141</f>
        <v/>
      </c>
      <c r="BC138" s="41">
        <f>BB141</f>
        <v/>
      </c>
      <c r="BD138" s="41">
        <f>BC141</f>
        <v/>
      </c>
      <c r="BE138" s="41">
        <f>BD141</f>
        <v/>
      </c>
      <c r="BF138" s="41">
        <f>BE141</f>
        <v/>
      </c>
      <c r="BG138" s="41">
        <f>BF141</f>
        <v/>
      </c>
      <c r="BH138" s="41">
        <f>BG141</f>
        <v/>
      </c>
      <c r="BI138" s="41">
        <f>BH141</f>
        <v/>
      </c>
      <c r="BJ138" s="41">
        <f>BI141</f>
        <v/>
      </c>
    </row>
    <row r="139">
      <c r="A139" s="4" t="inlineStr">
        <is>
          <t>South Africa: Solo: Growth (upgraded or direct): new</t>
        </is>
      </c>
      <c r="B139" s="17" t="inlineStr">
        <is>
          <t>workspaces</t>
        </is>
      </c>
      <c r="C139" s="41">
        <f>C113*Assumptions!$B$125+C136</f>
        <v/>
      </c>
      <c r="D139" s="41">
        <f>D113*Assumptions!$B$125+D136</f>
        <v/>
      </c>
      <c r="E139" s="41">
        <f>E113*Assumptions!$B$125+E136</f>
        <v/>
      </c>
      <c r="F139" s="41">
        <f>F113*Assumptions!$B$125+F136</f>
        <v/>
      </c>
      <c r="G139" s="41">
        <f>G113*Assumptions!$B$125+G136</f>
        <v/>
      </c>
      <c r="H139" s="41">
        <f>H113*Assumptions!$B$125+H136</f>
        <v/>
      </c>
      <c r="I139" s="41">
        <f>I113*Assumptions!$B$125+I136</f>
        <v/>
      </c>
      <c r="J139" s="41">
        <f>J113*Assumptions!$B$125+J136</f>
        <v/>
      </c>
      <c r="K139" s="41">
        <f>K113*Assumptions!$B$125+K136</f>
        <v/>
      </c>
      <c r="L139" s="41">
        <f>L113*Assumptions!$B$125+L136</f>
        <v/>
      </c>
      <c r="M139" s="41">
        <f>M113*Assumptions!$B$125+M136</f>
        <v/>
      </c>
      <c r="N139" s="41">
        <f>N113*Assumptions!$B$125+N136</f>
        <v/>
      </c>
      <c r="O139" s="41">
        <f>O113*Assumptions!$B$125+O136</f>
        <v/>
      </c>
      <c r="P139" s="41">
        <f>P113*Assumptions!$B$125+P136</f>
        <v/>
      </c>
      <c r="Q139" s="41">
        <f>Q113*Assumptions!$B$125+Q136</f>
        <v/>
      </c>
      <c r="R139" s="41">
        <f>R113*Assumptions!$B$125+R136</f>
        <v/>
      </c>
      <c r="S139" s="41">
        <f>S113*Assumptions!$B$125+S136</f>
        <v/>
      </c>
      <c r="T139" s="41">
        <f>T113*Assumptions!$B$125+T136</f>
        <v/>
      </c>
      <c r="U139" s="41">
        <f>U113*Assumptions!$B$125+U136</f>
        <v/>
      </c>
      <c r="V139" s="41">
        <f>V113*Assumptions!$B$125+V136</f>
        <v/>
      </c>
      <c r="W139" s="41">
        <f>W113*Assumptions!$B$125+W136</f>
        <v/>
      </c>
      <c r="X139" s="41">
        <f>X113*Assumptions!$B$125+X136</f>
        <v/>
      </c>
      <c r="Y139" s="41">
        <f>Y113*Assumptions!$B$125+Y136</f>
        <v/>
      </c>
      <c r="Z139" s="41">
        <f>Z113*Assumptions!$B$125+Z136</f>
        <v/>
      </c>
      <c r="AA139" s="41">
        <f>AA113*Assumptions!$B$125+AA136</f>
        <v/>
      </c>
      <c r="AB139" s="41">
        <f>AB113*Assumptions!$B$125+AB136</f>
        <v/>
      </c>
      <c r="AC139" s="41">
        <f>AC113*Assumptions!$B$125+AC136</f>
        <v/>
      </c>
      <c r="AD139" s="41">
        <f>AD113*Assumptions!$B$125+AD136</f>
        <v/>
      </c>
      <c r="AE139" s="41">
        <f>AE113*Assumptions!$B$125+AE136</f>
        <v/>
      </c>
      <c r="AF139" s="41">
        <f>AF113*Assumptions!$B$125+AF136</f>
        <v/>
      </c>
      <c r="AG139" s="41">
        <f>AG113*Assumptions!$B$125+AG136</f>
        <v/>
      </c>
      <c r="AH139" s="41">
        <f>AH113*Assumptions!$B$125+AH136</f>
        <v/>
      </c>
      <c r="AI139" s="41">
        <f>AI113*Assumptions!$B$125+AI136</f>
        <v/>
      </c>
      <c r="AJ139" s="41">
        <f>AJ113*Assumptions!$B$125+AJ136</f>
        <v/>
      </c>
      <c r="AK139" s="41">
        <f>AK113*Assumptions!$B$125+AK136</f>
        <v/>
      </c>
      <c r="AL139" s="41">
        <f>AL113*Assumptions!$B$125+AL136</f>
        <v/>
      </c>
      <c r="AM139" s="41">
        <f>AM113*Assumptions!$B$125+AM136</f>
        <v/>
      </c>
      <c r="AN139" s="41">
        <f>AN113*Assumptions!$B$125+AN136</f>
        <v/>
      </c>
      <c r="AO139" s="41">
        <f>AO113*Assumptions!$B$125+AO136</f>
        <v/>
      </c>
      <c r="AP139" s="41">
        <f>AP113*Assumptions!$B$125+AP136</f>
        <v/>
      </c>
      <c r="AQ139" s="41">
        <f>AQ113*Assumptions!$B$125+AQ136</f>
        <v/>
      </c>
      <c r="AR139" s="41">
        <f>AR113*Assumptions!$B$125+AR136</f>
        <v/>
      </c>
      <c r="AS139" s="41">
        <f>AS113*Assumptions!$B$125+AS136</f>
        <v/>
      </c>
      <c r="AT139" s="41">
        <f>AT113*Assumptions!$B$125+AT136</f>
        <v/>
      </c>
      <c r="AU139" s="41">
        <f>AU113*Assumptions!$B$125+AU136</f>
        <v/>
      </c>
      <c r="AV139" s="41">
        <f>AV113*Assumptions!$B$125+AV136</f>
        <v/>
      </c>
      <c r="AW139" s="41">
        <f>AW113*Assumptions!$B$125+AW136</f>
        <v/>
      </c>
      <c r="AX139" s="41">
        <f>AX113*Assumptions!$B$125+AX136</f>
        <v/>
      </c>
      <c r="AY139" s="41">
        <f>AY113*Assumptions!$B$125+AY136</f>
        <v/>
      </c>
      <c r="AZ139" s="41">
        <f>AZ113*Assumptions!$B$125+AZ136</f>
        <v/>
      </c>
      <c r="BA139" s="41">
        <f>BA113*Assumptions!$B$125+BA136</f>
        <v/>
      </c>
      <c r="BB139" s="41">
        <f>BB113*Assumptions!$B$125+BB136</f>
        <v/>
      </c>
      <c r="BC139" s="41">
        <f>BC113*Assumptions!$B$125+BC136</f>
        <v/>
      </c>
      <c r="BD139" s="41">
        <f>BD113*Assumptions!$B$125+BD136</f>
        <v/>
      </c>
      <c r="BE139" s="41">
        <f>BE113*Assumptions!$B$125+BE136</f>
        <v/>
      </c>
      <c r="BF139" s="41">
        <f>BF113*Assumptions!$B$125+BF136</f>
        <v/>
      </c>
      <c r="BG139" s="41">
        <f>BG113*Assumptions!$B$125+BG136</f>
        <v/>
      </c>
      <c r="BH139" s="41">
        <f>BH113*Assumptions!$B$125+BH136</f>
        <v/>
      </c>
      <c r="BI139" s="41">
        <f>BI113*Assumptions!$B$125+BI136</f>
        <v/>
      </c>
      <c r="BJ139" s="41">
        <f>BJ113*Assumptions!$B$125+BJ136</f>
        <v/>
      </c>
    </row>
    <row r="140">
      <c r="A140" s="4" t="inlineStr">
        <is>
          <t>South Africa: Solo: Growth (upgraded or direct): churned</t>
        </is>
      </c>
      <c r="B140" s="17" t="inlineStr">
        <is>
          <t>workspaces</t>
        </is>
      </c>
      <c r="C140" s="41">
        <f>C138*Assumptions!$B$133*Assumptions!$B$50*Assumptions!$B$35</f>
        <v/>
      </c>
      <c r="D140" s="41">
        <f>D138*Assumptions!$B$133*Assumptions!$B$50*Assumptions!$B$35</f>
        <v/>
      </c>
      <c r="E140" s="41">
        <f>E138*Assumptions!$B$133*Assumptions!$B$50*Assumptions!$B$35</f>
        <v/>
      </c>
      <c r="F140" s="41">
        <f>F138*Assumptions!$B$133*Assumptions!$B$50*Assumptions!$B$35</f>
        <v/>
      </c>
      <c r="G140" s="41">
        <f>G138*Assumptions!$B$133*Assumptions!$B$50*Assumptions!$B$35</f>
        <v/>
      </c>
      <c r="H140" s="41">
        <f>H138*Assumptions!$B$133*Assumptions!$B$50*Assumptions!$B$35</f>
        <v/>
      </c>
      <c r="I140" s="41">
        <f>I138*Assumptions!$B$133*Assumptions!$B$50*Assumptions!$B$35</f>
        <v/>
      </c>
      <c r="J140" s="41">
        <f>J138*Assumptions!$B$133*Assumptions!$B$50*Assumptions!$B$35</f>
        <v/>
      </c>
      <c r="K140" s="41">
        <f>K138*Assumptions!$B$133*Assumptions!$B$50*Assumptions!$B$35</f>
        <v/>
      </c>
      <c r="L140" s="41">
        <f>L138*Assumptions!$B$133*Assumptions!$B$50*Assumptions!$B$35</f>
        <v/>
      </c>
      <c r="M140" s="41">
        <f>M138*Assumptions!$B$133*Assumptions!$B$50*Assumptions!$B$35</f>
        <v/>
      </c>
      <c r="N140" s="41">
        <f>N138*Assumptions!$B$133*Assumptions!$B$50*Assumptions!$B$35</f>
        <v/>
      </c>
      <c r="O140" s="41">
        <f>O138*Assumptions!$B$133*Assumptions!$B$50*Assumptions!$B$35</f>
        <v/>
      </c>
      <c r="P140" s="41">
        <f>P138*Assumptions!$B$133*Assumptions!$B$50*Assumptions!$B$35</f>
        <v/>
      </c>
      <c r="Q140" s="41">
        <f>Q138*Assumptions!$B$133*Assumptions!$B$50*Assumptions!$B$35</f>
        <v/>
      </c>
      <c r="R140" s="41">
        <f>R138*Assumptions!$B$133*Assumptions!$B$50*Assumptions!$B$35</f>
        <v/>
      </c>
      <c r="S140" s="41">
        <f>S138*Assumptions!$B$133*Assumptions!$B$50*Assumptions!$B$35</f>
        <v/>
      </c>
      <c r="T140" s="41">
        <f>T138*Assumptions!$B$133*Assumptions!$B$50*Assumptions!$B$35</f>
        <v/>
      </c>
      <c r="U140" s="41">
        <f>U138*Assumptions!$B$133*Assumptions!$B$50*Assumptions!$B$35</f>
        <v/>
      </c>
      <c r="V140" s="41">
        <f>V138*Assumptions!$B$133*Assumptions!$B$50*Assumptions!$B$35</f>
        <v/>
      </c>
      <c r="W140" s="41">
        <f>W138*Assumptions!$B$133*Assumptions!$B$50*Assumptions!$B$35</f>
        <v/>
      </c>
      <c r="X140" s="41">
        <f>X138*Assumptions!$B$133*Assumptions!$B$50*Assumptions!$B$35</f>
        <v/>
      </c>
      <c r="Y140" s="41">
        <f>Y138*Assumptions!$B$133*Assumptions!$B$50*Assumptions!$B$35</f>
        <v/>
      </c>
      <c r="Z140" s="41">
        <f>Z138*Assumptions!$B$133*Assumptions!$B$50*Assumptions!$B$35</f>
        <v/>
      </c>
      <c r="AA140" s="41">
        <f>AA138*Assumptions!$B$133*Assumptions!$B$50*Assumptions!$B$35</f>
        <v/>
      </c>
      <c r="AB140" s="41">
        <f>AB138*Assumptions!$B$133*Assumptions!$B$50*Assumptions!$B$35</f>
        <v/>
      </c>
      <c r="AC140" s="41">
        <f>AC138*Assumptions!$B$133*Assumptions!$B$50*Assumptions!$B$35</f>
        <v/>
      </c>
      <c r="AD140" s="41">
        <f>AD138*Assumptions!$B$133*Assumptions!$B$50*Assumptions!$B$35</f>
        <v/>
      </c>
      <c r="AE140" s="41">
        <f>AE138*Assumptions!$B$133*Assumptions!$B$50*Assumptions!$B$35</f>
        <v/>
      </c>
      <c r="AF140" s="41">
        <f>AF138*Assumptions!$B$133*Assumptions!$B$50*Assumptions!$B$35</f>
        <v/>
      </c>
      <c r="AG140" s="41">
        <f>AG138*Assumptions!$B$133*Assumptions!$B$50*Assumptions!$B$35</f>
        <v/>
      </c>
      <c r="AH140" s="41">
        <f>AH138*Assumptions!$B$133*Assumptions!$B$50*Assumptions!$B$35</f>
        <v/>
      </c>
      <c r="AI140" s="41">
        <f>AI138*Assumptions!$B$133*Assumptions!$B$50*Assumptions!$B$35</f>
        <v/>
      </c>
      <c r="AJ140" s="41">
        <f>AJ138*Assumptions!$B$133*Assumptions!$B$50*Assumptions!$B$35</f>
        <v/>
      </c>
      <c r="AK140" s="41">
        <f>AK138*Assumptions!$B$133*Assumptions!$B$50*Assumptions!$B$35</f>
        <v/>
      </c>
      <c r="AL140" s="41">
        <f>AL138*Assumptions!$B$133*Assumptions!$B$50*Assumptions!$B$35</f>
        <v/>
      </c>
      <c r="AM140" s="41">
        <f>AM138*Assumptions!$B$133*Assumptions!$B$50*Assumptions!$B$35</f>
        <v/>
      </c>
      <c r="AN140" s="41">
        <f>AN138*Assumptions!$B$133*Assumptions!$B$50*Assumptions!$B$35</f>
        <v/>
      </c>
      <c r="AO140" s="41">
        <f>AO138*Assumptions!$B$133*Assumptions!$B$50*Assumptions!$B$35</f>
        <v/>
      </c>
      <c r="AP140" s="41">
        <f>AP138*Assumptions!$B$133*Assumptions!$B$50*Assumptions!$B$35</f>
        <v/>
      </c>
      <c r="AQ140" s="41">
        <f>AQ138*Assumptions!$B$133*Assumptions!$B$50*Assumptions!$B$35</f>
        <v/>
      </c>
      <c r="AR140" s="41">
        <f>AR138*Assumptions!$B$133*Assumptions!$B$50*Assumptions!$B$35</f>
        <v/>
      </c>
      <c r="AS140" s="41">
        <f>AS138*Assumptions!$B$133*Assumptions!$B$50*Assumptions!$B$35</f>
        <v/>
      </c>
      <c r="AT140" s="41">
        <f>AT138*Assumptions!$B$133*Assumptions!$B$50*Assumptions!$B$35</f>
        <v/>
      </c>
      <c r="AU140" s="41">
        <f>AU138*Assumptions!$B$133*Assumptions!$B$50*Assumptions!$B$35</f>
        <v/>
      </c>
      <c r="AV140" s="41">
        <f>AV138*Assumptions!$B$133*Assumptions!$B$50*Assumptions!$B$35</f>
        <v/>
      </c>
      <c r="AW140" s="41">
        <f>AW138*Assumptions!$B$133*Assumptions!$B$50*Assumptions!$B$35</f>
        <v/>
      </c>
      <c r="AX140" s="41">
        <f>AX138*Assumptions!$B$133*Assumptions!$B$50*Assumptions!$B$35</f>
        <v/>
      </c>
      <c r="AY140" s="41">
        <f>AY138*Assumptions!$B$133*Assumptions!$B$50*Assumptions!$B$35</f>
        <v/>
      </c>
      <c r="AZ140" s="41">
        <f>AZ138*Assumptions!$B$133*Assumptions!$B$50*Assumptions!$B$35</f>
        <v/>
      </c>
      <c r="BA140" s="41">
        <f>BA138*Assumptions!$B$133*Assumptions!$B$50*Assumptions!$B$35</f>
        <v/>
      </c>
      <c r="BB140" s="41">
        <f>BB138*Assumptions!$B$133*Assumptions!$B$50*Assumptions!$B$35</f>
        <v/>
      </c>
      <c r="BC140" s="41">
        <f>BC138*Assumptions!$B$133*Assumptions!$B$50*Assumptions!$B$35</f>
        <v/>
      </c>
      <c r="BD140" s="41">
        <f>BD138*Assumptions!$B$133*Assumptions!$B$50*Assumptions!$B$35</f>
        <v/>
      </c>
      <c r="BE140" s="41">
        <f>BE138*Assumptions!$B$133*Assumptions!$B$50*Assumptions!$B$35</f>
        <v/>
      </c>
      <c r="BF140" s="41">
        <f>BF138*Assumptions!$B$133*Assumptions!$B$50*Assumptions!$B$35</f>
        <v/>
      </c>
      <c r="BG140" s="41">
        <f>BG138*Assumptions!$B$133*Assumptions!$B$50*Assumptions!$B$35</f>
        <v/>
      </c>
      <c r="BH140" s="41">
        <f>BH138*Assumptions!$B$133*Assumptions!$B$50*Assumptions!$B$35</f>
        <v/>
      </c>
      <c r="BI140" s="41">
        <f>BI138*Assumptions!$B$133*Assumptions!$B$50*Assumptions!$B$35</f>
        <v/>
      </c>
      <c r="BJ140" s="41">
        <f>BJ138*Assumptions!$B$133*Assumptions!$B$50*Assumptions!$B$35</f>
        <v/>
      </c>
    </row>
    <row r="141">
      <c r="A141" s="3" t="inlineStr">
        <is>
          <t>South Africa: Solo: Growth (upgraded or direct): closing</t>
        </is>
      </c>
      <c r="B141" s="17" t="inlineStr">
        <is>
          <t>workspaces</t>
        </is>
      </c>
      <c r="C141" s="44">
        <f>C138+C139-C140</f>
        <v/>
      </c>
      <c r="D141" s="44">
        <f>D138+D139-D140</f>
        <v/>
      </c>
      <c r="E141" s="44">
        <f>E138+E139-E140</f>
        <v/>
      </c>
      <c r="F141" s="44">
        <f>F138+F139-F140</f>
        <v/>
      </c>
      <c r="G141" s="44">
        <f>G138+G139-G140</f>
        <v/>
      </c>
      <c r="H141" s="44">
        <f>H138+H139-H140</f>
        <v/>
      </c>
      <c r="I141" s="44">
        <f>I138+I139-I140</f>
        <v/>
      </c>
      <c r="J141" s="44">
        <f>J138+J139-J140</f>
        <v/>
      </c>
      <c r="K141" s="44">
        <f>K138+K139-K140</f>
        <v/>
      </c>
      <c r="L141" s="44">
        <f>L138+L139-L140</f>
        <v/>
      </c>
      <c r="M141" s="44">
        <f>M138+M139-M140</f>
        <v/>
      </c>
      <c r="N141" s="44">
        <f>N138+N139-N140</f>
        <v/>
      </c>
      <c r="O141" s="44">
        <f>O138+O139-O140</f>
        <v/>
      </c>
      <c r="P141" s="44">
        <f>P138+P139-P140</f>
        <v/>
      </c>
      <c r="Q141" s="44">
        <f>Q138+Q139-Q140</f>
        <v/>
      </c>
      <c r="R141" s="44">
        <f>R138+R139-R140</f>
        <v/>
      </c>
      <c r="S141" s="44">
        <f>S138+S139-S140</f>
        <v/>
      </c>
      <c r="T141" s="44">
        <f>T138+T139-T140</f>
        <v/>
      </c>
      <c r="U141" s="44">
        <f>U138+U139-U140</f>
        <v/>
      </c>
      <c r="V141" s="44">
        <f>V138+V139-V140</f>
        <v/>
      </c>
      <c r="W141" s="44">
        <f>W138+W139-W140</f>
        <v/>
      </c>
      <c r="X141" s="44">
        <f>X138+X139-X140</f>
        <v/>
      </c>
      <c r="Y141" s="44">
        <f>Y138+Y139-Y140</f>
        <v/>
      </c>
      <c r="Z141" s="44">
        <f>Z138+Z139-Z140</f>
        <v/>
      </c>
      <c r="AA141" s="44">
        <f>AA138+AA139-AA140</f>
        <v/>
      </c>
      <c r="AB141" s="44">
        <f>AB138+AB139-AB140</f>
        <v/>
      </c>
      <c r="AC141" s="44">
        <f>AC138+AC139-AC140</f>
        <v/>
      </c>
      <c r="AD141" s="44">
        <f>AD138+AD139-AD140</f>
        <v/>
      </c>
      <c r="AE141" s="44">
        <f>AE138+AE139-AE140</f>
        <v/>
      </c>
      <c r="AF141" s="44">
        <f>AF138+AF139-AF140</f>
        <v/>
      </c>
      <c r="AG141" s="44">
        <f>AG138+AG139-AG140</f>
        <v/>
      </c>
      <c r="AH141" s="44">
        <f>AH138+AH139-AH140</f>
        <v/>
      </c>
      <c r="AI141" s="44">
        <f>AI138+AI139-AI140</f>
        <v/>
      </c>
      <c r="AJ141" s="44">
        <f>AJ138+AJ139-AJ140</f>
        <v/>
      </c>
      <c r="AK141" s="44">
        <f>AK138+AK139-AK140</f>
        <v/>
      </c>
      <c r="AL141" s="44">
        <f>AL138+AL139-AL140</f>
        <v/>
      </c>
      <c r="AM141" s="44">
        <f>AM138+AM139-AM140</f>
        <v/>
      </c>
      <c r="AN141" s="44">
        <f>AN138+AN139-AN140</f>
        <v/>
      </c>
      <c r="AO141" s="44">
        <f>AO138+AO139-AO140</f>
        <v/>
      </c>
      <c r="AP141" s="44">
        <f>AP138+AP139-AP140</f>
        <v/>
      </c>
      <c r="AQ141" s="44">
        <f>AQ138+AQ139-AQ140</f>
        <v/>
      </c>
      <c r="AR141" s="44">
        <f>AR138+AR139-AR140</f>
        <v/>
      </c>
      <c r="AS141" s="44">
        <f>AS138+AS139-AS140</f>
        <v/>
      </c>
      <c r="AT141" s="44">
        <f>AT138+AT139-AT140</f>
        <v/>
      </c>
      <c r="AU141" s="44">
        <f>AU138+AU139-AU140</f>
        <v/>
      </c>
      <c r="AV141" s="44">
        <f>AV138+AV139-AV140</f>
        <v/>
      </c>
      <c r="AW141" s="44">
        <f>AW138+AW139-AW140</f>
        <v/>
      </c>
      <c r="AX141" s="44">
        <f>AX138+AX139-AX140</f>
        <v/>
      </c>
      <c r="AY141" s="44">
        <f>AY138+AY139-AY140</f>
        <v/>
      </c>
      <c r="AZ141" s="44">
        <f>AZ138+AZ139-AZ140</f>
        <v/>
      </c>
      <c r="BA141" s="44">
        <f>BA138+BA139-BA140</f>
        <v/>
      </c>
      <c r="BB141" s="44">
        <f>BB138+BB139-BB140</f>
        <v/>
      </c>
      <c r="BC141" s="44">
        <f>BC138+BC139-BC140</f>
        <v/>
      </c>
      <c r="BD141" s="44">
        <f>BD138+BD139-BD140</f>
        <v/>
      </c>
      <c r="BE141" s="44">
        <f>BE138+BE139-BE140</f>
        <v/>
      </c>
      <c r="BF141" s="44">
        <f>BF138+BF139-BF140</f>
        <v/>
      </c>
      <c r="BG141" s="44">
        <f>BG138+BG139-BG140</f>
        <v/>
      </c>
      <c r="BH141" s="44">
        <f>BH138+BH139-BH140</f>
        <v/>
      </c>
      <c r="BI141" s="44">
        <f>BI138+BI139-BI140</f>
        <v/>
      </c>
      <c r="BJ141" s="44">
        <f>BJ138+BJ139-BJ140</f>
        <v/>
      </c>
    </row>
    <row r="142">
      <c r="A142" s="4" t="inlineStr">
        <is>
          <t>South Africa: SME: Growth: opening</t>
        </is>
      </c>
      <c r="B142" s="17" t="inlineStr">
        <is>
          <t>workspaces</t>
        </is>
      </c>
      <c r="C142" s="41">
        <f>0</f>
        <v/>
      </c>
      <c r="D142" s="41">
        <f>C146</f>
        <v/>
      </c>
      <c r="E142" s="41">
        <f>D146</f>
        <v/>
      </c>
      <c r="F142" s="41">
        <f>E146</f>
        <v/>
      </c>
      <c r="G142" s="41">
        <f>F146</f>
        <v/>
      </c>
      <c r="H142" s="41">
        <f>G146</f>
        <v/>
      </c>
      <c r="I142" s="41">
        <f>H146</f>
        <v/>
      </c>
      <c r="J142" s="41">
        <f>I146</f>
        <v/>
      </c>
      <c r="K142" s="41">
        <f>J146</f>
        <v/>
      </c>
      <c r="L142" s="41">
        <f>K146</f>
        <v/>
      </c>
      <c r="M142" s="41">
        <f>L146</f>
        <v/>
      </c>
      <c r="N142" s="41">
        <f>M146</f>
        <v/>
      </c>
      <c r="O142" s="41">
        <f>N146</f>
        <v/>
      </c>
      <c r="P142" s="41">
        <f>O146</f>
        <v/>
      </c>
      <c r="Q142" s="41">
        <f>P146</f>
        <v/>
      </c>
      <c r="R142" s="41">
        <f>Q146</f>
        <v/>
      </c>
      <c r="S142" s="41">
        <f>R146</f>
        <v/>
      </c>
      <c r="T142" s="41">
        <f>S146</f>
        <v/>
      </c>
      <c r="U142" s="41">
        <f>T146</f>
        <v/>
      </c>
      <c r="V142" s="41">
        <f>U146</f>
        <v/>
      </c>
      <c r="W142" s="41">
        <f>V146</f>
        <v/>
      </c>
      <c r="X142" s="41">
        <f>W146</f>
        <v/>
      </c>
      <c r="Y142" s="41">
        <f>X146</f>
        <v/>
      </c>
      <c r="Z142" s="41">
        <f>Y146</f>
        <v/>
      </c>
      <c r="AA142" s="41">
        <f>Z146</f>
        <v/>
      </c>
      <c r="AB142" s="41">
        <f>AA146</f>
        <v/>
      </c>
      <c r="AC142" s="41">
        <f>AB146</f>
        <v/>
      </c>
      <c r="AD142" s="41">
        <f>AC146</f>
        <v/>
      </c>
      <c r="AE142" s="41">
        <f>AD146</f>
        <v/>
      </c>
      <c r="AF142" s="41">
        <f>AE146</f>
        <v/>
      </c>
      <c r="AG142" s="41">
        <f>AF146</f>
        <v/>
      </c>
      <c r="AH142" s="41">
        <f>AG146</f>
        <v/>
      </c>
      <c r="AI142" s="41">
        <f>AH146</f>
        <v/>
      </c>
      <c r="AJ142" s="41">
        <f>AI146</f>
        <v/>
      </c>
      <c r="AK142" s="41">
        <f>AJ146</f>
        <v/>
      </c>
      <c r="AL142" s="41">
        <f>AK146</f>
        <v/>
      </c>
      <c r="AM142" s="41">
        <f>AL146</f>
        <v/>
      </c>
      <c r="AN142" s="41">
        <f>AM146</f>
        <v/>
      </c>
      <c r="AO142" s="41">
        <f>AN146</f>
        <v/>
      </c>
      <c r="AP142" s="41">
        <f>AO146</f>
        <v/>
      </c>
      <c r="AQ142" s="41">
        <f>AP146</f>
        <v/>
      </c>
      <c r="AR142" s="41">
        <f>AQ146</f>
        <v/>
      </c>
      <c r="AS142" s="41">
        <f>AR146</f>
        <v/>
      </c>
      <c r="AT142" s="41">
        <f>AS146</f>
        <v/>
      </c>
      <c r="AU142" s="41">
        <f>AT146</f>
        <v/>
      </c>
      <c r="AV142" s="41">
        <f>AU146</f>
        <v/>
      </c>
      <c r="AW142" s="41">
        <f>AV146</f>
        <v/>
      </c>
      <c r="AX142" s="41">
        <f>AW146</f>
        <v/>
      </c>
      <c r="AY142" s="41">
        <f>AX146</f>
        <v/>
      </c>
      <c r="AZ142" s="41">
        <f>AY146</f>
        <v/>
      </c>
      <c r="BA142" s="41">
        <f>AZ146</f>
        <v/>
      </c>
      <c r="BB142" s="41">
        <f>BA146</f>
        <v/>
      </c>
      <c r="BC142" s="41">
        <f>BB146</f>
        <v/>
      </c>
      <c r="BD142" s="41">
        <f>BC146</f>
        <v/>
      </c>
      <c r="BE142" s="41">
        <f>BD146</f>
        <v/>
      </c>
      <c r="BF142" s="41">
        <f>BE146</f>
        <v/>
      </c>
      <c r="BG142" s="41">
        <f>BF146</f>
        <v/>
      </c>
      <c r="BH142" s="41">
        <f>BG146</f>
        <v/>
      </c>
      <c r="BI142" s="41">
        <f>BH146</f>
        <v/>
      </c>
      <c r="BJ142" s="41">
        <f>BI146</f>
        <v/>
      </c>
    </row>
    <row r="143">
      <c r="A143" s="4" t="inlineStr">
        <is>
          <t>South Africa: SME: Growth: new</t>
        </is>
      </c>
      <c r="B143" s="17" t="inlineStr">
        <is>
          <t>workspaces</t>
        </is>
      </c>
      <c r="C143" s="41">
        <f>C114*(1-Assumptions!$B$126)+C125*Assumptions!$B$27</f>
        <v/>
      </c>
      <c r="D143" s="41">
        <f>D114*(1-Assumptions!$B$126)+D125*Assumptions!$B$27</f>
        <v/>
      </c>
      <c r="E143" s="41">
        <f>E114*(1-Assumptions!$B$126)+E125*Assumptions!$B$27</f>
        <v/>
      </c>
      <c r="F143" s="41">
        <f>F114*(1-Assumptions!$B$126)+F125*Assumptions!$B$27</f>
        <v/>
      </c>
      <c r="G143" s="41">
        <f>G114*(1-Assumptions!$B$126)+G125*Assumptions!$B$27</f>
        <v/>
      </c>
      <c r="H143" s="41">
        <f>H114*(1-Assumptions!$B$126)+H125*Assumptions!$B$27</f>
        <v/>
      </c>
      <c r="I143" s="41">
        <f>I114*(1-Assumptions!$B$126)+I125*Assumptions!$B$27</f>
        <v/>
      </c>
      <c r="J143" s="41">
        <f>J114*(1-Assumptions!$B$126)+J125*Assumptions!$B$27</f>
        <v/>
      </c>
      <c r="K143" s="41">
        <f>K114*(1-Assumptions!$B$126)+K125*Assumptions!$B$27</f>
        <v/>
      </c>
      <c r="L143" s="41">
        <f>L114*(1-Assumptions!$B$126)+L125*Assumptions!$B$27</f>
        <v/>
      </c>
      <c r="M143" s="41">
        <f>M114*(1-Assumptions!$B$126)+M125*Assumptions!$B$27</f>
        <v/>
      </c>
      <c r="N143" s="41">
        <f>N114*(1-Assumptions!$B$126)+N125*Assumptions!$B$27</f>
        <v/>
      </c>
      <c r="O143" s="41">
        <f>O114*(1-Assumptions!$B$126)+O125*Assumptions!$B$27</f>
        <v/>
      </c>
      <c r="P143" s="41">
        <f>P114*(1-Assumptions!$B$126)+P125*Assumptions!$B$27</f>
        <v/>
      </c>
      <c r="Q143" s="41">
        <f>Q114*(1-Assumptions!$B$126)+Q125*Assumptions!$B$27</f>
        <v/>
      </c>
      <c r="R143" s="41">
        <f>R114*(1-Assumptions!$B$126)+R125*Assumptions!$B$27</f>
        <v/>
      </c>
      <c r="S143" s="41">
        <f>S114*(1-Assumptions!$B$126)+S125*Assumptions!$B$27</f>
        <v/>
      </c>
      <c r="T143" s="41">
        <f>T114*(1-Assumptions!$B$126)+T125*Assumptions!$B$27</f>
        <v/>
      </c>
      <c r="U143" s="41">
        <f>U114*(1-Assumptions!$B$126)+U125*Assumptions!$B$27</f>
        <v/>
      </c>
      <c r="V143" s="41">
        <f>V114*(1-Assumptions!$B$126)+V125*Assumptions!$B$27</f>
        <v/>
      </c>
      <c r="W143" s="41">
        <f>W114*(1-Assumptions!$B$126)+W125*Assumptions!$B$27</f>
        <v/>
      </c>
      <c r="X143" s="41">
        <f>X114*(1-Assumptions!$B$126)+X125*Assumptions!$B$27</f>
        <v/>
      </c>
      <c r="Y143" s="41">
        <f>Y114*(1-Assumptions!$B$126)+Y125*Assumptions!$B$27</f>
        <v/>
      </c>
      <c r="Z143" s="41">
        <f>Z114*(1-Assumptions!$B$126)+Z125*Assumptions!$B$27</f>
        <v/>
      </c>
      <c r="AA143" s="41">
        <f>AA114*(1-Assumptions!$B$126)+AA125*Assumptions!$B$27</f>
        <v/>
      </c>
      <c r="AB143" s="41">
        <f>AB114*(1-Assumptions!$B$126)+AB125*Assumptions!$B$27</f>
        <v/>
      </c>
      <c r="AC143" s="41">
        <f>AC114*(1-Assumptions!$B$126)+AC125*Assumptions!$B$27</f>
        <v/>
      </c>
      <c r="AD143" s="41">
        <f>AD114*(1-Assumptions!$B$126)+AD125*Assumptions!$B$27</f>
        <v/>
      </c>
      <c r="AE143" s="41">
        <f>AE114*(1-Assumptions!$B$126)+AE125*Assumptions!$B$27</f>
        <v/>
      </c>
      <c r="AF143" s="41">
        <f>AF114*(1-Assumptions!$B$126)+AF125*Assumptions!$B$27</f>
        <v/>
      </c>
      <c r="AG143" s="41">
        <f>AG114*(1-Assumptions!$B$126)+AG125*Assumptions!$B$27</f>
        <v/>
      </c>
      <c r="AH143" s="41">
        <f>AH114*(1-Assumptions!$B$126)+AH125*Assumptions!$B$27</f>
        <v/>
      </c>
      <c r="AI143" s="41">
        <f>AI114*(1-Assumptions!$B$126)+AI125*Assumptions!$B$27</f>
        <v/>
      </c>
      <c r="AJ143" s="41">
        <f>AJ114*(1-Assumptions!$B$126)+AJ125*Assumptions!$B$27</f>
        <v/>
      </c>
      <c r="AK143" s="41">
        <f>AK114*(1-Assumptions!$B$126)+AK125*Assumptions!$B$27</f>
        <v/>
      </c>
      <c r="AL143" s="41">
        <f>AL114*(1-Assumptions!$B$126)+AL125*Assumptions!$B$27</f>
        <v/>
      </c>
      <c r="AM143" s="41">
        <f>AM114*(1-Assumptions!$B$126)+AM125*Assumptions!$B$27</f>
        <v/>
      </c>
      <c r="AN143" s="41">
        <f>AN114*(1-Assumptions!$B$126)+AN125*Assumptions!$B$27</f>
        <v/>
      </c>
      <c r="AO143" s="41">
        <f>AO114*(1-Assumptions!$B$126)+AO125*Assumptions!$B$27</f>
        <v/>
      </c>
      <c r="AP143" s="41">
        <f>AP114*(1-Assumptions!$B$126)+AP125*Assumptions!$B$27</f>
        <v/>
      </c>
      <c r="AQ143" s="41">
        <f>AQ114*(1-Assumptions!$B$126)+AQ125*Assumptions!$B$27</f>
        <v/>
      </c>
      <c r="AR143" s="41">
        <f>AR114*(1-Assumptions!$B$126)+AR125*Assumptions!$B$27</f>
        <v/>
      </c>
      <c r="AS143" s="41">
        <f>AS114*(1-Assumptions!$B$126)+AS125*Assumptions!$B$27</f>
        <v/>
      </c>
      <c r="AT143" s="41">
        <f>AT114*(1-Assumptions!$B$126)+AT125*Assumptions!$B$27</f>
        <v/>
      </c>
      <c r="AU143" s="41">
        <f>AU114*(1-Assumptions!$B$126)+AU125*Assumptions!$B$27</f>
        <v/>
      </c>
      <c r="AV143" s="41">
        <f>AV114*(1-Assumptions!$B$126)+AV125*Assumptions!$B$27</f>
        <v/>
      </c>
      <c r="AW143" s="41">
        <f>AW114*(1-Assumptions!$B$126)+AW125*Assumptions!$B$27</f>
        <v/>
      </c>
      <c r="AX143" s="41">
        <f>AX114*(1-Assumptions!$B$126)+AX125*Assumptions!$B$27</f>
        <v/>
      </c>
      <c r="AY143" s="41">
        <f>AY114*(1-Assumptions!$B$126)+AY125*Assumptions!$B$27</f>
        <v/>
      </c>
      <c r="AZ143" s="41">
        <f>AZ114*(1-Assumptions!$B$126)+AZ125*Assumptions!$B$27</f>
        <v/>
      </c>
      <c r="BA143" s="41">
        <f>BA114*(1-Assumptions!$B$126)+BA125*Assumptions!$B$27</f>
        <v/>
      </c>
      <c r="BB143" s="41">
        <f>BB114*(1-Assumptions!$B$126)+BB125*Assumptions!$B$27</f>
        <v/>
      </c>
      <c r="BC143" s="41">
        <f>BC114*(1-Assumptions!$B$126)+BC125*Assumptions!$B$27</f>
        <v/>
      </c>
      <c r="BD143" s="41">
        <f>BD114*(1-Assumptions!$B$126)+BD125*Assumptions!$B$27</f>
        <v/>
      </c>
      <c r="BE143" s="41">
        <f>BE114*(1-Assumptions!$B$126)+BE125*Assumptions!$B$27</f>
        <v/>
      </c>
      <c r="BF143" s="41">
        <f>BF114*(1-Assumptions!$B$126)+BF125*Assumptions!$B$27</f>
        <v/>
      </c>
      <c r="BG143" s="41">
        <f>BG114*(1-Assumptions!$B$126)+BG125*Assumptions!$B$27</f>
        <v/>
      </c>
      <c r="BH143" s="41">
        <f>BH114*(1-Assumptions!$B$126)+BH125*Assumptions!$B$27</f>
        <v/>
      </c>
      <c r="BI143" s="41">
        <f>BI114*(1-Assumptions!$B$126)+BI125*Assumptions!$B$27</f>
        <v/>
      </c>
      <c r="BJ143" s="41">
        <f>BJ114*(1-Assumptions!$B$126)+BJ125*Assumptions!$B$27</f>
        <v/>
      </c>
    </row>
    <row r="144">
      <c r="A144" s="4" t="inlineStr">
        <is>
          <t>South Africa: SME: Growth: churned</t>
        </is>
      </c>
      <c r="B144" s="17" t="inlineStr">
        <is>
          <t>workspaces</t>
        </is>
      </c>
      <c r="C144" s="41">
        <f>C142*Assumptions!$B$134*Assumptions!$B$50*Assumptions!$B$35</f>
        <v/>
      </c>
      <c r="D144" s="41">
        <f>D142*Assumptions!$B$134*Assumptions!$B$50*Assumptions!$B$35</f>
        <v/>
      </c>
      <c r="E144" s="41">
        <f>E142*Assumptions!$B$134*Assumptions!$B$50*Assumptions!$B$35</f>
        <v/>
      </c>
      <c r="F144" s="41">
        <f>F142*Assumptions!$B$134*Assumptions!$B$50*Assumptions!$B$35</f>
        <v/>
      </c>
      <c r="G144" s="41">
        <f>G142*Assumptions!$B$134*Assumptions!$B$50*Assumptions!$B$35</f>
        <v/>
      </c>
      <c r="H144" s="41">
        <f>H142*Assumptions!$B$134*Assumptions!$B$50*Assumptions!$B$35</f>
        <v/>
      </c>
      <c r="I144" s="41">
        <f>I142*Assumptions!$B$134*Assumptions!$B$50*Assumptions!$B$35</f>
        <v/>
      </c>
      <c r="J144" s="41">
        <f>J142*Assumptions!$B$134*Assumptions!$B$50*Assumptions!$B$35</f>
        <v/>
      </c>
      <c r="K144" s="41">
        <f>K142*Assumptions!$B$134*Assumptions!$B$50*Assumptions!$B$35</f>
        <v/>
      </c>
      <c r="L144" s="41">
        <f>L142*Assumptions!$B$134*Assumptions!$B$50*Assumptions!$B$35</f>
        <v/>
      </c>
      <c r="M144" s="41">
        <f>M142*Assumptions!$B$134*Assumptions!$B$50*Assumptions!$B$35</f>
        <v/>
      </c>
      <c r="N144" s="41">
        <f>N142*Assumptions!$B$134*Assumptions!$B$50*Assumptions!$B$35</f>
        <v/>
      </c>
      <c r="O144" s="41">
        <f>O142*Assumptions!$B$134*Assumptions!$B$50*Assumptions!$B$35</f>
        <v/>
      </c>
      <c r="P144" s="41">
        <f>P142*Assumptions!$B$134*Assumptions!$B$50*Assumptions!$B$35</f>
        <v/>
      </c>
      <c r="Q144" s="41">
        <f>Q142*Assumptions!$B$134*Assumptions!$B$50*Assumptions!$B$35</f>
        <v/>
      </c>
      <c r="R144" s="41">
        <f>R142*Assumptions!$B$134*Assumptions!$B$50*Assumptions!$B$35</f>
        <v/>
      </c>
      <c r="S144" s="41">
        <f>S142*Assumptions!$B$134*Assumptions!$B$50*Assumptions!$B$35</f>
        <v/>
      </c>
      <c r="T144" s="41">
        <f>T142*Assumptions!$B$134*Assumptions!$B$50*Assumptions!$B$35</f>
        <v/>
      </c>
      <c r="U144" s="41">
        <f>U142*Assumptions!$B$134*Assumptions!$B$50*Assumptions!$B$35</f>
        <v/>
      </c>
      <c r="V144" s="41">
        <f>V142*Assumptions!$B$134*Assumptions!$B$50*Assumptions!$B$35</f>
        <v/>
      </c>
      <c r="W144" s="41">
        <f>W142*Assumptions!$B$134*Assumptions!$B$50*Assumptions!$B$35</f>
        <v/>
      </c>
      <c r="X144" s="41">
        <f>X142*Assumptions!$B$134*Assumptions!$B$50*Assumptions!$B$35</f>
        <v/>
      </c>
      <c r="Y144" s="41">
        <f>Y142*Assumptions!$B$134*Assumptions!$B$50*Assumptions!$B$35</f>
        <v/>
      </c>
      <c r="Z144" s="41">
        <f>Z142*Assumptions!$B$134*Assumptions!$B$50*Assumptions!$B$35</f>
        <v/>
      </c>
      <c r="AA144" s="41">
        <f>AA142*Assumptions!$B$134*Assumptions!$B$50*Assumptions!$B$35</f>
        <v/>
      </c>
      <c r="AB144" s="41">
        <f>AB142*Assumptions!$B$134*Assumptions!$B$50*Assumptions!$B$35</f>
        <v/>
      </c>
      <c r="AC144" s="41">
        <f>AC142*Assumptions!$B$134*Assumptions!$B$50*Assumptions!$B$35</f>
        <v/>
      </c>
      <c r="AD144" s="41">
        <f>AD142*Assumptions!$B$134*Assumptions!$B$50*Assumptions!$B$35</f>
        <v/>
      </c>
      <c r="AE144" s="41">
        <f>AE142*Assumptions!$B$134*Assumptions!$B$50*Assumptions!$B$35</f>
        <v/>
      </c>
      <c r="AF144" s="41">
        <f>AF142*Assumptions!$B$134*Assumptions!$B$50*Assumptions!$B$35</f>
        <v/>
      </c>
      <c r="AG144" s="41">
        <f>AG142*Assumptions!$B$134*Assumptions!$B$50*Assumptions!$B$35</f>
        <v/>
      </c>
      <c r="AH144" s="41">
        <f>AH142*Assumptions!$B$134*Assumptions!$B$50*Assumptions!$B$35</f>
        <v/>
      </c>
      <c r="AI144" s="41">
        <f>AI142*Assumptions!$B$134*Assumptions!$B$50*Assumptions!$B$35</f>
        <v/>
      </c>
      <c r="AJ144" s="41">
        <f>AJ142*Assumptions!$B$134*Assumptions!$B$50*Assumptions!$B$35</f>
        <v/>
      </c>
      <c r="AK144" s="41">
        <f>AK142*Assumptions!$B$134*Assumptions!$B$50*Assumptions!$B$35</f>
        <v/>
      </c>
      <c r="AL144" s="41">
        <f>AL142*Assumptions!$B$134*Assumptions!$B$50*Assumptions!$B$35</f>
        <v/>
      </c>
      <c r="AM144" s="41">
        <f>AM142*Assumptions!$B$134*Assumptions!$B$50*Assumptions!$B$35</f>
        <v/>
      </c>
      <c r="AN144" s="41">
        <f>AN142*Assumptions!$B$134*Assumptions!$B$50*Assumptions!$B$35</f>
        <v/>
      </c>
      <c r="AO144" s="41">
        <f>AO142*Assumptions!$B$134*Assumptions!$B$50*Assumptions!$B$35</f>
        <v/>
      </c>
      <c r="AP144" s="41">
        <f>AP142*Assumptions!$B$134*Assumptions!$B$50*Assumptions!$B$35</f>
        <v/>
      </c>
      <c r="AQ144" s="41">
        <f>AQ142*Assumptions!$B$134*Assumptions!$B$50*Assumptions!$B$35</f>
        <v/>
      </c>
      <c r="AR144" s="41">
        <f>AR142*Assumptions!$B$134*Assumptions!$B$50*Assumptions!$B$35</f>
        <v/>
      </c>
      <c r="AS144" s="41">
        <f>AS142*Assumptions!$B$134*Assumptions!$B$50*Assumptions!$B$35</f>
        <v/>
      </c>
      <c r="AT144" s="41">
        <f>AT142*Assumptions!$B$134*Assumptions!$B$50*Assumptions!$B$35</f>
        <v/>
      </c>
      <c r="AU144" s="41">
        <f>AU142*Assumptions!$B$134*Assumptions!$B$50*Assumptions!$B$35</f>
        <v/>
      </c>
      <c r="AV144" s="41">
        <f>AV142*Assumptions!$B$134*Assumptions!$B$50*Assumptions!$B$35</f>
        <v/>
      </c>
      <c r="AW144" s="41">
        <f>AW142*Assumptions!$B$134*Assumptions!$B$50*Assumptions!$B$35</f>
        <v/>
      </c>
      <c r="AX144" s="41">
        <f>AX142*Assumptions!$B$134*Assumptions!$B$50*Assumptions!$B$35</f>
        <v/>
      </c>
      <c r="AY144" s="41">
        <f>AY142*Assumptions!$B$134*Assumptions!$B$50*Assumptions!$B$35</f>
        <v/>
      </c>
      <c r="AZ144" s="41">
        <f>AZ142*Assumptions!$B$134*Assumptions!$B$50*Assumptions!$B$35</f>
        <v/>
      </c>
      <c r="BA144" s="41">
        <f>BA142*Assumptions!$B$134*Assumptions!$B$50*Assumptions!$B$35</f>
        <v/>
      </c>
      <c r="BB144" s="41">
        <f>BB142*Assumptions!$B$134*Assumptions!$B$50*Assumptions!$B$35</f>
        <v/>
      </c>
      <c r="BC144" s="41">
        <f>BC142*Assumptions!$B$134*Assumptions!$B$50*Assumptions!$B$35</f>
        <v/>
      </c>
      <c r="BD144" s="41">
        <f>BD142*Assumptions!$B$134*Assumptions!$B$50*Assumptions!$B$35</f>
        <v/>
      </c>
      <c r="BE144" s="41">
        <f>BE142*Assumptions!$B$134*Assumptions!$B$50*Assumptions!$B$35</f>
        <v/>
      </c>
      <c r="BF144" s="41">
        <f>BF142*Assumptions!$B$134*Assumptions!$B$50*Assumptions!$B$35</f>
        <v/>
      </c>
      <c r="BG144" s="41">
        <f>BG142*Assumptions!$B$134*Assumptions!$B$50*Assumptions!$B$35</f>
        <v/>
      </c>
      <c r="BH144" s="41">
        <f>BH142*Assumptions!$B$134*Assumptions!$B$50*Assumptions!$B$35</f>
        <v/>
      </c>
      <c r="BI144" s="41">
        <f>BI142*Assumptions!$B$134*Assumptions!$B$50*Assumptions!$B$35</f>
        <v/>
      </c>
      <c r="BJ144" s="41">
        <f>BJ142*Assumptions!$B$134*Assumptions!$B$50*Assumptions!$B$35</f>
        <v/>
      </c>
    </row>
    <row r="145">
      <c r="A145" s="4" t="inlineStr">
        <is>
          <t>South Africa: SME: Growth: upgraded out</t>
        </is>
      </c>
      <c r="B145" s="17" t="inlineStr">
        <is>
          <t>workspaces</t>
        </is>
      </c>
      <c r="C145" s="41">
        <f>C142*Assumptions!$B$128</f>
        <v/>
      </c>
      <c r="D145" s="41">
        <f>D142*Assumptions!$B$128</f>
        <v/>
      </c>
      <c r="E145" s="41">
        <f>E142*Assumptions!$B$128</f>
        <v/>
      </c>
      <c r="F145" s="41">
        <f>F142*Assumptions!$B$128</f>
        <v/>
      </c>
      <c r="G145" s="41">
        <f>G142*Assumptions!$B$128</f>
        <v/>
      </c>
      <c r="H145" s="41">
        <f>H142*Assumptions!$B$128</f>
        <v/>
      </c>
      <c r="I145" s="41">
        <f>I142*Assumptions!$B$128</f>
        <v/>
      </c>
      <c r="J145" s="41">
        <f>J142*Assumptions!$B$128</f>
        <v/>
      </c>
      <c r="K145" s="41">
        <f>K142*Assumptions!$B$128</f>
        <v/>
      </c>
      <c r="L145" s="41">
        <f>L142*Assumptions!$B$128</f>
        <v/>
      </c>
      <c r="M145" s="41">
        <f>M142*Assumptions!$B$128</f>
        <v/>
      </c>
      <c r="N145" s="41">
        <f>N142*Assumptions!$B$128</f>
        <v/>
      </c>
      <c r="O145" s="41">
        <f>O142*Assumptions!$B$128</f>
        <v/>
      </c>
      <c r="P145" s="41">
        <f>P142*Assumptions!$B$128</f>
        <v/>
      </c>
      <c r="Q145" s="41">
        <f>Q142*Assumptions!$B$128</f>
        <v/>
      </c>
      <c r="R145" s="41">
        <f>R142*Assumptions!$B$128</f>
        <v/>
      </c>
      <c r="S145" s="41">
        <f>S142*Assumptions!$B$128</f>
        <v/>
      </c>
      <c r="T145" s="41">
        <f>T142*Assumptions!$B$128</f>
        <v/>
      </c>
      <c r="U145" s="41">
        <f>U142*Assumptions!$B$128</f>
        <v/>
      </c>
      <c r="V145" s="41">
        <f>V142*Assumptions!$B$128</f>
        <v/>
      </c>
      <c r="W145" s="41">
        <f>W142*Assumptions!$B$128</f>
        <v/>
      </c>
      <c r="X145" s="41">
        <f>X142*Assumptions!$B$128</f>
        <v/>
      </c>
      <c r="Y145" s="41">
        <f>Y142*Assumptions!$B$128</f>
        <v/>
      </c>
      <c r="Z145" s="41">
        <f>Z142*Assumptions!$B$128</f>
        <v/>
      </c>
      <c r="AA145" s="41">
        <f>AA142*Assumptions!$B$128</f>
        <v/>
      </c>
      <c r="AB145" s="41">
        <f>AB142*Assumptions!$B$128</f>
        <v/>
      </c>
      <c r="AC145" s="41">
        <f>AC142*Assumptions!$B$128</f>
        <v/>
      </c>
      <c r="AD145" s="41">
        <f>AD142*Assumptions!$B$128</f>
        <v/>
      </c>
      <c r="AE145" s="41">
        <f>AE142*Assumptions!$B$128</f>
        <v/>
      </c>
      <c r="AF145" s="41">
        <f>AF142*Assumptions!$B$128</f>
        <v/>
      </c>
      <c r="AG145" s="41">
        <f>AG142*Assumptions!$B$128</f>
        <v/>
      </c>
      <c r="AH145" s="41">
        <f>AH142*Assumptions!$B$128</f>
        <v/>
      </c>
      <c r="AI145" s="41">
        <f>AI142*Assumptions!$B$128</f>
        <v/>
      </c>
      <c r="AJ145" s="41">
        <f>AJ142*Assumptions!$B$128</f>
        <v/>
      </c>
      <c r="AK145" s="41">
        <f>AK142*Assumptions!$B$128</f>
        <v/>
      </c>
      <c r="AL145" s="41">
        <f>AL142*Assumptions!$B$128</f>
        <v/>
      </c>
      <c r="AM145" s="41">
        <f>AM142*Assumptions!$B$128</f>
        <v/>
      </c>
      <c r="AN145" s="41">
        <f>AN142*Assumptions!$B$128</f>
        <v/>
      </c>
      <c r="AO145" s="41">
        <f>AO142*Assumptions!$B$128</f>
        <v/>
      </c>
      <c r="AP145" s="41">
        <f>AP142*Assumptions!$B$128</f>
        <v/>
      </c>
      <c r="AQ145" s="41">
        <f>AQ142*Assumptions!$B$128</f>
        <v/>
      </c>
      <c r="AR145" s="41">
        <f>AR142*Assumptions!$B$128</f>
        <v/>
      </c>
      <c r="AS145" s="41">
        <f>AS142*Assumptions!$B$128</f>
        <v/>
      </c>
      <c r="AT145" s="41">
        <f>AT142*Assumptions!$B$128</f>
        <v/>
      </c>
      <c r="AU145" s="41">
        <f>AU142*Assumptions!$B$128</f>
        <v/>
      </c>
      <c r="AV145" s="41">
        <f>AV142*Assumptions!$B$128</f>
        <v/>
      </c>
      <c r="AW145" s="41">
        <f>AW142*Assumptions!$B$128</f>
        <v/>
      </c>
      <c r="AX145" s="41">
        <f>AX142*Assumptions!$B$128</f>
        <v/>
      </c>
      <c r="AY145" s="41">
        <f>AY142*Assumptions!$B$128</f>
        <v/>
      </c>
      <c r="AZ145" s="41">
        <f>AZ142*Assumptions!$B$128</f>
        <v/>
      </c>
      <c r="BA145" s="41">
        <f>BA142*Assumptions!$B$128</f>
        <v/>
      </c>
      <c r="BB145" s="41">
        <f>BB142*Assumptions!$B$128</f>
        <v/>
      </c>
      <c r="BC145" s="41">
        <f>BC142*Assumptions!$B$128</f>
        <v/>
      </c>
      <c r="BD145" s="41">
        <f>BD142*Assumptions!$B$128</f>
        <v/>
      </c>
      <c r="BE145" s="41">
        <f>BE142*Assumptions!$B$128</f>
        <v/>
      </c>
      <c r="BF145" s="41">
        <f>BF142*Assumptions!$B$128</f>
        <v/>
      </c>
      <c r="BG145" s="41">
        <f>BG142*Assumptions!$B$128</f>
        <v/>
      </c>
      <c r="BH145" s="41">
        <f>BH142*Assumptions!$B$128</f>
        <v/>
      </c>
      <c r="BI145" s="41">
        <f>BI142*Assumptions!$B$128</f>
        <v/>
      </c>
      <c r="BJ145" s="41">
        <f>BJ142*Assumptions!$B$128</f>
        <v/>
      </c>
    </row>
    <row r="146">
      <c r="A146" s="3" t="inlineStr">
        <is>
          <t>South Africa: SME: Growth: closing</t>
        </is>
      </c>
      <c r="B146" s="17" t="inlineStr">
        <is>
          <t>workspaces</t>
        </is>
      </c>
      <c r="C146" s="44">
        <f>C142+C143-C144-C145</f>
        <v/>
      </c>
      <c r="D146" s="44">
        <f>D142+D143-D144-D145</f>
        <v/>
      </c>
      <c r="E146" s="44">
        <f>E142+E143-E144-E145</f>
        <v/>
      </c>
      <c r="F146" s="44">
        <f>F142+F143-F144-F145</f>
        <v/>
      </c>
      <c r="G146" s="44">
        <f>G142+G143-G144-G145</f>
        <v/>
      </c>
      <c r="H146" s="44">
        <f>H142+H143-H144-H145</f>
        <v/>
      </c>
      <c r="I146" s="44">
        <f>I142+I143-I144-I145</f>
        <v/>
      </c>
      <c r="J146" s="44">
        <f>J142+J143-J144-J145</f>
        <v/>
      </c>
      <c r="K146" s="44">
        <f>K142+K143-K144-K145</f>
        <v/>
      </c>
      <c r="L146" s="44">
        <f>L142+L143-L144-L145</f>
        <v/>
      </c>
      <c r="M146" s="44">
        <f>M142+M143-M144-M145</f>
        <v/>
      </c>
      <c r="N146" s="44">
        <f>N142+N143-N144-N145</f>
        <v/>
      </c>
      <c r="O146" s="44">
        <f>O142+O143-O144-O145</f>
        <v/>
      </c>
      <c r="P146" s="44">
        <f>P142+P143-P144-P145</f>
        <v/>
      </c>
      <c r="Q146" s="44">
        <f>Q142+Q143-Q144-Q145</f>
        <v/>
      </c>
      <c r="R146" s="44">
        <f>R142+R143-R144-R145</f>
        <v/>
      </c>
      <c r="S146" s="44">
        <f>S142+S143-S144-S145</f>
        <v/>
      </c>
      <c r="T146" s="44">
        <f>T142+T143-T144-T145</f>
        <v/>
      </c>
      <c r="U146" s="44">
        <f>U142+U143-U144-U145</f>
        <v/>
      </c>
      <c r="V146" s="44">
        <f>V142+V143-V144-V145</f>
        <v/>
      </c>
      <c r="W146" s="44">
        <f>W142+W143-W144-W145</f>
        <v/>
      </c>
      <c r="X146" s="44">
        <f>X142+X143-X144-X145</f>
        <v/>
      </c>
      <c r="Y146" s="44">
        <f>Y142+Y143-Y144-Y145</f>
        <v/>
      </c>
      <c r="Z146" s="44">
        <f>Z142+Z143-Z144-Z145</f>
        <v/>
      </c>
      <c r="AA146" s="44">
        <f>AA142+AA143-AA144-AA145</f>
        <v/>
      </c>
      <c r="AB146" s="44">
        <f>AB142+AB143-AB144-AB145</f>
        <v/>
      </c>
      <c r="AC146" s="44">
        <f>AC142+AC143-AC144-AC145</f>
        <v/>
      </c>
      <c r="AD146" s="44">
        <f>AD142+AD143-AD144-AD145</f>
        <v/>
      </c>
      <c r="AE146" s="44">
        <f>AE142+AE143-AE144-AE145</f>
        <v/>
      </c>
      <c r="AF146" s="44">
        <f>AF142+AF143-AF144-AF145</f>
        <v/>
      </c>
      <c r="AG146" s="44">
        <f>AG142+AG143-AG144-AG145</f>
        <v/>
      </c>
      <c r="AH146" s="44">
        <f>AH142+AH143-AH144-AH145</f>
        <v/>
      </c>
      <c r="AI146" s="44">
        <f>AI142+AI143-AI144-AI145</f>
        <v/>
      </c>
      <c r="AJ146" s="44">
        <f>AJ142+AJ143-AJ144-AJ145</f>
        <v/>
      </c>
      <c r="AK146" s="44">
        <f>AK142+AK143-AK144-AK145</f>
        <v/>
      </c>
      <c r="AL146" s="44">
        <f>AL142+AL143-AL144-AL145</f>
        <v/>
      </c>
      <c r="AM146" s="44">
        <f>AM142+AM143-AM144-AM145</f>
        <v/>
      </c>
      <c r="AN146" s="44">
        <f>AN142+AN143-AN144-AN145</f>
        <v/>
      </c>
      <c r="AO146" s="44">
        <f>AO142+AO143-AO144-AO145</f>
        <v/>
      </c>
      <c r="AP146" s="44">
        <f>AP142+AP143-AP144-AP145</f>
        <v/>
      </c>
      <c r="AQ146" s="44">
        <f>AQ142+AQ143-AQ144-AQ145</f>
        <v/>
      </c>
      <c r="AR146" s="44">
        <f>AR142+AR143-AR144-AR145</f>
        <v/>
      </c>
      <c r="AS146" s="44">
        <f>AS142+AS143-AS144-AS145</f>
        <v/>
      </c>
      <c r="AT146" s="44">
        <f>AT142+AT143-AT144-AT145</f>
        <v/>
      </c>
      <c r="AU146" s="44">
        <f>AU142+AU143-AU144-AU145</f>
        <v/>
      </c>
      <c r="AV146" s="44">
        <f>AV142+AV143-AV144-AV145</f>
        <v/>
      </c>
      <c r="AW146" s="44">
        <f>AW142+AW143-AW144-AW145</f>
        <v/>
      </c>
      <c r="AX146" s="44">
        <f>AX142+AX143-AX144-AX145</f>
        <v/>
      </c>
      <c r="AY146" s="44">
        <f>AY142+AY143-AY144-AY145</f>
        <v/>
      </c>
      <c r="AZ146" s="44">
        <f>AZ142+AZ143-AZ144-AZ145</f>
        <v/>
      </c>
      <c r="BA146" s="44">
        <f>BA142+BA143-BA144-BA145</f>
        <v/>
      </c>
      <c r="BB146" s="44">
        <f>BB142+BB143-BB144-BB145</f>
        <v/>
      </c>
      <c r="BC146" s="44">
        <f>BC142+BC143-BC144-BC145</f>
        <v/>
      </c>
      <c r="BD146" s="44">
        <f>BD142+BD143-BD144-BD145</f>
        <v/>
      </c>
      <c r="BE146" s="44">
        <f>BE142+BE143-BE144-BE145</f>
        <v/>
      </c>
      <c r="BF146" s="44">
        <f>BF142+BF143-BF144-BF145</f>
        <v/>
      </c>
      <c r="BG146" s="44">
        <f>BG142+BG143-BG144-BG145</f>
        <v/>
      </c>
      <c r="BH146" s="44">
        <f>BH142+BH143-BH144-BH145</f>
        <v/>
      </c>
      <c r="BI146" s="44">
        <f>BI142+BI143-BI144-BI145</f>
        <v/>
      </c>
      <c r="BJ146" s="44">
        <f>BJ142+BJ143-BJ144-BJ145</f>
        <v/>
      </c>
    </row>
    <row r="147">
      <c r="A147" s="4" t="inlineStr">
        <is>
          <t>South Africa: SME: Scale (upgraded or direct): opening</t>
        </is>
      </c>
      <c r="B147" s="17" t="inlineStr">
        <is>
          <t>workspaces</t>
        </is>
      </c>
      <c r="C147" s="41">
        <f>0</f>
        <v/>
      </c>
      <c r="D147" s="41">
        <f>C150</f>
        <v/>
      </c>
      <c r="E147" s="41">
        <f>D150</f>
        <v/>
      </c>
      <c r="F147" s="41">
        <f>E150</f>
        <v/>
      </c>
      <c r="G147" s="41">
        <f>F150</f>
        <v/>
      </c>
      <c r="H147" s="41">
        <f>G150</f>
        <v/>
      </c>
      <c r="I147" s="41">
        <f>H150</f>
        <v/>
      </c>
      <c r="J147" s="41">
        <f>I150</f>
        <v/>
      </c>
      <c r="K147" s="41">
        <f>J150</f>
        <v/>
      </c>
      <c r="L147" s="41">
        <f>K150</f>
        <v/>
      </c>
      <c r="M147" s="41">
        <f>L150</f>
        <v/>
      </c>
      <c r="N147" s="41">
        <f>M150</f>
        <v/>
      </c>
      <c r="O147" s="41">
        <f>N150</f>
        <v/>
      </c>
      <c r="P147" s="41">
        <f>O150</f>
        <v/>
      </c>
      <c r="Q147" s="41">
        <f>P150</f>
        <v/>
      </c>
      <c r="R147" s="41">
        <f>Q150</f>
        <v/>
      </c>
      <c r="S147" s="41">
        <f>R150</f>
        <v/>
      </c>
      <c r="T147" s="41">
        <f>S150</f>
        <v/>
      </c>
      <c r="U147" s="41">
        <f>T150</f>
        <v/>
      </c>
      <c r="V147" s="41">
        <f>U150</f>
        <v/>
      </c>
      <c r="W147" s="41">
        <f>V150</f>
        <v/>
      </c>
      <c r="X147" s="41">
        <f>W150</f>
        <v/>
      </c>
      <c r="Y147" s="41">
        <f>X150</f>
        <v/>
      </c>
      <c r="Z147" s="41">
        <f>Y150</f>
        <v/>
      </c>
      <c r="AA147" s="41">
        <f>Z150</f>
        <v/>
      </c>
      <c r="AB147" s="41">
        <f>AA150</f>
        <v/>
      </c>
      <c r="AC147" s="41">
        <f>AB150</f>
        <v/>
      </c>
      <c r="AD147" s="41">
        <f>AC150</f>
        <v/>
      </c>
      <c r="AE147" s="41">
        <f>AD150</f>
        <v/>
      </c>
      <c r="AF147" s="41">
        <f>AE150</f>
        <v/>
      </c>
      <c r="AG147" s="41">
        <f>AF150</f>
        <v/>
      </c>
      <c r="AH147" s="41">
        <f>AG150</f>
        <v/>
      </c>
      <c r="AI147" s="41">
        <f>AH150</f>
        <v/>
      </c>
      <c r="AJ147" s="41">
        <f>AI150</f>
        <v/>
      </c>
      <c r="AK147" s="41">
        <f>AJ150</f>
        <v/>
      </c>
      <c r="AL147" s="41">
        <f>AK150</f>
        <v/>
      </c>
      <c r="AM147" s="41">
        <f>AL150</f>
        <v/>
      </c>
      <c r="AN147" s="41">
        <f>AM150</f>
        <v/>
      </c>
      <c r="AO147" s="41">
        <f>AN150</f>
        <v/>
      </c>
      <c r="AP147" s="41">
        <f>AO150</f>
        <v/>
      </c>
      <c r="AQ147" s="41">
        <f>AP150</f>
        <v/>
      </c>
      <c r="AR147" s="41">
        <f>AQ150</f>
        <v/>
      </c>
      <c r="AS147" s="41">
        <f>AR150</f>
        <v/>
      </c>
      <c r="AT147" s="41">
        <f>AS150</f>
        <v/>
      </c>
      <c r="AU147" s="41">
        <f>AT150</f>
        <v/>
      </c>
      <c r="AV147" s="41">
        <f>AU150</f>
        <v/>
      </c>
      <c r="AW147" s="41">
        <f>AV150</f>
        <v/>
      </c>
      <c r="AX147" s="41">
        <f>AW150</f>
        <v/>
      </c>
      <c r="AY147" s="41">
        <f>AX150</f>
        <v/>
      </c>
      <c r="AZ147" s="41">
        <f>AY150</f>
        <v/>
      </c>
      <c r="BA147" s="41">
        <f>AZ150</f>
        <v/>
      </c>
      <c r="BB147" s="41">
        <f>BA150</f>
        <v/>
      </c>
      <c r="BC147" s="41">
        <f>BB150</f>
        <v/>
      </c>
      <c r="BD147" s="41">
        <f>BC150</f>
        <v/>
      </c>
      <c r="BE147" s="41">
        <f>BD150</f>
        <v/>
      </c>
      <c r="BF147" s="41">
        <f>BE150</f>
        <v/>
      </c>
      <c r="BG147" s="41">
        <f>BF150</f>
        <v/>
      </c>
      <c r="BH147" s="41">
        <f>BG150</f>
        <v/>
      </c>
      <c r="BI147" s="41">
        <f>BH150</f>
        <v/>
      </c>
      <c r="BJ147" s="41">
        <f>BI150</f>
        <v/>
      </c>
    </row>
    <row r="148">
      <c r="A148" s="4" t="inlineStr">
        <is>
          <t>South Africa: SME: Scale (upgraded or direct): new</t>
        </is>
      </c>
      <c r="B148" s="17" t="inlineStr">
        <is>
          <t>workspaces</t>
        </is>
      </c>
      <c r="C148" s="41">
        <f>C114*Assumptions!$B$126+C145</f>
        <v/>
      </c>
      <c r="D148" s="41">
        <f>D114*Assumptions!$B$126+D145</f>
        <v/>
      </c>
      <c r="E148" s="41">
        <f>E114*Assumptions!$B$126+E145</f>
        <v/>
      </c>
      <c r="F148" s="41">
        <f>F114*Assumptions!$B$126+F145</f>
        <v/>
      </c>
      <c r="G148" s="41">
        <f>G114*Assumptions!$B$126+G145</f>
        <v/>
      </c>
      <c r="H148" s="41">
        <f>H114*Assumptions!$B$126+H145</f>
        <v/>
      </c>
      <c r="I148" s="41">
        <f>I114*Assumptions!$B$126+I145</f>
        <v/>
      </c>
      <c r="J148" s="41">
        <f>J114*Assumptions!$B$126+J145</f>
        <v/>
      </c>
      <c r="K148" s="41">
        <f>K114*Assumptions!$B$126+K145</f>
        <v/>
      </c>
      <c r="L148" s="41">
        <f>L114*Assumptions!$B$126+L145</f>
        <v/>
      </c>
      <c r="M148" s="41">
        <f>M114*Assumptions!$B$126+M145</f>
        <v/>
      </c>
      <c r="N148" s="41">
        <f>N114*Assumptions!$B$126+N145</f>
        <v/>
      </c>
      <c r="O148" s="41">
        <f>O114*Assumptions!$B$126+O145</f>
        <v/>
      </c>
      <c r="P148" s="41">
        <f>P114*Assumptions!$B$126+P145</f>
        <v/>
      </c>
      <c r="Q148" s="41">
        <f>Q114*Assumptions!$B$126+Q145</f>
        <v/>
      </c>
      <c r="R148" s="41">
        <f>R114*Assumptions!$B$126+R145</f>
        <v/>
      </c>
      <c r="S148" s="41">
        <f>S114*Assumptions!$B$126+S145</f>
        <v/>
      </c>
      <c r="T148" s="41">
        <f>T114*Assumptions!$B$126+T145</f>
        <v/>
      </c>
      <c r="U148" s="41">
        <f>U114*Assumptions!$B$126+U145</f>
        <v/>
      </c>
      <c r="V148" s="41">
        <f>V114*Assumptions!$B$126+V145</f>
        <v/>
      </c>
      <c r="W148" s="41">
        <f>W114*Assumptions!$B$126+W145</f>
        <v/>
      </c>
      <c r="X148" s="41">
        <f>X114*Assumptions!$B$126+X145</f>
        <v/>
      </c>
      <c r="Y148" s="41">
        <f>Y114*Assumptions!$B$126+Y145</f>
        <v/>
      </c>
      <c r="Z148" s="41">
        <f>Z114*Assumptions!$B$126+Z145</f>
        <v/>
      </c>
      <c r="AA148" s="41">
        <f>AA114*Assumptions!$B$126+AA145</f>
        <v/>
      </c>
      <c r="AB148" s="41">
        <f>AB114*Assumptions!$B$126+AB145</f>
        <v/>
      </c>
      <c r="AC148" s="41">
        <f>AC114*Assumptions!$B$126+AC145</f>
        <v/>
      </c>
      <c r="AD148" s="41">
        <f>AD114*Assumptions!$B$126+AD145</f>
        <v/>
      </c>
      <c r="AE148" s="41">
        <f>AE114*Assumptions!$B$126+AE145</f>
        <v/>
      </c>
      <c r="AF148" s="41">
        <f>AF114*Assumptions!$B$126+AF145</f>
        <v/>
      </c>
      <c r="AG148" s="41">
        <f>AG114*Assumptions!$B$126+AG145</f>
        <v/>
      </c>
      <c r="AH148" s="41">
        <f>AH114*Assumptions!$B$126+AH145</f>
        <v/>
      </c>
      <c r="AI148" s="41">
        <f>AI114*Assumptions!$B$126+AI145</f>
        <v/>
      </c>
      <c r="AJ148" s="41">
        <f>AJ114*Assumptions!$B$126+AJ145</f>
        <v/>
      </c>
      <c r="AK148" s="41">
        <f>AK114*Assumptions!$B$126+AK145</f>
        <v/>
      </c>
      <c r="AL148" s="41">
        <f>AL114*Assumptions!$B$126+AL145</f>
        <v/>
      </c>
      <c r="AM148" s="41">
        <f>AM114*Assumptions!$B$126+AM145</f>
        <v/>
      </c>
      <c r="AN148" s="41">
        <f>AN114*Assumptions!$B$126+AN145</f>
        <v/>
      </c>
      <c r="AO148" s="41">
        <f>AO114*Assumptions!$B$126+AO145</f>
        <v/>
      </c>
      <c r="AP148" s="41">
        <f>AP114*Assumptions!$B$126+AP145</f>
        <v/>
      </c>
      <c r="AQ148" s="41">
        <f>AQ114*Assumptions!$B$126+AQ145</f>
        <v/>
      </c>
      <c r="AR148" s="41">
        <f>AR114*Assumptions!$B$126+AR145</f>
        <v/>
      </c>
      <c r="AS148" s="41">
        <f>AS114*Assumptions!$B$126+AS145</f>
        <v/>
      </c>
      <c r="AT148" s="41">
        <f>AT114*Assumptions!$B$126+AT145</f>
        <v/>
      </c>
      <c r="AU148" s="41">
        <f>AU114*Assumptions!$B$126+AU145</f>
        <v/>
      </c>
      <c r="AV148" s="41">
        <f>AV114*Assumptions!$B$126+AV145</f>
        <v/>
      </c>
      <c r="AW148" s="41">
        <f>AW114*Assumptions!$B$126+AW145</f>
        <v/>
      </c>
      <c r="AX148" s="41">
        <f>AX114*Assumptions!$B$126+AX145</f>
        <v/>
      </c>
      <c r="AY148" s="41">
        <f>AY114*Assumptions!$B$126+AY145</f>
        <v/>
      </c>
      <c r="AZ148" s="41">
        <f>AZ114*Assumptions!$B$126+AZ145</f>
        <v/>
      </c>
      <c r="BA148" s="41">
        <f>BA114*Assumptions!$B$126+BA145</f>
        <v/>
      </c>
      <c r="BB148" s="41">
        <f>BB114*Assumptions!$B$126+BB145</f>
        <v/>
      </c>
      <c r="BC148" s="41">
        <f>BC114*Assumptions!$B$126+BC145</f>
        <v/>
      </c>
      <c r="BD148" s="41">
        <f>BD114*Assumptions!$B$126+BD145</f>
        <v/>
      </c>
      <c r="BE148" s="41">
        <f>BE114*Assumptions!$B$126+BE145</f>
        <v/>
      </c>
      <c r="BF148" s="41">
        <f>BF114*Assumptions!$B$126+BF145</f>
        <v/>
      </c>
      <c r="BG148" s="41">
        <f>BG114*Assumptions!$B$126+BG145</f>
        <v/>
      </c>
      <c r="BH148" s="41">
        <f>BH114*Assumptions!$B$126+BH145</f>
        <v/>
      </c>
      <c r="BI148" s="41">
        <f>BI114*Assumptions!$B$126+BI145</f>
        <v/>
      </c>
      <c r="BJ148" s="41">
        <f>BJ114*Assumptions!$B$126+BJ145</f>
        <v/>
      </c>
    </row>
    <row r="149">
      <c r="A149" s="4" t="inlineStr">
        <is>
          <t>South Africa: SME: Scale (upgraded or direct): churned</t>
        </is>
      </c>
      <c r="B149" s="17" t="inlineStr">
        <is>
          <t>workspaces</t>
        </is>
      </c>
      <c r="C149" s="41">
        <f>C147*Assumptions!$B$135*Assumptions!$B$50*Assumptions!$B$35</f>
        <v/>
      </c>
      <c r="D149" s="41">
        <f>D147*Assumptions!$B$135*Assumptions!$B$50*Assumptions!$B$35</f>
        <v/>
      </c>
      <c r="E149" s="41">
        <f>E147*Assumptions!$B$135*Assumptions!$B$50*Assumptions!$B$35</f>
        <v/>
      </c>
      <c r="F149" s="41">
        <f>F147*Assumptions!$B$135*Assumptions!$B$50*Assumptions!$B$35</f>
        <v/>
      </c>
      <c r="G149" s="41">
        <f>G147*Assumptions!$B$135*Assumptions!$B$50*Assumptions!$B$35</f>
        <v/>
      </c>
      <c r="H149" s="41">
        <f>H147*Assumptions!$B$135*Assumptions!$B$50*Assumptions!$B$35</f>
        <v/>
      </c>
      <c r="I149" s="41">
        <f>I147*Assumptions!$B$135*Assumptions!$B$50*Assumptions!$B$35</f>
        <v/>
      </c>
      <c r="J149" s="41">
        <f>J147*Assumptions!$B$135*Assumptions!$B$50*Assumptions!$B$35</f>
        <v/>
      </c>
      <c r="K149" s="41">
        <f>K147*Assumptions!$B$135*Assumptions!$B$50*Assumptions!$B$35</f>
        <v/>
      </c>
      <c r="L149" s="41">
        <f>L147*Assumptions!$B$135*Assumptions!$B$50*Assumptions!$B$35</f>
        <v/>
      </c>
      <c r="M149" s="41">
        <f>M147*Assumptions!$B$135*Assumptions!$B$50*Assumptions!$B$35</f>
        <v/>
      </c>
      <c r="N149" s="41">
        <f>N147*Assumptions!$B$135*Assumptions!$B$50*Assumptions!$B$35</f>
        <v/>
      </c>
      <c r="O149" s="41">
        <f>O147*Assumptions!$B$135*Assumptions!$B$50*Assumptions!$B$35</f>
        <v/>
      </c>
      <c r="P149" s="41">
        <f>P147*Assumptions!$B$135*Assumptions!$B$50*Assumptions!$B$35</f>
        <v/>
      </c>
      <c r="Q149" s="41">
        <f>Q147*Assumptions!$B$135*Assumptions!$B$50*Assumptions!$B$35</f>
        <v/>
      </c>
      <c r="R149" s="41">
        <f>R147*Assumptions!$B$135*Assumptions!$B$50*Assumptions!$B$35</f>
        <v/>
      </c>
      <c r="S149" s="41">
        <f>S147*Assumptions!$B$135*Assumptions!$B$50*Assumptions!$B$35</f>
        <v/>
      </c>
      <c r="T149" s="41">
        <f>T147*Assumptions!$B$135*Assumptions!$B$50*Assumptions!$B$35</f>
        <v/>
      </c>
      <c r="U149" s="41">
        <f>U147*Assumptions!$B$135*Assumptions!$B$50*Assumptions!$B$35</f>
        <v/>
      </c>
      <c r="V149" s="41">
        <f>V147*Assumptions!$B$135*Assumptions!$B$50*Assumptions!$B$35</f>
        <v/>
      </c>
      <c r="W149" s="41">
        <f>W147*Assumptions!$B$135*Assumptions!$B$50*Assumptions!$B$35</f>
        <v/>
      </c>
      <c r="X149" s="41">
        <f>X147*Assumptions!$B$135*Assumptions!$B$50*Assumptions!$B$35</f>
        <v/>
      </c>
      <c r="Y149" s="41">
        <f>Y147*Assumptions!$B$135*Assumptions!$B$50*Assumptions!$B$35</f>
        <v/>
      </c>
      <c r="Z149" s="41">
        <f>Z147*Assumptions!$B$135*Assumptions!$B$50*Assumptions!$B$35</f>
        <v/>
      </c>
      <c r="AA149" s="41">
        <f>AA147*Assumptions!$B$135*Assumptions!$B$50*Assumptions!$B$35</f>
        <v/>
      </c>
      <c r="AB149" s="41">
        <f>AB147*Assumptions!$B$135*Assumptions!$B$50*Assumptions!$B$35</f>
        <v/>
      </c>
      <c r="AC149" s="41">
        <f>AC147*Assumptions!$B$135*Assumptions!$B$50*Assumptions!$B$35</f>
        <v/>
      </c>
      <c r="AD149" s="41">
        <f>AD147*Assumptions!$B$135*Assumptions!$B$50*Assumptions!$B$35</f>
        <v/>
      </c>
      <c r="AE149" s="41">
        <f>AE147*Assumptions!$B$135*Assumptions!$B$50*Assumptions!$B$35</f>
        <v/>
      </c>
      <c r="AF149" s="41">
        <f>AF147*Assumptions!$B$135*Assumptions!$B$50*Assumptions!$B$35</f>
        <v/>
      </c>
      <c r="AG149" s="41">
        <f>AG147*Assumptions!$B$135*Assumptions!$B$50*Assumptions!$B$35</f>
        <v/>
      </c>
      <c r="AH149" s="41">
        <f>AH147*Assumptions!$B$135*Assumptions!$B$50*Assumptions!$B$35</f>
        <v/>
      </c>
      <c r="AI149" s="41">
        <f>AI147*Assumptions!$B$135*Assumptions!$B$50*Assumptions!$B$35</f>
        <v/>
      </c>
      <c r="AJ149" s="41">
        <f>AJ147*Assumptions!$B$135*Assumptions!$B$50*Assumptions!$B$35</f>
        <v/>
      </c>
      <c r="AK149" s="41">
        <f>AK147*Assumptions!$B$135*Assumptions!$B$50*Assumptions!$B$35</f>
        <v/>
      </c>
      <c r="AL149" s="41">
        <f>AL147*Assumptions!$B$135*Assumptions!$B$50*Assumptions!$B$35</f>
        <v/>
      </c>
      <c r="AM149" s="41">
        <f>AM147*Assumptions!$B$135*Assumptions!$B$50*Assumptions!$B$35</f>
        <v/>
      </c>
      <c r="AN149" s="41">
        <f>AN147*Assumptions!$B$135*Assumptions!$B$50*Assumptions!$B$35</f>
        <v/>
      </c>
      <c r="AO149" s="41">
        <f>AO147*Assumptions!$B$135*Assumptions!$B$50*Assumptions!$B$35</f>
        <v/>
      </c>
      <c r="AP149" s="41">
        <f>AP147*Assumptions!$B$135*Assumptions!$B$50*Assumptions!$B$35</f>
        <v/>
      </c>
      <c r="AQ149" s="41">
        <f>AQ147*Assumptions!$B$135*Assumptions!$B$50*Assumptions!$B$35</f>
        <v/>
      </c>
      <c r="AR149" s="41">
        <f>AR147*Assumptions!$B$135*Assumptions!$B$50*Assumptions!$B$35</f>
        <v/>
      </c>
      <c r="AS149" s="41">
        <f>AS147*Assumptions!$B$135*Assumptions!$B$50*Assumptions!$B$35</f>
        <v/>
      </c>
      <c r="AT149" s="41">
        <f>AT147*Assumptions!$B$135*Assumptions!$B$50*Assumptions!$B$35</f>
        <v/>
      </c>
      <c r="AU149" s="41">
        <f>AU147*Assumptions!$B$135*Assumptions!$B$50*Assumptions!$B$35</f>
        <v/>
      </c>
      <c r="AV149" s="41">
        <f>AV147*Assumptions!$B$135*Assumptions!$B$50*Assumptions!$B$35</f>
        <v/>
      </c>
      <c r="AW149" s="41">
        <f>AW147*Assumptions!$B$135*Assumptions!$B$50*Assumptions!$B$35</f>
        <v/>
      </c>
      <c r="AX149" s="41">
        <f>AX147*Assumptions!$B$135*Assumptions!$B$50*Assumptions!$B$35</f>
        <v/>
      </c>
      <c r="AY149" s="41">
        <f>AY147*Assumptions!$B$135*Assumptions!$B$50*Assumptions!$B$35</f>
        <v/>
      </c>
      <c r="AZ149" s="41">
        <f>AZ147*Assumptions!$B$135*Assumptions!$B$50*Assumptions!$B$35</f>
        <v/>
      </c>
      <c r="BA149" s="41">
        <f>BA147*Assumptions!$B$135*Assumptions!$B$50*Assumptions!$B$35</f>
        <v/>
      </c>
      <c r="BB149" s="41">
        <f>BB147*Assumptions!$B$135*Assumptions!$B$50*Assumptions!$B$35</f>
        <v/>
      </c>
      <c r="BC149" s="41">
        <f>BC147*Assumptions!$B$135*Assumptions!$B$50*Assumptions!$B$35</f>
        <v/>
      </c>
      <c r="BD149" s="41">
        <f>BD147*Assumptions!$B$135*Assumptions!$B$50*Assumptions!$B$35</f>
        <v/>
      </c>
      <c r="BE149" s="41">
        <f>BE147*Assumptions!$B$135*Assumptions!$B$50*Assumptions!$B$35</f>
        <v/>
      </c>
      <c r="BF149" s="41">
        <f>BF147*Assumptions!$B$135*Assumptions!$B$50*Assumptions!$B$35</f>
        <v/>
      </c>
      <c r="BG149" s="41">
        <f>BG147*Assumptions!$B$135*Assumptions!$B$50*Assumptions!$B$35</f>
        <v/>
      </c>
      <c r="BH149" s="41">
        <f>BH147*Assumptions!$B$135*Assumptions!$B$50*Assumptions!$B$35</f>
        <v/>
      </c>
      <c r="BI149" s="41">
        <f>BI147*Assumptions!$B$135*Assumptions!$B$50*Assumptions!$B$35</f>
        <v/>
      </c>
      <c r="BJ149" s="41">
        <f>BJ147*Assumptions!$B$135*Assumptions!$B$50*Assumptions!$B$35</f>
        <v/>
      </c>
    </row>
    <row r="150">
      <c r="A150" s="3" t="inlineStr">
        <is>
          <t>South Africa: SME: Scale (upgraded or direct): closing</t>
        </is>
      </c>
      <c r="B150" s="17" t="inlineStr">
        <is>
          <t>workspaces</t>
        </is>
      </c>
      <c r="C150" s="44">
        <f>C147+C148-C149</f>
        <v/>
      </c>
      <c r="D150" s="44">
        <f>D147+D148-D149</f>
        <v/>
      </c>
      <c r="E150" s="44">
        <f>E147+E148-E149</f>
        <v/>
      </c>
      <c r="F150" s="44">
        <f>F147+F148-F149</f>
        <v/>
      </c>
      <c r="G150" s="44">
        <f>G147+G148-G149</f>
        <v/>
      </c>
      <c r="H150" s="44">
        <f>H147+H148-H149</f>
        <v/>
      </c>
      <c r="I150" s="44">
        <f>I147+I148-I149</f>
        <v/>
      </c>
      <c r="J150" s="44">
        <f>J147+J148-J149</f>
        <v/>
      </c>
      <c r="K150" s="44">
        <f>K147+K148-K149</f>
        <v/>
      </c>
      <c r="L150" s="44">
        <f>L147+L148-L149</f>
        <v/>
      </c>
      <c r="M150" s="44">
        <f>M147+M148-M149</f>
        <v/>
      </c>
      <c r="N150" s="44">
        <f>N147+N148-N149</f>
        <v/>
      </c>
      <c r="O150" s="44">
        <f>O147+O148-O149</f>
        <v/>
      </c>
      <c r="P150" s="44">
        <f>P147+P148-P149</f>
        <v/>
      </c>
      <c r="Q150" s="44">
        <f>Q147+Q148-Q149</f>
        <v/>
      </c>
      <c r="R150" s="44">
        <f>R147+R148-R149</f>
        <v/>
      </c>
      <c r="S150" s="44">
        <f>S147+S148-S149</f>
        <v/>
      </c>
      <c r="T150" s="44">
        <f>T147+T148-T149</f>
        <v/>
      </c>
      <c r="U150" s="44">
        <f>U147+U148-U149</f>
        <v/>
      </c>
      <c r="V150" s="44">
        <f>V147+V148-V149</f>
        <v/>
      </c>
      <c r="W150" s="44">
        <f>W147+W148-W149</f>
        <v/>
      </c>
      <c r="X150" s="44">
        <f>X147+X148-X149</f>
        <v/>
      </c>
      <c r="Y150" s="44">
        <f>Y147+Y148-Y149</f>
        <v/>
      </c>
      <c r="Z150" s="44">
        <f>Z147+Z148-Z149</f>
        <v/>
      </c>
      <c r="AA150" s="44">
        <f>AA147+AA148-AA149</f>
        <v/>
      </c>
      <c r="AB150" s="44">
        <f>AB147+AB148-AB149</f>
        <v/>
      </c>
      <c r="AC150" s="44">
        <f>AC147+AC148-AC149</f>
        <v/>
      </c>
      <c r="AD150" s="44">
        <f>AD147+AD148-AD149</f>
        <v/>
      </c>
      <c r="AE150" s="44">
        <f>AE147+AE148-AE149</f>
        <v/>
      </c>
      <c r="AF150" s="44">
        <f>AF147+AF148-AF149</f>
        <v/>
      </c>
      <c r="AG150" s="44">
        <f>AG147+AG148-AG149</f>
        <v/>
      </c>
      <c r="AH150" s="44">
        <f>AH147+AH148-AH149</f>
        <v/>
      </c>
      <c r="AI150" s="44">
        <f>AI147+AI148-AI149</f>
        <v/>
      </c>
      <c r="AJ150" s="44">
        <f>AJ147+AJ148-AJ149</f>
        <v/>
      </c>
      <c r="AK150" s="44">
        <f>AK147+AK148-AK149</f>
        <v/>
      </c>
      <c r="AL150" s="44">
        <f>AL147+AL148-AL149</f>
        <v/>
      </c>
      <c r="AM150" s="44">
        <f>AM147+AM148-AM149</f>
        <v/>
      </c>
      <c r="AN150" s="44">
        <f>AN147+AN148-AN149</f>
        <v/>
      </c>
      <c r="AO150" s="44">
        <f>AO147+AO148-AO149</f>
        <v/>
      </c>
      <c r="AP150" s="44">
        <f>AP147+AP148-AP149</f>
        <v/>
      </c>
      <c r="AQ150" s="44">
        <f>AQ147+AQ148-AQ149</f>
        <v/>
      </c>
      <c r="AR150" s="44">
        <f>AR147+AR148-AR149</f>
        <v/>
      </c>
      <c r="AS150" s="44">
        <f>AS147+AS148-AS149</f>
        <v/>
      </c>
      <c r="AT150" s="44">
        <f>AT147+AT148-AT149</f>
        <v/>
      </c>
      <c r="AU150" s="44">
        <f>AU147+AU148-AU149</f>
        <v/>
      </c>
      <c r="AV150" s="44">
        <f>AV147+AV148-AV149</f>
        <v/>
      </c>
      <c r="AW150" s="44">
        <f>AW147+AW148-AW149</f>
        <v/>
      </c>
      <c r="AX150" s="44">
        <f>AX147+AX148-AX149</f>
        <v/>
      </c>
      <c r="AY150" s="44">
        <f>AY147+AY148-AY149</f>
        <v/>
      </c>
      <c r="AZ150" s="44">
        <f>AZ147+AZ148-AZ149</f>
        <v/>
      </c>
      <c r="BA150" s="44">
        <f>BA147+BA148-BA149</f>
        <v/>
      </c>
      <c r="BB150" s="44">
        <f>BB147+BB148-BB149</f>
        <v/>
      </c>
      <c r="BC150" s="44">
        <f>BC147+BC148-BC149</f>
        <v/>
      </c>
      <c r="BD150" s="44">
        <f>BD147+BD148-BD149</f>
        <v/>
      </c>
      <c r="BE150" s="44">
        <f>BE147+BE148-BE149</f>
        <v/>
      </c>
      <c r="BF150" s="44">
        <f>BF147+BF148-BF149</f>
        <v/>
      </c>
      <c r="BG150" s="44">
        <f>BG147+BG148-BG149</f>
        <v/>
      </c>
      <c r="BH150" s="44">
        <f>BH147+BH148-BH149</f>
        <v/>
      </c>
      <c r="BI150" s="44">
        <f>BI147+BI148-BI149</f>
        <v/>
      </c>
      <c r="BJ150" s="44">
        <f>BJ147+BJ148-BJ149</f>
        <v/>
      </c>
    </row>
    <row r="151">
      <c r="A151" s="4" t="inlineStr">
        <is>
          <t>South Africa: Agency / partner: Agency tier: opening</t>
        </is>
      </c>
      <c r="B151" s="17" t="inlineStr">
        <is>
          <t>workspaces</t>
        </is>
      </c>
      <c r="C151" s="41">
        <f>0</f>
        <v/>
      </c>
      <c r="D151" s="41">
        <f>C154</f>
        <v/>
      </c>
      <c r="E151" s="41">
        <f>D154</f>
        <v/>
      </c>
      <c r="F151" s="41">
        <f>E154</f>
        <v/>
      </c>
      <c r="G151" s="41">
        <f>F154</f>
        <v/>
      </c>
      <c r="H151" s="41">
        <f>G154</f>
        <v/>
      </c>
      <c r="I151" s="41">
        <f>H154</f>
        <v/>
      </c>
      <c r="J151" s="41">
        <f>I154</f>
        <v/>
      </c>
      <c r="K151" s="41">
        <f>J154</f>
        <v/>
      </c>
      <c r="L151" s="41">
        <f>K154</f>
        <v/>
      </c>
      <c r="M151" s="41">
        <f>L154</f>
        <v/>
      </c>
      <c r="N151" s="41">
        <f>M154</f>
        <v/>
      </c>
      <c r="O151" s="41">
        <f>N154</f>
        <v/>
      </c>
      <c r="P151" s="41">
        <f>O154</f>
        <v/>
      </c>
      <c r="Q151" s="41">
        <f>P154</f>
        <v/>
      </c>
      <c r="R151" s="41">
        <f>Q154</f>
        <v/>
      </c>
      <c r="S151" s="41">
        <f>R154</f>
        <v/>
      </c>
      <c r="T151" s="41">
        <f>S154</f>
        <v/>
      </c>
      <c r="U151" s="41">
        <f>T154</f>
        <v/>
      </c>
      <c r="V151" s="41">
        <f>U154</f>
        <v/>
      </c>
      <c r="W151" s="41">
        <f>V154</f>
        <v/>
      </c>
      <c r="X151" s="41">
        <f>W154</f>
        <v/>
      </c>
      <c r="Y151" s="41">
        <f>X154</f>
        <v/>
      </c>
      <c r="Z151" s="41">
        <f>Y154</f>
        <v/>
      </c>
      <c r="AA151" s="41">
        <f>Z154</f>
        <v/>
      </c>
      <c r="AB151" s="41">
        <f>AA154</f>
        <v/>
      </c>
      <c r="AC151" s="41">
        <f>AB154</f>
        <v/>
      </c>
      <c r="AD151" s="41">
        <f>AC154</f>
        <v/>
      </c>
      <c r="AE151" s="41">
        <f>AD154</f>
        <v/>
      </c>
      <c r="AF151" s="41">
        <f>AE154</f>
        <v/>
      </c>
      <c r="AG151" s="41">
        <f>AF154</f>
        <v/>
      </c>
      <c r="AH151" s="41">
        <f>AG154</f>
        <v/>
      </c>
      <c r="AI151" s="41">
        <f>AH154</f>
        <v/>
      </c>
      <c r="AJ151" s="41">
        <f>AI154</f>
        <v/>
      </c>
      <c r="AK151" s="41">
        <f>AJ154</f>
        <v/>
      </c>
      <c r="AL151" s="41">
        <f>AK154</f>
        <v/>
      </c>
      <c r="AM151" s="41">
        <f>AL154</f>
        <v/>
      </c>
      <c r="AN151" s="41">
        <f>AM154</f>
        <v/>
      </c>
      <c r="AO151" s="41">
        <f>AN154</f>
        <v/>
      </c>
      <c r="AP151" s="41">
        <f>AO154</f>
        <v/>
      </c>
      <c r="AQ151" s="41">
        <f>AP154</f>
        <v/>
      </c>
      <c r="AR151" s="41">
        <f>AQ154</f>
        <v/>
      </c>
      <c r="AS151" s="41">
        <f>AR154</f>
        <v/>
      </c>
      <c r="AT151" s="41">
        <f>AS154</f>
        <v/>
      </c>
      <c r="AU151" s="41">
        <f>AT154</f>
        <v/>
      </c>
      <c r="AV151" s="41">
        <f>AU154</f>
        <v/>
      </c>
      <c r="AW151" s="41">
        <f>AV154</f>
        <v/>
      </c>
      <c r="AX151" s="41">
        <f>AW154</f>
        <v/>
      </c>
      <c r="AY151" s="41">
        <f>AX154</f>
        <v/>
      </c>
      <c r="AZ151" s="41">
        <f>AY154</f>
        <v/>
      </c>
      <c r="BA151" s="41">
        <f>AZ154</f>
        <v/>
      </c>
      <c r="BB151" s="41">
        <f>BA154</f>
        <v/>
      </c>
      <c r="BC151" s="41">
        <f>BB154</f>
        <v/>
      </c>
      <c r="BD151" s="41">
        <f>BC154</f>
        <v/>
      </c>
      <c r="BE151" s="41">
        <f>BD154</f>
        <v/>
      </c>
      <c r="BF151" s="41">
        <f>BE154</f>
        <v/>
      </c>
      <c r="BG151" s="41">
        <f>BF154</f>
        <v/>
      </c>
      <c r="BH151" s="41">
        <f>BG154</f>
        <v/>
      </c>
      <c r="BI151" s="41">
        <f>BH154</f>
        <v/>
      </c>
      <c r="BJ151" s="41">
        <f>BI154</f>
        <v/>
      </c>
    </row>
    <row r="152">
      <c r="A152" s="4" t="inlineStr">
        <is>
          <t>South Africa: Agency / partner: Agency tier: new</t>
        </is>
      </c>
      <c r="B152" s="17" t="inlineStr">
        <is>
          <t>workspaces</t>
        </is>
      </c>
      <c r="C152" s="41">
        <f>C126+C125*Assumptions!$B$28</f>
        <v/>
      </c>
      <c r="D152" s="41">
        <f>D126+D125*Assumptions!$B$28</f>
        <v/>
      </c>
      <c r="E152" s="41">
        <f>E126+E125*Assumptions!$B$28</f>
        <v/>
      </c>
      <c r="F152" s="41">
        <f>F126+F125*Assumptions!$B$28</f>
        <v/>
      </c>
      <c r="G152" s="41">
        <f>G126+G125*Assumptions!$B$28</f>
        <v/>
      </c>
      <c r="H152" s="41">
        <f>H126+H125*Assumptions!$B$28</f>
        <v/>
      </c>
      <c r="I152" s="41">
        <f>I126+I125*Assumptions!$B$28</f>
        <v/>
      </c>
      <c r="J152" s="41">
        <f>J126+J125*Assumptions!$B$28</f>
        <v/>
      </c>
      <c r="K152" s="41">
        <f>K126+K125*Assumptions!$B$28</f>
        <v/>
      </c>
      <c r="L152" s="41">
        <f>L126+L125*Assumptions!$B$28</f>
        <v/>
      </c>
      <c r="M152" s="41">
        <f>M126+M125*Assumptions!$B$28</f>
        <v/>
      </c>
      <c r="N152" s="41">
        <f>N126+N125*Assumptions!$B$28</f>
        <v/>
      </c>
      <c r="O152" s="41">
        <f>O126+O125*Assumptions!$B$28</f>
        <v/>
      </c>
      <c r="P152" s="41">
        <f>P126+P125*Assumptions!$B$28</f>
        <v/>
      </c>
      <c r="Q152" s="41">
        <f>Q126+Q125*Assumptions!$B$28</f>
        <v/>
      </c>
      <c r="R152" s="41">
        <f>R126+R125*Assumptions!$B$28</f>
        <v/>
      </c>
      <c r="S152" s="41">
        <f>S126+S125*Assumptions!$B$28</f>
        <v/>
      </c>
      <c r="T152" s="41">
        <f>T126+T125*Assumptions!$B$28</f>
        <v/>
      </c>
      <c r="U152" s="41">
        <f>U126+U125*Assumptions!$B$28</f>
        <v/>
      </c>
      <c r="V152" s="41">
        <f>V126+V125*Assumptions!$B$28</f>
        <v/>
      </c>
      <c r="W152" s="41">
        <f>W126+W125*Assumptions!$B$28</f>
        <v/>
      </c>
      <c r="X152" s="41">
        <f>X126+X125*Assumptions!$B$28</f>
        <v/>
      </c>
      <c r="Y152" s="41">
        <f>Y126+Y125*Assumptions!$B$28</f>
        <v/>
      </c>
      <c r="Z152" s="41">
        <f>Z126+Z125*Assumptions!$B$28</f>
        <v/>
      </c>
      <c r="AA152" s="41">
        <f>AA126+AA125*Assumptions!$B$28</f>
        <v/>
      </c>
      <c r="AB152" s="41">
        <f>AB126+AB125*Assumptions!$B$28</f>
        <v/>
      </c>
      <c r="AC152" s="41">
        <f>AC126+AC125*Assumptions!$B$28</f>
        <v/>
      </c>
      <c r="AD152" s="41">
        <f>AD126+AD125*Assumptions!$B$28</f>
        <v/>
      </c>
      <c r="AE152" s="41">
        <f>AE126+AE125*Assumptions!$B$28</f>
        <v/>
      </c>
      <c r="AF152" s="41">
        <f>AF126+AF125*Assumptions!$B$28</f>
        <v/>
      </c>
      <c r="AG152" s="41">
        <f>AG126+AG125*Assumptions!$B$28</f>
        <v/>
      </c>
      <c r="AH152" s="41">
        <f>AH126+AH125*Assumptions!$B$28</f>
        <v/>
      </c>
      <c r="AI152" s="41">
        <f>AI126+AI125*Assumptions!$B$28</f>
        <v/>
      </c>
      <c r="AJ152" s="41">
        <f>AJ126+AJ125*Assumptions!$B$28</f>
        <v/>
      </c>
      <c r="AK152" s="41">
        <f>AK126+AK125*Assumptions!$B$28</f>
        <v/>
      </c>
      <c r="AL152" s="41">
        <f>AL126+AL125*Assumptions!$B$28</f>
        <v/>
      </c>
      <c r="AM152" s="41">
        <f>AM126+AM125*Assumptions!$B$28</f>
        <v/>
      </c>
      <c r="AN152" s="41">
        <f>AN126+AN125*Assumptions!$B$28</f>
        <v/>
      </c>
      <c r="AO152" s="41">
        <f>AO126+AO125*Assumptions!$B$28</f>
        <v/>
      </c>
      <c r="AP152" s="41">
        <f>AP126+AP125*Assumptions!$B$28</f>
        <v/>
      </c>
      <c r="AQ152" s="41">
        <f>AQ126+AQ125*Assumptions!$B$28</f>
        <v/>
      </c>
      <c r="AR152" s="41">
        <f>AR126+AR125*Assumptions!$B$28</f>
        <v/>
      </c>
      <c r="AS152" s="41">
        <f>AS126+AS125*Assumptions!$B$28</f>
        <v/>
      </c>
      <c r="AT152" s="41">
        <f>AT126+AT125*Assumptions!$B$28</f>
        <v/>
      </c>
      <c r="AU152" s="41">
        <f>AU126+AU125*Assumptions!$B$28</f>
        <v/>
      </c>
      <c r="AV152" s="41">
        <f>AV126+AV125*Assumptions!$B$28</f>
        <v/>
      </c>
      <c r="AW152" s="41">
        <f>AW126+AW125*Assumptions!$B$28</f>
        <v/>
      </c>
      <c r="AX152" s="41">
        <f>AX126+AX125*Assumptions!$B$28</f>
        <v/>
      </c>
      <c r="AY152" s="41">
        <f>AY126+AY125*Assumptions!$B$28</f>
        <v/>
      </c>
      <c r="AZ152" s="41">
        <f>AZ126+AZ125*Assumptions!$B$28</f>
        <v/>
      </c>
      <c r="BA152" s="41">
        <f>BA126+BA125*Assumptions!$B$28</f>
        <v/>
      </c>
      <c r="BB152" s="41">
        <f>BB126+BB125*Assumptions!$B$28</f>
        <v/>
      </c>
      <c r="BC152" s="41">
        <f>BC126+BC125*Assumptions!$B$28</f>
        <v/>
      </c>
      <c r="BD152" s="41">
        <f>BD126+BD125*Assumptions!$B$28</f>
        <v/>
      </c>
      <c r="BE152" s="41">
        <f>BE126+BE125*Assumptions!$B$28</f>
        <v/>
      </c>
      <c r="BF152" s="41">
        <f>BF126+BF125*Assumptions!$B$28</f>
        <v/>
      </c>
      <c r="BG152" s="41">
        <f>BG126+BG125*Assumptions!$B$28</f>
        <v/>
      </c>
      <c r="BH152" s="41">
        <f>BH126+BH125*Assumptions!$B$28</f>
        <v/>
      </c>
      <c r="BI152" s="41">
        <f>BI126+BI125*Assumptions!$B$28</f>
        <v/>
      </c>
      <c r="BJ152" s="41">
        <f>BJ126+BJ125*Assumptions!$B$28</f>
        <v/>
      </c>
    </row>
    <row r="153">
      <c r="A153" s="4" t="inlineStr">
        <is>
          <t>South Africa: Agency / partner: Agency tier: churned</t>
        </is>
      </c>
      <c r="B153" s="17" t="inlineStr">
        <is>
          <t>workspaces</t>
        </is>
      </c>
      <c r="C153" s="41">
        <f>C151*Assumptions!$B$136*Assumptions!$B$50*Assumptions!$B$35</f>
        <v/>
      </c>
      <c r="D153" s="41">
        <f>D151*Assumptions!$B$136*Assumptions!$B$50*Assumptions!$B$35</f>
        <v/>
      </c>
      <c r="E153" s="41">
        <f>E151*Assumptions!$B$136*Assumptions!$B$50*Assumptions!$B$35</f>
        <v/>
      </c>
      <c r="F153" s="41">
        <f>F151*Assumptions!$B$136*Assumptions!$B$50*Assumptions!$B$35</f>
        <v/>
      </c>
      <c r="G153" s="41">
        <f>G151*Assumptions!$B$136*Assumptions!$B$50*Assumptions!$B$35</f>
        <v/>
      </c>
      <c r="H153" s="41">
        <f>H151*Assumptions!$B$136*Assumptions!$B$50*Assumptions!$B$35</f>
        <v/>
      </c>
      <c r="I153" s="41">
        <f>I151*Assumptions!$B$136*Assumptions!$B$50*Assumptions!$B$35</f>
        <v/>
      </c>
      <c r="J153" s="41">
        <f>J151*Assumptions!$B$136*Assumptions!$B$50*Assumptions!$B$35</f>
        <v/>
      </c>
      <c r="K153" s="41">
        <f>K151*Assumptions!$B$136*Assumptions!$B$50*Assumptions!$B$35</f>
        <v/>
      </c>
      <c r="L153" s="41">
        <f>L151*Assumptions!$B$136*Assumptions!$B$50*Assumptions!$B$35</f>
        <v/>
      </c>
      <c r="M153" s="41">
        <f>M151*Assumptions!$B$136*Assumptions!$B$50*Assumptions!$B$35</f>
        <v/>
      </c>
      <c r="N153" s="41">
        <f>N151*Assumptions!$B$136*Assumptions!$B$50*Assumptions!$B$35</f>
        <v/>
      </c>
      <c r="O153" s="41">
        <f>O151*Assumptions!$B$136*Assumptions!$B$50*Assumptions!$B$35</f>
        <v/>
      </c>
      <c r="P153" s="41">
        <f>P151*Assumptions!$B$136*Assumptions!$B$50*Assumptions!$B$35</f>
        <v/>
      </c>
      <c r="Q153" s="41">
        <f>Q151*Assumptions!$B$136*Assumptions!$B$50*Assumptions!$B$35</f>
        <v/>
      </c>
      <c r="R153" s="41">
        <f>R151*Assumptions!$B$136*Assumptions!$B$50*Assumptions!$B$35</f>
        <v/>
      </c>
      <c r="S153" s="41">
        <f>S151*Assumptions!$B$136*Assumptions!$B$50*Assumptions!$B$35</f>
        <v/>
      </c>
      <c r="T153" s="41">
        <f>T151*Assumptions!$B$136*Assumptions!$B$50*Assumptions!$B$35</f>
        <v/>
      </c>
      <c r="U153" s="41">
        <f>U151*Assumptions!$B$136*Assumptions!$B$50*Assumptions!$B$35</f>
        <v/>
      </c>
      <c r="V153" s="41">
        <f>V151*Assumptions!$B$136*Assumptions!$B$50*Assumptions!$B$35</f>
        <v/>
      </c>
      <c r="W153" s="41">
        <f>W151*Assumptions!$B$136*Assumptions!$B$50*Assumptions!$B$35</f>
        <v/>
      </c>
      <c r="X153" s="41">
        <f>X151*Assumptions!$B$136*Assumptions!$B$50*Assumptions!$B$35</f>
        <v/>
      </c>
      <c r="Y153" s="41">
        <f>Y151*Assumptions!$B$136*Assumptions!$B$50*Assumptions!$B$35</f>
        <v/>
      </c>
      <c r="Z153" s="41">
        <f>Z151*Assumptions!$B$136*Assumptions!$B$50*Assumptions!$B$35</f>
        <v/>
      </c>
      <c r="AA153" s="41">
        <f>AA151*Assumptions!$B$136*Assumptions!$B$50*Assumptions!$B$35</f>
        <v/>
      </c>
      <c r="AB153" s="41">
        <f>AB151*Assumptions!$B$136*Assumptions!$B$50*Assumptions!$B$35</f>
        <v/>
      </c>
      <c r="AC153" s="41">
        <f>AC151*Assumptions!$B$136*Assumptions!$B$50*Assumptions!$B$35</f>
        <v/>
      </c>
      <c r="AD153" s="41">
        <f>AD151*Assumptions!$B$136*Assumptions!$B$50*Assumptions!$B$35</f>
        <v/>
      </c>
      <c r="AE153" s="41">
        <f>AE151*Assumptions!$B$136*Assumptions!$B$50*Assumptions!$B$35</f>
        <v/>
      </c>
      <c r="AF153" s="41">
        <f>AF151*Assumptions!$B$136*Assumptions!$B$50*Assumptions!$B$35</f>
        <v/>
      </c>
      <c r="AG153" s="41">
        <f>AG151*Assumptions!$B$136*Assumptions!$B$50*Assumptions!$B$35</f>
        <v/>
      </c>
      <c r="AH153" s="41">
        <f>AH151*Assumptions!$B$136*Assumptions!$B$50*Assumptions!$B$35</f>
        <v/>
      </c>
      <c r="AI153" s="41">
        <f>AI151*Assumptions!$B$136*Assumptions!$B$50*Assumptions!$B$35</f>
        <v/>
      </c>
      <c r="AJ153" s="41">
        <f>AJ151*Assumptions!$B$136*Assumptions!$B$50*Assumptions!$B$35</f>
        <v/>
      </c>
      <c r="AK153" s="41">
        <f>AK151*Assumptions!$B$136*Assumptions!$B$50*Assumptions!$B$35</f>
        <v/>
      </c>
      <c r="AL153" s="41">
        <f>AL151*Assumptions!$B$136*Assumptions!$B$50*Assumptions!$B$35</f>
        <v/>
      </c>
      <c r="AM153" s="41">
        <f>AM151*Assumptions!$B$136*Assumptions!$B$50*Assumptions!$B$35</f>
        <v/>
      </c>
      <c r="AN153" s="41">
        <f>AN151*Assumptions!$B$136*Assumptions!$B$50*Assumptions!$B$35</f>
        <v/>
      </c>
      <c r="AO153" s="41">
        <f>AO151*Assumptions!$B$136*Assumptions!$B$50*Assumptions!$B$35</f>
        <v/>
      </c>
      <c r="AP153" s="41">
        <f>AP151*Assumptions!$B$136*Assumptions!$B$50*Assumptions!$B$35</f>
        <v/>
      </c>
      <c r="AQ153" s="41">
        <f>AQ151*Assumptions!$B$136*Assumptions!$B$50*Assumptions!$B$35</f>
        <v/>
      </c>
      <c r="AR153" s="41">
        <f>AR151*Assumptions!$B$136*Assumptions!$B$50*Assumptions!$B$35</f>
        <v/>
      </c>
      <c r="AS153" s="41">
        <f>AS151*Assumptions!$B$136*Assumptions!$B$50*Assumptions!$B$35</f>
        <v/>
      </c>
      <c r="AT153" s="41">
        <f>AT151*Assumptions!$B$136*Assumptions!$B$50*Assumptions!$B$35</f>
        <v/>
      </c>
      <c r="AU153" s="41">
        <f>AU151*Assumptions!$B$136*Assumptions!$B$50*Assumptions!$B$35</f>
        <v/>
      </c>
      <c r="AV153" s="41">
        <f>AV151*Assumptions!$B$136*Assumptions!$B$50*Assumptions!$B$35</f>
        <v/>
      </c>
      <c r="AW153" s="41">
        <f>AW151*Assumptions!$B$136*Assumptions!$B$50*Assumptions!$B$35</f>
        <v/>
      </c>
      <c r="AX153" s="41">
        <f>AX151*Assumptions!$B$136*Assumptions!$B$50*Assumptions!$B$35</f>
        <v/>
      </c>
      <c r="AY153" s="41">
        <f>AY151*Assumptions!$B$136*Assumptions!$B$50*Assumptions!$B$35</f>
        <v/>
      </c>
      <c r="AZ153" s="41">
        <f>AZ151*Assumptions!$B$136*Assumptions!$B$50*Assumptions!$B$35</f>
        <v/>
      </c>
      <c r="BA153" s="41">
        <f>BA151*Assumptions!$B$136*Assumptions!$B$50*Assumptions!$B$35</f>
        <v/>
      </c>
      <c r="BB153" s="41">
        <f>BB151*Assumptions!$B$136*Assumptions!$B$50*Assumptions!$B$35</f>
        <v/>
      </c>
      <c r="BC153" s="41">
        <f>BC151*Assumptions!$B$136*Assumptions!$B$50*Assumptions!$B$35</f>
        <v/>
      </c>
      <c r="BD153" s="41">
        <f>BD151*Assumptions!$B$136*Assumptions!$B$50*Assumptions!$B$35</f>
        <v/>
      </c>
      <c r="BE153" s="41">
        <f>BE151*Assumptions!$B$136*Assumptions!$B$50*Assumptions!$B$35</f>
        <v/>
      </c>
      <c r="BF153" s="41">
        <f>BF151*Assumptions!$B$136*Assumptions!$B$50*Assumptions!$B$35</f>
        <v/>
      </c>
      <c r="BG153" s="41">
        <f>BG151*Assumptions!$B$136*Assumptions!$B$50*Assumptions!$B$35</f>
        <v/>
      </c>
      <c r="BH153" s="41">
        <f>BH151*Assumptions!$B$136*Assumptions!$B$50*Assumptions!$B$35</f>
        <v/>
      </c>
      <c r="BI153" s="41">
        <f>BI151*Assumptions!$B$136*Assumptions!$B$50*Assumptions!$B$35</f>
        <v/>
      </c>
      <c r="BJ153" s="41">
        <f>BJ151*Assumptions!$B$136*Assumptions!$B$50*Assumptions!$B$35</f>
        <v/>
      </c>
    </row>
    <row r="154">
      <c r="A154" s="3" t="inlineStr">
        <is>
          <t>South Africa: Agency / partner: Agency tier: closing</t>
        </is>
      </c>
      <c r="B154" s="17" t="inlineStr">
        <is>
          <t>workspaces</t>
        </is>
      </c>
      <c r="C154" s="44">
        <f>C151+C152-C153</f>
        <v/>
      </c>
      <c r="D154" s="44">
        <f>D151+D152-D153</f>
        <v/>
      </c>
      <c r="E154" s="44">
        <f>E151+E152-E153</f>
        <v/>
      </c>
      <c r="F154" s="44">
        <f>F151+F152-F153</f>
        <v/>
      </c>
      <c r="G154" s="44">
        <f>G151+G152-G153</f>
        <v/>
      </c>
      <c r="H154" s="44">
        <f>H151+H152-H153</f>
        <v/>
      </c>
      <c r="I154" s="44">
        <f>I151+I152-I153</f>
        <v/>
      </c>
      <c r="J154" s="44">
        <f>J151+J152-J153</f>
        <v/>
      </c>
      <c r="K154" s="44">
        <f>K151+K152-K153</f>
        <v/>
      </c>
      <c r="L154" s="44">
        <f>L151+L152-L153</f>
        <v/>
      </c>
      <c r="M154" s="44">
        <f>M151+M152-M153</f>
        <v/>
      </c>
      <c r="N154" s="44">
        <f>N151+N152-N153</f>
        <v/>
      </c>
      <c r="O154" s="44">
        <f>O151+O152-O153</f>
        <v/>
      </c>
      <c r="P154" s="44">
        <f>P151+P152-P153</f>
        <v/>
      </c>
      <c r="Q154" s="44">
        <f>Q151+Q152-Q153</f>
        <v/>
      </c>
      <c r="R154" s="44">
        <f>R151+R152-R153</f>
        <v/>
      </c>
      <c r="S154" s="44">
        <f>S151+S152-S153</f>
        <v/>
      </c>
      <c r="T154" s="44">
        <f>T151+T152-T153</f>
        <v/>
      </c>
      <c r="U154" s="44">
        <f>U151+U152-U153</f>
        <v/>
      </c>
      <c r="V154" s="44">
        <f>V151+V152-V153</f>
        <v/>
      </c>
      <c r="W154" s="44">
        <f>W151+W152-W153</f>
        <v/>
      </c>
      <c r="X154" s="44">
        <f>X151+X152-X153</f>
        <v/>
      </c>
      <c r="Y154" s="44">
        <f>Y151+Y152-Y153</f>
        <v/>
      </c>
      <c r="Z154" s="44">
        <f>Z151+Z152-Z153</f>
        <v/>
      </c>
      <c r="AA154" s="44">
        <f>AA151+AA152-AA153</f>
        <v/>
      </c>
      <c r="AB154" s="44">
        <f>AB151+AB152-AB153</f>
        <v/>
      </c>
      <c r="AC154" s="44">
        <f>AC151+AC152-AC153</f>
        <v/>
      </c>
      <c r="AD154" s="44">
        <f>AD151+AD152-AD153</f>
        <v/>
      </c>
      <c r="AE154" s="44">
        <f>AE151+AE152-AE153</f>
        <v/>
      </c>
      <c r="AF154" s="44">
        <f>AF151+AF152-AF153</f>
        <v/>
      </c>
      <c r="AG154" s="44">
        <f>AG151+AG152-AG153</f>
        <v/>
      </c>
      <c r="AH154" s="44">
        <f>AH151+AH152-AH153</f>
        <v/>
      </c>
      <c r="AI154" s="44">
        <f>AI151+AI152-AI153</f>
        <v/>
      </c>
      <c r="AJ154" s="44">
        <f>AJ151+AJ152-AJ153</f>
        <v/>
      </c>
      <c r="AK154" s="44">
        <f>AK151+AK152-AK153</f>
        <v/>
      </c>
      <c r="AL154" s="44">
        <f>AL151+AL152-AL153</f>
        <v/>
      </c>
      <c r="AM154" s="44">
        <f>AM151+AM152-AM153</f>
        <v/>
      </c>
      <c r="AN154" s="44">
        <f>AN151+AN152-AN153</f>
        <v/>
      </c>
      <c r="AO154" s="44">
        <f>AO151+AO152-AO153</f>
        <v/>
      </c>
      <c r="AP154" s="44">
        <f>AP151+AP152-AP153</f>
        <v/>
      </c>
      <c r="AQ154" s="44">
        <f>AQ151+AQ152-AQ153</f>
        <v/>
      </c>
      <c r="AR154" s="44">
        <f>AR151+AR152-AR153</f>
        <v/>
      </c>
      <c r="AS154" s="44">
        <f>AS151+AS152-AS153</f>
        <v/>
      </c>
      <c r="AT154" s="44">
        <f>AT151+AT152-AT153</f>
        <v/>
      </c>
      <c r="AU154" s="44">
        <f>AU151+AU152-AU153</f>
        <v/>
      </c>
      <c r="AV154" s="44">
        <f>AV151+AV152-AV153</f>
        <v/>
      </c>
      <c r="AW154" s="44">
        <f>AW151+AW152-AW153</f>
        <v/>
      </c>
      <c r="AX154" s="44">
        <f>AX151+AX152-AX153</f>
        <v/>
      </c>
      <c r="AY154" s="44">
        <f>AY151+AY152-AY153</f>
        <v/>
      </c>
      <c r="AZ154" s="44">
        <f>AZ151+AZ152-AZ153</f>
        <v/>
      </c>
      <c r="BA154" s="44">
        <f>BA151+BA152-BA153</f>
        <v/>
      </c>
      <c r="BB154" s="44">
        <f>BB151+BB152-BB153</f>
        <v/>
      </c>
      <c r="BC154" s="44">
        <f>BC151+BC152-BC153</f>
        <v/>
      </c>
      <c r="BD154" s="44">
        <f>BD151+BD152-BD153</f>
        <v/>
      </c>
      <c r="BE154" s="44">
        <f>BE151+BE152-BE153</f>
        <v/>
      </c>
      <c r="BF154" s="44">
        <f>BF151+BF152-BF153</f>
        <v/>
      </c>
      <c r="BG154" s="44">
        <f>BG151+BG152-BG153</f>
        <v/>
      </c>
      <c r="BH154" s="44">
        <f>BH151+BH152-BH153</f>
        <v/>
      </c>
      <c r="BI154" s="44">
        <f>BI151+BI152-BI153</f>
        <v/>
      </c>
      <c r="BJ154" s="44">
        <f>BJ151+BJ152-BJ153</f>
        <v/>
      </c>
    </row>
    <row r="155">
      <c r="A155" s="4" t="inlineStr">
        <is>
          <t>South Africa: Enterprise (inbound): opening</t>
        </is>
      </c>
      <c r="B155" s="17" t="inlineStr">
        <is>
          <t>workspaces</t>
        </is>
      </c>
      <c r="C155" s="41">
        <f>0</f>
        <v/>
      </c>
      <c r="D155" s="41">
        <f>C158</f>
        <v/>
      </c>
      <c r="E155" s="41">
        <f>D158</f>
        <v/>
      </c>
      <c r="F155" s="41">
        <f>E158</f>
        <v/>
      </c>
      <c r="G155" s="41">
        <f>F158</f>
        <v/>
      </c>
      <c r="H155" s="41">
        <f>G158</f>
        <v/>
      </c>
      <c r="I155" s="41">
        <f>H158</f>
        <v/>
      </c>
      <c r="J155" s="41">
        <f>I158</f>
        <v/>
      </c>
      <c r="K155" s="41">
        <f>J158</f>
        <v/>
      </c>
      <c r="L155" s="41">
        <f>K158</f>
        <v/>
      </c>
      <c r="M155" s="41">
        <f>L158</f>
        <v/>
      </c>
      <c r="N155" s="41">
        <f>M158</f>
        <v/>
      </c>
      <c r="O155" s="41">
        <f>N158</f>
        <v/>
      </c>
      <c r="P155" s="41">
        <f>O158</f>
        <v/>
      </c>
      <c r="Q155" s="41">
        <f>P158</f>
        <v/>
      </c>
      <c r="R155" s="41">
        <f>Q158</f>
        <v/>
      </c>
      <c r="S155" s="41">
        <f>R158</f>
        <v/>
      </c>
      <c r="T155" s="41">
        <f>S158</f>
        <v/>
      </c>
      <c r="U155" s="41">
        <f>T158</f>
        <v/>
      </c>
      <c r="V155" s="41">
        <f>U158</f>
        <v/>
      </c>
      <c r="W155" s="41">
        <f>V158</f>
        <v/>
      </c>
      <c r="X155" s="41">
        <f>W158</f>
        <v/>
      </c>
      <c r="Y155" s="41">
        <f>X158</f>
        <v/>
      </c>
      <c r="Z155" s="41">
        <f>Y158</f>
        <v/>
      </c>
      <c r="AA155" s="41">
        <f>Z158</f>
        <v/>
      </c>
      <c r="AB155" s="41">
        <f>AA158</f>
        <v/>
      </c>
      <c r="AC155" s="41">
        <f>AB158</f>
        <v/>
      </c>
      <c r="AD155" s="41">
        <f>AC158</f>
        <v/>
      </c>
      <c r="AE155" s="41">
        <f>AD158</f>
        <v/>
      </c>
      <c r="AF155" s="41">
        <f>AE158</f>
        <v/>
      </c>
      <c r="AG155" s="41">
        <f>AF158</f>
        <v/>
      </c>
      <c r="AH155" s="41">
        <f>AG158</f>
        <v/>
      </c>
      <c r="AI155" s="41">
        <f>AH158</f>
        <v/>
      </c>
      <c r="AJ155" s="41">
        <f>AI158</f>
        <v/>
      </c>
      <c r="AK155" s="41">
        <f>AJ158</f>
        <v/>
      </c>
      <c r="AL155" s="41">
        <f>AK158</f>
        <v/>
      </c>
      <c r="AM155" s="41">
        <f>AL158</f>
        <v/>
      </c>
      <c r="AN155" s="41">
        <f>AM158</f>
        <v/>
      </c>
      <c r="AO155" s="41">
        <f>AN158</f>
        <v/>
      </c>
      <c r="AP155" s="41">
        <f>AO158</f>
        <v/>
      </c>
      <c r="AQ155" s="41">
        <f>AP158</f>
        <v/>
      </c>
      <c r="AR155" s="41">
        <f>AQ158</f>
        <v/>
      </c>
      <c r="AS155" s="41">
        <f>AR158</f>
        <v/>
      </c>
      <c r="AT155" s="41">
        <f>AS158</f>
        <v/>
      </c>
      <c r="AU155" s="41">
        <f>AT158</f>
        <v/>
      </c>
      <c r="AV155" s="41">
        <f>AU158</f>
        <v/>
      </c>
      <c r="AW155" s="41">
        <f>AV158</f>
        <v/>
      </c>
      <c r="AX155" s="41">
        <f>AW158</f>
        <v/>
      </c>
      <c r="AY155" s="41">
        <f>AX158</f>
        <v/>
      </c>
      <c r="AZ155" s="41">
        <f>AY158</f>
        <v/>
      </c>
      <c r="BA155" s="41">
        <f>AZ158</f>
        <v/>
      </c>
      <c r="BB155" s="41">
        <f>BA158</f>
        <v/>
      </c>
      <c r="BC155" s="41">
        <f>BB158</f>
        <v/>
      </c>
      <c r="BD155" s="41">
        <f>BC158</f>
        <v/>
      </c>
      <c r="BE155" s="41">
        <f>BD158</f>
        <v/>
      </c>
      <c r="BF155" s="41">
        <f>BE158</f>
        <v/>
      </c>
      <c r="BG155" s="41">
        <f>BF158</f>
        <v/>
      </c>
      <c r="BH155" s="41">
        <f>BG158</f>
        <v/>
      </c>
      <c r="BI155" s="41">
        <f>BH158</f>
        <v/>
      </c>
      <c r="BJ155" s="41">
        <f>BI158</f>
        <v/>
      </c>
    </row>
    <row r="156">
      <c r="A156" s="4" t="inlineStr">
        <is>
          <t>South Africa: Enterprise (inbound): new</t>
        </is>
      </c>
      <c r="B156" s="17" t="inlineStr">
        <is>
          <t>workspaces</t>
        </is>
      </c>
      <c r="C156" s="41">
        <f>C130</f>
        <v/>
      </c>
      <c r="D156" s="41">
        <f>D130</f>
        <v/>
      </c>
      <c r="E156" s="41">
        <f>E130</f>
        <v/>
      </c>
      <c r="F156" s="41">
        <f>F130</f>
        <v/>
      </c>
      <c r="G156" s="41">
        <f>G130</f>
        <v/>
      </c>
      <c r="H156" s="41">
        <f>H130</f>
        <v/>
      </c>
      <c r="I156" s="41">
        <f>I130</f>
        <v/>
      </c>
      <c r="J156" s="41">
        <f>J130</f>
        <v/>
      </c>
      <c r="K156" s="41">
        <f>K130</f>
        <v/>
      </c>
      <c r="L156" s="41">
        <f>L130</f>
        <v/>
      </c>
      <c r="M156" s="41">
        <f>M130</f>
        <v/>
      </c>
      <c r="N156" s="41">
        <f>N130</f>
        <v/>
      </c>
      <c r="O156" s="41">
        <f>O130</f>
        <v/>
      </c>
      <c r="P156" s="41">
        <f>P130</f>
        <v/>
      </c>
      <c r="Q156" s="41">
        <f>Q130</f>
        <v/>
      </c>
      <c r="R156" s="41">
        <f>R130</f>
        <v/>
      </c>
      <c r="S156" s="41">
        <f>S130</f>
        <v/>
      </c>
      <c r="T156" s="41">
        <f>T130</f>
        <v/>
      </c>
      <c r="U156" s="41">
        <f>U130</f>
        <v/>
      </c>
      <c r="V156" s="41">
        <f>V130</f>
        <v/>
      </c>
      <c r="W156" s="41">
        <f>W130</f>
        <v/>
      </c>
      <c r="X156" s="41">
        <f>X130</f>
        <v/>
      </c>
      <c r="Y156" s="41">
        <f>Y130</f>
        <v/>
      </c>
      <c r="Z156" s="41">
        <f>Z130</f>
        <v/>
      </c>
      <c r="AA156" s="41">
        <f>AA130</f>
        <v/>
      </c>
      <c r="AB156" s="41">
        <f>AB130</f>
        <v/>
      </c>
      <c r="AC156" s="41">
        <f>AC130</f>
        <v/>
      </c>
      <c r="AD156" s="41">
        <f>AD130</f>
        <v/>
      </c>
      <c r="AE156" s="41">
        <f>AE130</f>
        <v/>
      </c>
      <c r="AF156" s="41">
        <f>AF130</f>
        <v/>
      </c>
      <c r="AG156" s="41">
        <f>AG130</f>
        <v/>
      </c>
      <c r="AH156" s="41">
        <f>AH130</f>
        <v/>
      </c>
      <c r="AI156" s="41">
        <f>AI130</f>
        <v/>
      </c>
      <c r="AJ156" s="41">
        <f>AJ130</f>
        <v/>
      </c>
      <c r="AK156" s="41">
        <f>AK130</f>
        <v/>
      </c>
      <c r="AL156" s="41">
        <f>AL130</f>
        <v/>
      </c>
      <c r="AM156" s="41">
        <f>AM130</f>
        <v/>
      </c>
      <c r="AN156" s="41">
        <f>AN130</f>
        <v/>
      </c>
      <c r="AO156" s="41">
        <f>AO130</f>
        <v/>
      </c>
      <c r="AP156" s="41">
        <f>AP130</f>
        <v/>
      </c>
      <c r="AQ156" s="41">
        <f>AQ130</f>
        <v/>
      </c>
      <c r="AR156" s="41">
        <f>AR130</f>
        <v/>
      </c>
      <c r="AS156" s="41">
        <f>AS130</f>
        <v/>
      </c>
      <c r="AT156" s="41">
        <f>AT130</f>
        <v/>
      </c>
      <c r="AU156" s="41">
        <f>AU130</f>
        <v/>
      </c>
      <c r="AV156" s="41">
        <f>AV130</f>
        <v/>
      </c>
      <c r="AW156" s="41">
        <f>AW130</f>
        <v/>
      </c>
      <c r="AX156" s="41">
        <f>AX130</f>
        <v/>
      </c>
      <c r="AY156" s="41">
        <f>AY130</f>
        <v/>
      </c>
      <c r="AZ156" s="41">
        <f>AZ130</f>
        <v/>
      </c>
      <c r="BA156" s="41">
        <f>BA130</f>
        <v/>
      </c>
      <c r="BB156" s="41">
        <f>BB130</f>
        <v/>
      </c>
      <c r="BC156" s="41">
        <f>BC130</f>
        <v/>
      </c>
      <c r="BD156" s="41">
        <f>BD130</f>
        <v/>
      </c>
      <c r="BE156" s="41">
        <f>BE130</f>
        <v/>
      </c>
      <c r="BF156" s="41">
        <f>BF130</f>
        <v/>
      </c>
      <c r="BG156" s="41">
        <f>BG130</f>
        <v/>
      </c>
      <c r="BH156" s="41">
        <f>BH130</f>
        <v/>
      </c>
      <c r="BI156" s="41">
        <f>BI130</f>
        <v/>
      </c>
      <c r="BJ156" s="41">
        <f>BJ130</f>
        <v/>
      </c>
    </row>
    <row r="157">
      <c r="A157" s="4" t="inlineStr">
        <is>
          <t>South Africa: Enterprise (inbound): churned</t>
        </is>
      </c>
      <c r="B157" s="17" t="inlineStr">
        <is>
          <t>workspaces</t>
        </is>
      </c>
      <c r="C157" s="41">
        <f>C155*Assumptions!$B$137*Assumptions!$B$50*Assumptions!$B$35</f>
        <v/>
      </c>
      <c r="D157" s="41">
        <f>D155*Assumptions!$B$137*Assumptions!$B$50*Assumptions!$B$35</f>
        <v/>
      </c>
      <c r="E157" s="41">
        <f>E155*Assumptions!$B$137*Assumptions!$B$50*Assumptions!$B$35</f>
        <v/>
      </c>
      <c r="F157" s="41">
        <f>F155*Assumptions!$B$137*Assumptions!$B$50*Assumptions!$B$35</f>
        <v/>
      </c>
      <c r="G157" s="41">
        <f>G155*Assumptions!$B$137*Assumptions!$B$50*Assumptions!$B$35</f>
        <v/>
      </c>
      <c r="H157" s="41">
        <f>H155*Assumptions!$B$137*Assumptions!$B$50*Assumptions!$B$35</f>
        <v/>
      </c>
      <c r="I157" s="41">
        <f>I155*Assumptions!$B$137*Assumptions!$B$50*Assumptions!$B$35</f>
        <v/>
      </c>
      <c r="J157" s="41">
        <f>J155*Assumptions!$B$137*Assumptions!$B$50*Assumptions!$B$35</f>
        <v/>
      </c>
      <c r="K157" s="41">
        <f>K155*Assumptions!$B$137*Assumptions!$B$50*Assumptions!$B$35</f>
        <v/>
      </c>
      <c r="L157" s="41">
        <f>L155*Assumptions!$B$137*Assumptions!$B$50*Assumptions!$B$35</f>
        <v/>
      </c>
      <c r="M157" s="41">
        <f>M155*Assumptions!$B$137*Assumptions!$B$50*Assumptions!$B$35</f>
        <v/>
      </c>
      <c r="N157" s="41">
        <f>N155*Assumptions!$B$137*Assumptions!$B$50*Assumptions!$B$35</f>
        <v/>
      </c>
      <c r="O157" s="41">
        <f>O155*Assumptions!$B$137*Assumptions!$B$50*Assumptions!$B$35</f>
        <v/>
      </c>
      <c r="P157" s="41">
        <f>P155*Assumptions!$B$137*Assumptions!$B$50*Assumptions!$B$35</f>
        <v/>
      </c>
      <c r="Q157" s="41">
        <f>Q155*Assumptions!$B$137*Assumptions!$B$50*Assumptions!$B$35</f>
        <v/>
      </c>
      <c r="R157" s="41">
        <f>R155*Assumptions!$B$137*Assumptions!$B$50*Assumptions!$B$35</f>
        <v/>
      </c>
      <c r="S157" s="41">
        <f>S155*Assumptions!$B$137*Assumptions!$B$50*Assumptions!$B$35</f>
        <v/>
      </c>
      <c r="T157" s="41">
        <f>T155*Assumptions!$B$137*Assumptions!$B$50*Assumptions!$B$35</f>
        <v/>
      </c>
      <c r="U157" s="41">
        <f>U155*Assumptions!$B$137*Assumptions!$B$50*Assumptions!$B$35</f>
        <v/>
      </c>
      <c r="V157" s="41">
        <f>V155*Assumptions!$B$137*Assumptions!$B$50*Assumptions!$B$35</f>
        <v/>
      </c>
      <c r="W157" s="41">
        <f>W155*Assumptions!$B$137*Assumptions!$B$50*Assumptions!$B$35</f>
        <v/>
      </c>
      <c r="X157" s="41">
        <f>X155*Assumptions!$B$137*Assumptions!$B$50*Assumptions!$B$35</f>
        <v/>
      </c>
      <c r="Y157" s="41">
        <f>Y155*Assumptions!$B$137*Assumptions!$B$50*Assumptions!$B$35</f>
        <v/>
      </c>
      <c r="Z157" s="41">
        <f>Z155*Assumptions!$B$137*Assumptions!$B$50*Assumptions!$B$35</f>
        <v/>
      </c>
      <c r="AA157" s="41">
        <f>AA155*Assumptions!$B$137*Assumptions!$B$50*Assumptions!$B$35</f>
        <v/>
      </c>
      <c r="AB157" s="41">
        <f>AB155*Assumptions!$B$137*Assumptions!$B$50*Assumptions!$B$35</f>
        <v/>
      </c>
      <c r="AC157" s="41">
        <f>AC155*Assumptions!$B$137*Assumptions!$B$50*Assumptions!$B$35</f>
        <v/>
      </c>
      <c r="AD157" s="41">
        <f>AD155*Assumptions!$B$137*Assumptions!$B$50*Assumptions!$B$35</f>
        <v/>
      </c>
      <c r="AE157" s="41">
        <f>AE155*Assumptions!$B$137*Assumptions!$B$50*Assumptions!$B$35</f>
        <v/>
      </c>
      <c r="AF157" s="41">
        <f>AF155*Assumptions!$B$137*Assumptions!$B$50*Assumptions!$B$35</f>
        <v/>
      </c>
      <c r="AG157" s="41">
        <f>AG155*Assumptions!$B$137*Assumptions!$B$50*Assumptions!$B$35</f>
        <v/>
      </c>
      <c r="AH157" s="41">
        <f>AH155*Assumptions!$B$137*Assumptions!$B$50*Assumptions!$B$35</f>
        <v/>
      </c>
      <c r="AI157" s="41">
        <f>AI155*Assumptions!$B$137*Assumptions!$B$50*Assumptions!$B$35</f>
        <v/>
      </c>
      <c r="AJ157" s="41">
        <f>AJ155*Assumptions!$B$137*Assumptions!$B$50*Assumptions!$B$35</f>
        <v/>
      </c>
      <c r="AK157" s="41">
        <f>AK155*Assumptions!$B$137*Assumptions!$B$50*Assumptions!$B$35</f>
        <v/>
      </c>
      <c r="AL157" s="41">
        <f>AL155*Assumptions!$B$137*Assumptions!$B$50*Assumptions!$B$35</f>
        <v/>
      </c>
      <c r="AM157" s="41">
        <f>AM155*Assumptions!$B$137*Assumptions!$B$50*Assumptions!$B$35</f>
        <v/>
      </c>
      <c r="AN157" s="41">
        <f>AN155*Assumptions!$B$137*Assumptions!$B$50*Assumptions!$B$35</f>
        <v/>
      </c>
      <c r="AO157" s="41">
        <f>AO155*Assumptions!$B$137*Assumptions!$B$50*Assumptions!$B$35</f>
        <v/>
      </c>
      <c r="AP157" s="41">
        <f>AP155*Assumptions!$B$137*Assumptions!$B$50*Assumptions!$B$35</f>
        <v/>
      </c>
      <c r="AQ157" s="41">
        <f>AQ155*Assumptions!$B$137*Assumptions!$B$50*Assumptions!$B$35</f>
        <v/>
      </c>
      <c r="AR157" s="41">
        <f>AR155*Assumptions!$B$137*Assumptions!$B$50*Assumptions!$B$35</f>
        <v/>
      </c>
      <c r="AS157" s="41">
        <f>AS155*Assumptions!$B$137*Assumptions!$B$50*Assumptions!$B$35</f>
        <v/>
      </c>
      <c r="AT157" s="41">
        <f>AT155*Assumptions!$B$137*Assumptions!$B$50*Assumptions!$B$35</f>
        <v/>
      </c>
      <c r="AU157" s="41">
        <f>AU155*Assumptions!$B$137*Assumptions!$B$50*Assumptions!$B$35</f>
        <v/>
      </c>
      <c r="AV157" s="41">
        <f>AV155*Assumptions!$B$137*Assumptions!$B$50*Assumptions!$B$35</f>
        <v/>
      </c>
      <c r="AW157" s="41">
        <f>AW155*Assumptions!$B$137*Assumptions!$B$50*Assumptions!$B$35</f>
        <v/>
      </c>
      <c r="AX157" s="41">
        <f>AX155*Assumptions!$B$137*Assumptions!$B$50*Assumptions!$B$35</f>
        <v/>
      </c>
      <c r="AY157" s="41">
        <f>AY155*Assumptions!$B$137*Assumptions!$B$50*Assumptions!$B$35</f>
        <v/>
      </c>
      <c r="AZ157" s="41">
        <f>AZ155*Assumptions!$B$137*Assumptions!$B$50*Assumptions!$B$35</f>
        <v/>
      </c>
      <c r="BA157" s="41">
        <f>BA155*Assumptions!$B$137*Assumptions!$B$50*Assumptions!$B$35</f>
        <v/>
      </c>
      <c r="BB157" s="41">
        <f>BB155*Assumptions!$B$137*Assumptions!$B$50*Assumptions!$B$35</f>
        <v/>
      </c>
      <c r="BC157" s="41">
        <f>BC155*Assumptions!$B$137*Assumptions!$B$50*Assumptions!$B$35</f>
        <v/>
      </c>
      <c r="BD157" s="41">
        <f>BD155*Assumptions!$B$137*Assumptions!$B$50*Assumptions!$B$35</f>
        <v/>
      </c>
      <c r="BE157" s="41">
        <f>BE155*Assumptions!$B$137*Assumptions!$B$50*Assumptions!$B$35</f>
        <v/>
      </c>
      <c r="BF157" s="41">
        <f>BF155*Assumptions!$B$137*Assumptions!$B$50*Assumptions!$B$35</f>
        <v/>
      </c>
      <c r="BG157" s="41">
        <f>BG155*Assumptions!$B$137*Assumptions!$B$50*Assumptions!$B$35</f>
        <v/>
      </c>
      <c r="BH157" s="41">
        <f>BH155*Assumptions!$B$137*Assumptions!$B$50*Assumptions!$B$35</f>
        <v/>
      </c>
      <c r="BI157" s="41">
        <f>BI155*Assumptions!$B$137*Assumptions!$B$50*Assumptions!$B$35</f>
        <v/>
      </c>
      <c r="BJ157" s="41">
        <f>BJ155*Assumptions!$B$137*Assumptions!$B$50*Assumptions!$B$35</f>
        <v/>
      </c>
    </row>
    <row r="158">
      <c r="A158" s="3" t="inlineStr">
        <is>
          <t>South Africa: Enterprise (inbound): closing</t>
        </is>
      </c>
      <c r="B158" s="17" t="inlineStr">
        <is>
          <t>workspaces</t>
        </is>
      </c>
      <c r="C158" s="44">
        <f>C155+C156-C157</f>
        <v/>
      </c>
      <c r="D158" s="44">
        <f>D155+D156-D157</f>
        <v/>
      </c>
      <c r="E158" s="44">
        <f>E155+E156-E157</f>
        <v/>
      </c>
      <c r="F158" s="44">
        <f>F155+F156-F157</f>
        <v/>
      </c>
      <c r="G158" s="44">
        <f>G155+G156-G157</f>
        <v/>
      </c>
      <c r="H158" s="44">
        <f>H155+H156-H157</f>
        <v/>
      </c>
      <c r="I158" s="44">
        <f>I155+I156-I157</f>
        <v/>
      </c>
      <c r="J158" s="44">
        <f>J155+J156-J157</f>
        <v/>
      </c>
      <c r="K158" s="44">
        <f>K155+K156-K157</f>
        <v/>
      </c>
      <c r="L158" s="44">
        <f>L155+L156-L157</f>
        <v/>
      </c>
      <c r="M158" s="44">
        <f>M155+M156-M157</f>
        <v/>
      </c>
      <c r="N158" s="44">
        <f>N155+N156-N157</f>
        <v/>
      </c>
      <c r="O158" s="44">
        <f>O155+O156-O157</f>
        <v/>
      </c>
      <c r="P158" s="44">
        <f>P155+P156-P157</f>
        <v/>
      </c>
      <c r="Q158" s="44">
        <f>Q155+Q156-Q157</f>
        <v/>
      </c>
      <c r="R158" s="44">
        <f>R155+R156-R157</f>
        <v/>
      </c>
      <c r="S158" s="44">
        <f>S155+S156-S157</f>
        <v/>
      </c>
      <c r="T158" s="44">
        <f>T155+T156-T157</f>
        <v/>
      </c>
      <c r="U158" s="44">
        <f>U155+U156-U157</f>
        <v/>
      </c>
      <c r="V158" s="44">
        <f>V155+V156-V157</f>
        <v/>
      </c>
      <c r="W158" s="44">
        <f>W155+W156-W157</f>
        <v/>
      </c>
      <c r="X158" s="44">
        <f>X155+X156-X157</f>
        <v/>
      </c>
      <c r="Y158" s="44">
        <f>Y155+Y156-Y157</f>
        <v/>
      </c>
      <c r="Z158" s="44">
        <f>Z155+Z156-Z157</f>
        <v/>
      </c>
      <c r="AA158" s="44">
        <f>AA155+AA156-AA157</f>
        <v/>
      </c>
      <c r="AB158" s="44">
        <f>AB155+AB156-AB157</f>
        <v/>
      </c>
      <c r="AC158" s="44">
        <f>AC155+AC156-AC157</f>
        <v/>
      </c>
      <c r="AD158" s="44">
        <f>AD155+AD156-AD157</f>
        <v/>
      </c>
      <c r="AE158" s="44">
        <f>AE155+AE156-AE157</f>
        <v/>
      </c>
      <c r="AF158" s="44">
        <f>AF155+AF156-AF157</f>
        <v/>
      </c>
      <c r="AG158" s="44">
        <f>AG155+AG156-AG157</f>
        <v/>
      </c>
      <c r="AH158" s="44">
        <f>AH155+AH156-AH157</f>
        <v/>
      </c>
      <c r="AI158" s="44">
        <f>AI155+AI156-AI157</f>
        <v/>
      </c>
      <c r="AJ158" s="44">
        <f>AJ155+AJ156-AJ157</f>
        <v/>
      </c>
      <c r="AK158" s="44">
        <f>AK155+AK156-AK157</f>
        <v/>
      </c>
      <c r="AL158" s="44">
        <f>AL155+AL156-AL157</f>
        <v/>
      </c>
      <c r="AM158" s="44">
        <f>AM155+AM156-AM157</f>
        <v/>
      </c>
      <c r="AN158" s="44">
        <f>AN155+AN156-AN157</f>
        <v/>
      </c>
      <c r="AO158" s="44">
        <f>AO155+AO156-AO157</f>
        <v/>
      </c>
      <c r="AP158" s="44">
        <f>AP155+AP156-AP157</f>
        <v/>
      </c>
      <c r="AQ158" s="44">
        <f>AQ155+AQ156-AQ157</f>
        <v/>
      </c>
      <c r="AR158" s="44">
        <f>AR155+AR156-AR157</f>
        <v/>
      </c>
      <c r="AS158" s="44">
        <f>AS155+AS156-AS157</f>
        <v/>
      </c>
      <c r="AT158" s="44">
        <f>AT155+AT156-AT157</f>
        <v/>
      </c>
      <c r="AU158" s="44">
        <f>AU155+AU156-AU157</f>
        <v/>
      </c>
      <c r="AV158" s="44">
        <f>AV155+AV156-AV157</f>
        <v/>
      </c>
      <c r="AW158" s="44">
        <f>AW155+AW156-AW157</f>
        <v/>
      </c>
      <c r="AX158" s="44">
        <f>AX155+AX156-AX157</f>
        <v/>
      </c>
      <c r="AY158" s="44">
        <f>AY155+AY156-AY157</f>
        <v/>
      </c>
      <c r="AZ158" s="44">
        <f>AZ155+AZ156-AZ157</f>
        <v/>
      </c>
      <c r="BA158" s="44">
        <f>BA155+BA156-BA157</f>
        <v/>
      </c>
      <c r="BB158" s="44">
        <f>BB155+BB156-BB157</f>
        <v/>
      </c>
      <c r="BC158" s="44">
        <f>BC155+BC156-BC157</f>
        <v/>
      </c>
      <c r="BD158" s="44">
        <f>BD155+BD156-BD157</f>
        <v/>
      </c>
      <c r="BE158" s="44">
        <f>BE155+BE156-BE157</f>
        <v/>
      </c>
      <c r="BF158" s="44">
        <f>BF155+BF156-BF157</f>
        <v/>
      </c>
      <c r="BG158" s="44">
        <f>BG155+BG156-BG157</f>
        <v/>
      </c>
      <c r="BH158" s="44">
        <f>BH155+BH156-BH157</f>
        <v/>
      </c>
      <c r="BI158" s="44">
        <f>BI155+BI156-BI157</f>
        <v/>
      </c>
      <c r="BJ158" s="44">
        <f>BJ155+BJ156-BJ157</f>
        <v/>
      </c>
    </row>
    <row r="159">
      <c r="A159" s="4" t="inlineStr">
        <is>
          <t>Nigeria: Solo: Starter: opening</t>
        </is>
      </c>
      <c r="B159" s="17" t="inlineStr">
        <is>
          <t>workspaces</t>
        </is>
      </c>
      <c r="C159" s="41">
        <f>0</f>
        <v/>
      </c>
      <c r="D159" s="41">
        <f>C163</f>
        <v/>
      </c>
      <c r="E159" s="41">
        <f>D163</f>
        <v/>
      </c>
      <c r="F159" s="41">
        <f>E163</f>
        <v/>
      </c>
      <c r="G159" s="41">
        <f>F163</f>
        <v/>
      </c>
      <c r="H159" s="41">
        <f>G163</f>
        <v/>
      </c>
      <c r="I159" s="41">
        <f>H163</f>
        <v/>
      </c>
      <c r="J159" s="41">
        <f>I163</f>
        <v/>
      </c>
      <c r="K159" s="41">
        <f>J163</f>
        <v/>
      </c>
      <c r="L159" s="41">
        <f>K163</f>
        <v/>
      </c>
      <c r="M159" s="41">
        <f>L163</f>
        <v/>
      </c>
      <c r="N159" s="41">
        <f>M163</f>
        <v/>
      </c>
      <c r="O159" s="41">
        <f>N163</f>
        <v/>
      </c>
      <c r="P159" s="41">
        <f>O163</f>
        <v/>
      </c>
      <c r="Q159" s="41">
        <f>P163</f>
        <v/>
      </c>
      <c r="R159" s="41">
        <f>Q163</f>
        <v/>
      </c>
      <c r="S159" s="41">
        <f>R163</f>
        <v/>
      </c>
      <c r="T159" s="41">
        <f>S163</f>
        <v/>
      </c>
      <c r="U159" s="41">
        <f>T163</f>
        <v/>
      </c>
      <c r="V159" s="41">
        <f>U163</f>
        <v/>
      </c>
      <c r="W159" s="41">
        <f>V163</f>
        <v/>
      </c>
      <c r="X159" s="41">
        <f>W163</f>
        <v/>
      </c>
      <c r="Y159" s="41">
        <f>X163</f>
        <v/>
      </c>
      <c r="Z159" s="41">
        <f>Y163</f>
        <v/>
      </c>
      <c r="AA159" s="41">
        <f>Z163</f>
        <v/>
      </c>
      <c r="AB159" s="41">
        <f>AA163</f>
        <v/>
      </c>
      <c r="AC159" s="41">
        <f>AB163</f>
        <v/>
      </c>
      <c r="AD159" s="41">
        <f>AC163</f>
        <v/>
      </c>
      <c r="AE159" s="41">
        <f>AD163</f>
        <v/>
      </c>
      <c r="AF159" s="41">
        <f>AE163</f>
        <v/>
      </c>
      <c r="AG159" s="41">
        <f>AF163</f>
        <v/>
      </c>
      <c r="AH159" s="41">
        <f>AG163</f>
        <v/>
      </c>
      <c r="AI159" s="41">
        <f>AH163</f>
        <v/>
      </c>
      <c r="AJ159" s="41">
        <f>AI163</f>
        <v/>
      </c>
      <c r="AK159" s="41">
        <f>AJ163</f>
        <v/>
      </c>
      <c r="AL159" s="41">
        <f>AK163</f>
        <v/>
      </c>
      <c r="AM159" s="41">
        <f>AL163</f>
        <v/>
      </c>
      <c r="AN159" s="41">
        <f>AM163</f>
        <v/>
      </c>
      <c r="AO159" s="41">
        <f>AN163</f>
        <v/>
      </c>
      <c r="AP159" s="41">
        <f>AO163</f>
        <v/>
      </c>
      <c r="AQ159" s="41">
        <f>AP163</f>
        <v/>
      </c>
      <c r="AR159" s="41">
        <f>AQ163</f>
        <v/>
      </c>
      <c r="AS159" s="41">
        <f>AR163</f>
        <v/>
      </c>
      <c r="AT159" s="41">
        <f>AS163</f>
        <v/>
      </c>
      <c r="AU159" s="41">
        <f>AT163</f>
        <v/>
      </c>
      <c r="AV159" s="41">
        <f>AU163</f>
        <v/>
      </c>
      <c r="AW159" s="41">
        <f>AV163</f>
        <v/>
      </c>
      <c r="AX159" s="41">
        <f>AW163</f>
        <v/>
      </c>
      <c r="AY159" s="41">
        <f>AX163</f>
        <v/>
      </c>
      <c r="AZ159" s="41">
        <f>AY163</f>
        <v/>
      </c>
      <c r="BA159" s="41">
        <f>AZ163</f>
        <v/>
      </c>
      <c r="BB159" s="41">
        <f>BA163</f>
        <v/>
      </c>
      <c r="BC159" s="41">
        <f>BB163</f>
        <v/>
      </c>
      <c r="BD159" s="41">
        <f>BC163</f>
        <v/>
      </c>
      <c r="BE159" s="41">
        <f>BD163</f>
        <v/>
      </c>
      <c r="BF159" s="41">
        <f>BE163</f>
        <v/>
      </c>
      <c r="BG159" s="41">
        <f>BF163</f>
        <v/>
      </c>
      <c r="BH159" s="41">
        <f>BG163</f>
        <v/>
      </c>
      <c r="BI159" s="41">
        <f>BH163</f>
        <v/>
      </c>
      <c r="BJ159" s="41">
        <f>BI163</f>
        <v/>
      </c>
    </row>
    <row r="160">
      <c r="A160" s="4" t="inlineStr">
        <is>
          <t>Nigeria: Solo: Starter: new</t>
        </is>
      </c>
      <c r="B160" s="17" t="inlineStr">
        <is>
          <t>workspaces</t>
        </is>
      </c>
      <c r="C160" s="41">
        <f>C115*(1-Assumptions!$B$125)</f>
        <v/>
      </c>
      <c r="D160" s="41">
        <f>D115*(1-Assumptions!$B$125)</f>
        <v/>
      </c>
      <c r="E160" s="41">
        <f>E115*(1-Assumptions!$B$125)</f>
        <v/>
      </c>
      <c r="F160" s="41">
        <f>F115*(1-Assumptions!$B$125)</f>
        <v/>
      </c>
      <c r="G160" s="41">
        <f>G115*(1-Assumptions!$B$125)</f>
        <v/>
      </c>
      <c r="H160" s="41">
        <f>H115*(1-Assumptions!$B$125)</f>
        <v/>
      </c>
      <c r="I160" s="41">
        <f>I115*(1-Assumptions!$B$125)</f>
        <v/>
      </c>
      <c r="J160" s="41">
        <f>J115*(1-Assumptions!$B$125)</f>
        <v/>
      </c>
      <c r="K160" s="41">
        <f>K115*(1-Assumptions!$B$125)</f>
        <v/>
      </c>
      <c r="L160" s="41">
        <f>L115*(1-Assumptions!$B$125)</f>
        <v/>
      </c>
      <c r="M160" s="41">
        <f>M115*(1-Assumptions!$B$125)</f>
        <v/>
      </c>
      <c r="N160" s="41">
        <f>N115*(1-Assumptions!$B$125)</f>
        <v/>
      </c>
      <c r="O160" s="41">
        <f>O115*(1-Assumptions!$B$125)</f>
        <v/>
      </c>
      <c r="P160" s="41">
        <f>P115*(1-Assumptions!$B$125)</f>
        <v/>
      </c>
      <c r="Q160" s="41">
        <f>Q115*(1-Assumptions!$B$125)</f>
        <v/>
      </c>
      <c r="R160" s="41">
        <f>R115*(1-Assumptions!$B$125)</f>
        <v/>
      </c>
      <c r="S160" s="41">
        <f>S115*(1-Assumptions!$B$125)</f>
        <v/>
      </c>
      <c r="T160" s="41">
        <f>T115*(1-Assumptions!$B$125)</f>
        <v/>
      </c>
      <c r="U160" s="41">
        <f>U115*(1-Assumptions!$B$125)</f>
        <v/>
      </c>
      <c r="V160" s="41">
        <f>V115*(1-Assumptions!$B$125)</f>
        <v/>
      </c>
      <c r="W160" s="41">
        <f>W115*(1-Assumptions!$B$125)</f>
        <v/>
      </c>
      <c r="X160" s="41">
        <f>X115*(1-Assumptions!$B$125)</f>
        <v/>
      </c>
      <c r="Y160" s="41">
        <f>Y115*(1-Assumptions!$B$125)</f>
        <v/>
      </c>
      <c r="Z160" s="41">
        <f>Z115*(1-Assumptions!$B$125)</f>
        <v/>
      </c>
      <c r="AA160" s="41">
        <f>AA115*(1-Assumptions!$B$125)</f>
        <v/>
      </c>
      <c r="AB160" s="41">
        <f>AB115*(1-Assumptions!$B$125)</f>
        <v/>
      </c>
      <c r="AC160" s="41">
        <f>AC115*(1-Assumptions!$B$125)</f>
        <v/>
      </c>
      <c r="AD160" s="41">
        <f>AD115*(1-Assumptions!$B$125)</f>
        <v/>
      </c>
      <c r="AE160" s="41">
        <f>AE115*(1-Assumptions!$B$125)</f>
        <v/>
      </c>
      <c r="AF160" s="41">
        <f>AF115*(1-Assumptions!$B$125)</f>
        <v/>
      </c>
      <c r="AG160" s="41">
        <f>AG115*(1-Assumptions!$B$125)</f>
        <v/>
      </c>
      <c r="AH160" s="41">
        <f>AH115*(1-Assumptions!$B$125)</f>
        <v/>
      </c>
      <c r="AI160" s="41">
        <f>AI115*(1-Assumptions!$B$125)</f>
        <v/>
      </c>
      <c r="AJ160" s="41">
        <f>AJ115*(1-Assumptions!$B$125)</f>
        <v/>
      </c>
      <c r="AK160" s="41">
        <f>AK115*(1-Assumptions!$B$125)</f>
        <v/>
      </c>
      <c r="AL160" s="41">
        <f>AL115*(1-Assumptions!$B$125)</f>
        <v/>
      </c>
      <c r="AM160" s="41">
        <f>AM115*(1-Assumptions!$B$125)</f>
        <v/>
      </c>
      <c r="AN160" s="41">
        <f>AN115*(1-Assumptions!$B$125)</f>
        <v/>
      </c>
      <c r="AO160" s="41">
        <f>AO115*(1-Assumptions!$B$125)</f>
        <v/>
      </c>
      <c r="AP160" s="41">
        <f>AP115*(1-Assumptions!$B$125)</f>
        <v/>
      </c>
      <c r="AQ160" s="41">
        <f>AQ115*(1-Assumptions!$B$125)</f>
        <v/>
      </c>
      <c r="AR160" s="41">
        <f>AR115*(1-Assumptions!$B$125)</f>
        <v/>
      </c>
      <c r="AS160" s="41">
        <f>AS115*(1-Assumptions!$B$125)</f>
        <v/>
      </c>
      <c r="AT160" s="41">
        <f>AT115*(1-Assumptions!$B$125)</f>
        <v/>
      </c>
      <c r="AU160" s="41">
        <f>AU115*(1-Assumptions!$B$125)</f>
        <v/>
      </c>
      <c r="AV160" s="41">
        <f>AV115*(1-Assumptions!$B$125)</f>
        <v/>
      </c>
      <c r="AW160" s="41">
        <f>AW115*(1-Assumptions!$B$125)</f>
        <v/>
      </c>
      <c r="AX160" s="41">
        <f>AX115*(1-Assumptions!$B$125)</f>
        <v/>
      </c>
      <c r="AY160" s="41">
        <f>AY115*(1-Assumptions!$B$125)</f>
        <v/>
      </c>
      <c r="AZ160" s="41">
        <f>AZ115*(1-Assumptions!$B$125)</f>
        <v/>
      </c>
      <c r="BA160" s="41">
        <f>BA115*(1-Assumptions!$B$125)</f>
        <v/>
      </c>
      <c r="BB160" s="41">
        <f>BB115*(1-Assumptions!$B$125)</f>
        <v/>
      </c>
      <c r="BC160" s="41">
        <f>BC115*(1-Assumptions!$B$125)</f>
        <v/>
      </c>
      <c r="BD160" s="41">
        <f>BD115*(1-Assumptions!$B$125)</f>
        <v/>
      </c>
      <c r="BE160" s="41">
        <f>BE115*(1-Assumptions!$B$125)</f>
        <v/>
      </c>
      <c r="BF160" s="41">
        <f>BF115*(1-Assumptions!$B$125)</f>
        <v/>
      </c>
      <c r="BG160" s="41">
        <f>BG115*(1-Assumptions!$B$125)</f>
        <v/>
      </c>
      <c r="BH160" s="41">
        <f>BH115*(1-Assumptions!$B$125)</f>
        <v/>
      </c>
      <c r="BI160" s="41">
        <f>BI115*(1-Assumptions!$B$125)</f>
        <v/>
      </c>
      <c r="BJ160" s="41">
        <f>BJ115*(1-Assumptions!$B$125)</f>
        <v/>
      </c>
    </row>
    <row r="161">
      <c r="A161" s="4" t="inlineStr">
        <is>
          <t>Nigeria: Solo: Starter: churned</t>
        </is>
      </c>
      <c r="B161" s="17" t="inlineStr">
        <is>
          <t>workspaces</t>
        </is>
      </c>
      <c r="C161" s="41">
        <f>C159*Assumptions!$B$132*Assumptions!$B$50*Assumptions!$B$35*Assumptions!$B$71</f>
        <v/>
      </c>
      <c r="D161" s="41">
        <f>D159*Assumptions!$B$132*Assumptions!$B$50*Assumptions!$B$35*Assumptions!$B$71</f>
        <v/>
      </c>
      <c r="E161" s="41">
        <f>E159*Assumptions!$B$132*Assumptions!$B$50*Assumptions!$B$35*Assumptions!$B$71</f>
        <v/>
      </c>
      <c r="F161" s="41">
        <f>F159*Assumptions!$B$132*Assumptions!$B$50*Assumptions!$B$35*Assumptions!$B$71</f>
        <v/>
      </c>
      <c r="G161" s="41">
        <f>G159*Assumptions!$B$132*Assumptions!$B$50*Assumptions!$B$35*Assumptions!$B$71</f>
        <v/>
      </c>
      <c r="H161" s="41">
        <f>H159*Assumptions!$B$132*Assumptions!$B$50*Assumptions!$B$35*Assumptions!$B$71</f>
        <v/>
      </c>
      <c r="I161" s="41">
        <f>I159*Assumptions!$B$132*Assumptions!$B$50*Assumptions!$B$35*Assumptions!$B$71</f>
        <v/>
      </c>
      <c r="J161" s="41">
        <f>J159*Assumptions!$B$132*Assumptions!$B$50*Assumptions!$B$35*Assumptions!$B$71</f>
        <v/>
      </c>
      <c r="K161" s="41">
        <f>K159*Assumptions!$B$132*Assumptions!$B$50*Assumptions!$B$35*Assumptions!$B$71</f>
        <v/>
      </c>
      <c r="L161" s="41">
        <f>L159*Assumptions!$B$132*Assumptions!$B$50*Assumptions!$B$35*Assumptions!$B$71</f>
        <v/>
      </c>
      <c r="M161" s="41">
        <f>M159*Assumptions!$B$132*Assumptions!$B$50*Assumptions!$B$35*Assumptions!$B$71</f>
        <v/>
      </c>
      <c r="N161" s="41">
        <f>N159*Assumptions!$B$132*Assumptions!$B$50*Assumptions!$B$35*Assumptions!$B$71</f>
        <v/>
      </c>
      <c r="O161" s="41">
        <f>O159*Assumptions!$B$132*Assumptions!$B$50*Assumptions!$B$35*Assumptions!$B$71</f>
        <v/>
      </c>
      <c r="P161" s="41">
        <f>P159*Assumptions!$B$132*Assumptions!$B$50*Assumptions!$B$35*Assumptions!$B$71</f>
        <v/>
      </c>
      <c r="Q161" s="41">
        <f>Q159*Assumptions!$B$132*Assumptions!$B$50*Assumptions!$B$35*Assumptions!$B$71</f>
        <v/>
      </c>
      <c r="R161" s="41">
        <f>R159*Assumptions!$B$132*Assumptions!$B$50*Assumptions!$B$35*Assumptions!$B$71</f>
        <v/>
      </c>
      <c r="S161" s="41">
        <f>S159*Assumptions!$B$132*Assumptions!$B$50*Assumptions!$B$35*Assumptions!$B$71</f>
        <v/>
      </c>
      <c r="T161" s="41">
        <f>T159*Assumptions!$B$132*Assumptions!$B$50*Assumptions!$B$35*Assumptions!$B$71</f>
        <v/>
      </c>
      <c r="U161" s="41">
        <f>U159*Assumptions!$B$132*Assumptions!$B$50*Assumptions!$B$35*Assumptions!$B$71</f>
        <v/>
      </c>
      <c r="V161" s="41">
        <f>V159*Assumptions!$B$132*Assumptions!$B$50*Assumptions!$B$35*Assumptions!$B$71</f>
        <v/>
      </c>
      <c r="W161" s="41">
        <f>W159*Assumptions!$B$132*Assumptions!$B$50*Assumptions!$B$35*Assumptions!$B$71</f>
        <v/>
      </c>
      <c r="X161" s="41">
        <f>X159*Assumptions!$B$132*Assumptions!$B$50*Assumptions!$B$35*Assumptions!$B$71</f>
        <v/>
      </c>
      <c r="Y161" s="41">
        <f>Y159*Assumptions!$B$132*Assumptions!$B$50*Assumptions!$B$35*Assumptions!$B$71</f>
        <v/>
      </c>
      <c r="Z161" s="41">
        <f>Z159*Assumptions!$B$132*Assumptions!$B$50*Assumptions!$B$35*Assumptions!$B$71</f>
        <v/>
      </c>
      <c r="AA161" s="41">
        <f>AA159*Assumptions!$B$132*Assumptions!$B$50*Assumptions!$B$35*Assumptions!$B$71</f>
        <v/>
      </c>
      <c r="AB161" s="41">
        <f>AB159*Assumptions!$B$132*Assumptions!$B$50*Assumptions!$B$35*Assumptions!$B$71</f>
        <v/>
      </c>
      <c r="AC161" s="41">
        <f>AC159*Assumptions!$B$132*Assumptions!$B$50*Assumptions!$B$35*Assumptions!$B$71</f>
        <v/>
      </c>
      <c r="AD161" s="41">
        <f>AD159*Assumptions!$B$132*Assumptions!$B$50*Assumptions!$B$35*Assumptions!$B$71</f>
        <v/>
      </c>
      <c r="AE161" s="41">
        <f>AE159*Assumptions!$B$132*Assumptions!$B$50*Assumptions!$B$35*Assumptions!$B$71</f>
        <v/>
      </c>
      <c r="AF161" s="41">
        <f>AF159*Assumptions!$B$132*Assumptions!$B$50*Assumptions!$B$35*Assumptions!$B$71</f>
        <v/>
      </c>
      <c r="AG161" s="41">
        <f>AG159*Assumptions!$B$132*Assumptions!$B$50*Assumptions!$B$35*Assumptions!$B$71</f>
        <v/>
      </c>
      <c r="AH161" s="41">
        <f>AH159*Assumptions!$B$132*Assumptions!$B$50*Assumptions!$B$35*Assumptions!$B$71</f>
        <v/>
      </c>
      <c r="AI161" s="41">
        <f>AI159*Assumptions!$B$132*Assumptions!$B$50*Assumptions!$B$35*Assumptions!$B$71</f>
        <v/>
      </c>
      <c r="AJ161" s="41">
        <f>AJ159*Assumptions!$B$132*Assumptions!$B$50*Assumptions!$B$35*Assumptions!$B$71</f>
        <v/>
      </c>
      <c r="AK161" s="41">
        <f>AK159*Assumptions!$B$132*Assumptions!$B$50*Assumptions!$B$35*Assumptions!$B$71</f>
        <v/>
      </c>
      <c r="AL161" s="41">
        <f>AL159*Assumptions!$B$132*Assumptions!$B$50*Assumptions!$B$35*Assumptions!$B$71</f>
        <v/>
      </c>
      <c r="AM161" s="41">
        <f>AM159*Assumptions!$B$132*Assumptions!$B$50*Assumptions!$B$35*Assumptions!$B$71</f>
        <v/>
      </c>
      <c r="AN161" s="41">
        <f>AN159*Assumptions!$B$132*Assumptions!$B$50*Assumptions!$B$35*Assumptions!$B$71</f>
        <v/>
      </c>
      <c r="AO161" s="41">
        <f>AO159*Assumptions!$B$132*Assumptions!$B$50*Assumptions!$B$35*Assumptions!$B$71</f>
        <v/>
      </c>
      <c r="AP161" s="41">
        <f>AP159*Assumptions!$B$132*Assumptions!$B$50*Assumptions!$B$35*Assumptions!$B$71</f>
        <v/>
      </c>
      <c r="AQ161" s="41">
        <f>AQ159*Assumptions!$B$132*Assumptions!$B$50*Assumptions!$B$35*Assumptions!$B$71</f>
        <v/>
      </c>
      <c r="AR161" s="41">
        <f>AR159*Assumptions!$B$132*Assumptions!$B$50*Assumptions!$B$35*Assumptions!$B$71</f>
        <v/>
      </c>
      <c r="AS161" s="41">
        <f>AS159*Assumptions!$B$132*Assumptions!$B$50*Assumptions!$B$35*Assumptions!$B$71</f>
        <v/>
      </c>
      <c r="AT161" s="41">
        <f>AT159*Assumptions!$B$132*Assumptions!$B$50*Assumptions!$B$35*Assumptions!$B$71</f>
        <v/>
      </c>
      <c r="AU161" s="41">
        <f>AU159*Assumptions!$B$132*Assumptions!$B$50*Assumptions!$B$35*Assumptions!$B$71</f>
        <v/>
      </c>
      <c r="AV161" s="41">
        <f>AV159*Assumptions!$B$132*Assumptions!$B$50*Assumptions!$B$35*Assumptions!$B$71</f>
        <v/>
      </c>
      <c r="AW161" s="41">
        <f>AW159*Assumptions!$B$132*Assumptions!$B$50*Assumptions!$B$35*Assumptions!$B$71</f>
        <v/>
      </c>
      <c r="AX161" s="41">
        <f>AX159*Assumptions!$B$132*Assumptions!$B$50*Assumptions!$B$35*Assumptions!$B$71</f>
        <v/>
      </c>
      <c r="AY161" s="41">
        <f>AY159*Assumptions!$B$132*Assumptions!$B$50*Assumptions!$B$35*Assumptions!$B$71</f>
        <v/>
      </c>
      <c r="AZ161" s="41">
        <f>AZ159*Assumptions!$B$132*Assumptions!$B$50*Assumptions!$B$35*Assumptions!$B$71</f>
        <v/>
      </c>
      <c r="BA161" s="41">
        <f>BA159*Assumptions!$B$132*Assumptions!$B$50*Assumptions!$B$35*Assumptions!$B$71</f>
        <v/>
      </c>
      <c r="BB161" s="41">
        <f>BB159*Assumptions!$B$132*Assumptions!$B$50*Assumptions!$B$35*Assumptions!$B$71</f>
        <v/>
      </c>
      <c r="BC161" s="41">
        <f>BC159*Assumptions!$B$132*Assumptions!$B$50*Assumptions!$B$35*Assumptions!$B$71</f>
        <v/>
      </c>
      <c r="BD161" s="41">
        <f>BD159*Assumptions!$B$132*Assumptions!$B$50*Assumptions!$B$35*Assumptions!$B$71</f>
        <v/>
      </c>
      <c r="BE161" s="41">
        <f>BE159*Assumptions!$B$132*Assumptions!$B$50*Assumptions!$B$35*Assumptions!$B$71</f>
        <v/>
      </c>
      <c r="BF161" s="41">
        <f>BF159*Assumptions!$B$132*Assumptions!$B$50*Assumptions!$B$35*Assumptions!$B$71</f>
        <v/>
      </c>
      <c r="BG161" s="41">
        <f>BG159*Assumptions!$B$132*Assumptions!$B$50*Assumptions!$B$35*Assumptions!$B$71</f>
        <v/>
      </c>
      <c r="BH161" s="41">
        <f>BH159*Assumptions!$B$132*Assumptions!$B$50*Assumptions!$B$35*Assumptions!$B$71</f>
        <v/>
      </c>
      <c r="BI161" s="41">
        <f>BI159*Assumptions!$B$132*Assumptions!$B$50*Assumptions!$B$35*Assumptions!$B$71</f>
        <v/>
      </c>
      <c r="BJ161" s="41">
        <f>BJ159*Assumptions!$B$132*Assumptions!$B$50*Assumptions!$B$35*Assumptions!$B$71</f>
        <v/>
      </c>
    </row>
    <row r="162">
      <c r="A162" s="4" t="inlineStr">
        <is>
          <t>Nigeria: Solo: Starter: upgraded out</t>
        </is>
      </c>
      <c r="B162" s="17" t="inlineStr">
        <is>
          <t>workspaces</t>
        </is>
      </c>
      <c r="C162" s="41">
        <f>C159*Assumptions!$B$127</f>
        <v/>
      </c>
      <c r="D162" s="41">
        <f>D159*Assumptions!$B$127</f>
        <v/>
      </c>
      <c r="E162" s="41">
        <f>E159*Assumptions!$B$127</f>
        <v/>
      </c>
      <c r="F162" s="41">
        <f>F159*Assumptions!$B$127</f>
        <v/>
      </c>
      <c r="G162" s="41">
        <f>G159*Assumptions!$B$127</f>
        <v/>
      </c>
      <c r="H162" s="41">
        <f>H159*Assumptions!$B$127</f>
        <v/>
      </c>
      <c r="I162" s="41">
        <f>I159*Assumptions!$B$127</f>
        <v/>
      </c>
      <c r="J162" s="41">
        <f>J159*Assumptions!$B$127</f>
        <v/>
      </c>
      <c r="K162" s="41">
        <f>K159*Assumptions!$B$127</f>
        <v/>
      </c>
      <c r="L162" s="41">
        <f>L159*Assumptions!$B$127</f>
        <v/>
      </c>
      <c r="M162" s="41">
        <f>M159*Assumptions!$B$127</f>
        <v/>
      </c>
      <c r="N162" s="41">
        <f>N159*Assumptions!$B$127</f>
        <v/>
      </c>
      <c r="O162" s="41">
        <f>O159*Assumptions!$B$127</f>
        <v/>
      </c>
      <c r="P162" s="41">
        <f>P159*Assumptions!$B$127</f>
        <v/>
      </c>
      <c r="Q162" s="41">
        <f>Q159*Assumptions!$B$127</f>
        <v/>
      </c>
      <c r="R162" s="41">
        <f>R159*Assumptions!$B$127</f>
        <v/>
      </c>
      <c r="S162" s="41">
        <f>S159*Assumptions!$B$127</f>
        <v/>
      </c>
      <c r="T162" s="41">
        <f>T159*Assumptions!$B$127</f>
        <v/>
      </c>
      <c r="U162" s="41">
        <f>U159*Assumptions!$B$127</f>
        <v/>
      </c>
      <c r="V162" s="41">
        <f>V159*Assumptions!$B$127</f>
        <v/>
      </c>
      <c r="W162" s="41">
        <f>W159*Assumptions!$B$127</f>
        <v/>
      </c>
      <c r="X162" s="41">
        <f>X159*Assumptions!$B$127</f>
        <v/>
      </c>
      <c r="Y162" s="41">
        <f>Y159*Assumptions!$B$127</f>
        <v/>
      </c>
      <c r="Z162" s="41">
        <f>Z159*Assumptions!$B$127</f>
        <v/>
      </c>
      <c r="AA162" s="41">
        <f>AA159*Assumptions!$B$127</f>
        <v/>
      </c>
      <c r="AB162" s="41">
        <f>AB159*Assumptions!$B$127</f>
        <v/>
      </c>
      <c r="AC162" s="41">
        <f>AC159*Assumptions!$B$127</f>
        <v/>
      </c>
      <c r="AD162" s="41">
        <f>AD159*Assumptions!$B$127</f>
        <v/>
      </c>
      <c r="AE162" s="41">
        <f>AE159*Assumptions!$B$127</f>
        <v/>
      </c>
      <c r="AF162" s="41">
        <f>AF159*Assumptions!$B$127</f>
        <v/>
      </c>
      <c r="AG162" s="41">
        <f>AG159*Assumptions!$B$127</f>
        <v/>
      </c>
      <c r="AH162" s="41">
        <f>AH159*Assumptions!$B$127</f>
        <v/>
      </c>
      <c r="AI162" s="41">
        <f>AI159*Assumptions!$B$127</f>
        <v/>
      </c>
      <c r="AJ162" s="41">
        <f>AJ159*Assumptions!$B$127</f>
        <v/>
      </c>
      <c r="AK162" s="41">
        <f>AK159*Assumptions!$B$127</f>
        <v/>
      </c>
      <c r="AL162" s="41">
        <f>AL159*Assumptions!$B$127</f>
        <v/>
      </c>
      <c r="AM162" s="41">
        <f>AM159*Assumptions!$B$127</f>
        <v/>
      </c>
      <c r="AN162" s="41">
        <f>AN159*Assumptions!$B$127</f>
        <v/>
      </c>
      <c r="AO162" s="41">
        <f>AO159*Assumptions!$B$127</f>
        <v/>
      </c>
      <c r="AP162" s="41">
        <f>AP159*Assumptions!$B$127</f>
        <v/>
      </c>
      <c r="AQ162" s="41">
        <f>AQ159*Assumptions!$B$127</f>
        <v/>
      </c>
      <c r="AR162" s="41">
        <f>AR159*Assumptions!$B$127</f>
        <v/>
      </c>
      <c r="AS162" s="41">
        <f>AS159*Assumptions!$B$127</f>
        <v/>
      </c>
      <c r="AT162" s="41">
        <f>AT159*Assumptions!$B$127</f>
        <v/>
      </c>
      <c r="AU162" s="41">
        <f>AU159*Assumptions!$B$127</f>
        <v/>
      </c>
      <c r="AV162" s="41">
        <f>AV159*Assumptions!$B$127</f>
        <v/>
      </c>
      <c r="AW162" s="41">
        <f>AW159*Assumptions!$B$127</f>
        <v/>
      </c>
      <c r="AX162" s="41">
        <f>AX159*Assumptions!$B$127</f>
        <v/>
      </c>
      <c r="AY162" s="41">
        <f>AY159*Assumptions!$B$127</f>
        <v/>
      </c>
      <c r="AZ162" s="41">
        <f>AZ159*Assumptions!$B$127</f>
        <v/>
      </c>
      <c r="BA162" s="41">
        <f>BA159*Assumptions!$B$127</f>
        <v/>
      </c>
      <c r="BB162" s="41">
        <f>BB159*Assumptions!$B$127</f>
        <v/>
      </c>
      <c r="BC162" s="41">
        <f>BC159*Assumptions!$B$127</f>
        <v/>
      </c>
      <c r="BD162" s="41">
        <f>BD159*Assumptions!$B$127</f>
        <v/>
      </c>
      <c r="BE162" s="41">
        <f>BE159*Assumptions!$B$127</f>
        <v/>
      </c>
      <c r="BF162" s="41">
        <f>BF159*Assumptions!$B$127</f>
        <v/>
      </c>
      <c r="BG162" s="41">
        <f>BG159*Assumptions!$B$127</f>
        <v/>
      </c>
      <c r="BH162" s="41">
        <f>BH159*Assumptions!$B$127</f>
        <v/>
      </c>
      <c r="BI162" s="41">
        <f>BI159*Assumptions!$B$127</f>
        <v/>
      </c>
      <c r="BJ162" s="41">
        <f>BJ159*Assumptions!$B$127</f>
        <v/>
      </c>
    </row>
    <row r="163">
      <c r="A163" s="3" t="inlineStr">
        <is>
          <t>Nigeria: Solo: Starter: closing</t>
        </is>
      </c>
      <c r="B163" s="17" t="inlineStr">
        <is>
          <t>workspaces</t>
        </is>
      </c>
      <c r="C163" s="44">
        <f>C159+C160-C161-C162</f>
        <v/>
      </c>
      <c r="D163" s="44">
        <f>D159+D160-D161-D162</f>
        <v/>
      </c>
      <c r="E163" s="44">
        <f>E159+E160-E161-E162</f>
        <v/>
      </c>
      <c r="F163" s="44">
        <f>F159+F160-F161-F162</f>
        <v/>
      </c>
      <c r="G163" s="44">
        <f>G159+G160-G161-G162</f>
        <v/>
      </c>
      <c r="H163" s="44">
        <f>H159+H160-H161-H162</f>
        <v/>
      </c>
      <c r="I163" s="44">
        <f>I159+I160-I161-I162</f>
        <v/>
      </c>
      <c r="J163" s="44">
        <f>J159+J160-J161-J162</f>
        <v/>
      </c>
      <c r="K163" s="44">
        <f>K159+K160-K161-K162</f>
        <v/>
      </c>
      <c r="L163" s="44">
        <f>L159+L160-L161-L162</f>
        <v/>
      </c>
      <c r="M163" s="44">
        <f>M159+M160-M161-M162</f>
        <v/>
      </c>
      <c r="N163" s="44">
        <f>N159+N160-N161-N162</f>
        <v/>
      </c>
      <c r="O163" s="44">
        <f>O159+O160-O161-O162</f>
        <v/>
      </c>
      <c r="P163" s="44">
        <f>P159+P160-P161-P162</f>
        <v/>
      </c>
      <c r="Q163" s="44">
        <f>Q159+Q160-Q161-Q162</f>
        <v/>
      </c>
      <c r="R163" s="44">
        <f>R159+R160-R161-R162</f>
        <v/>
      </c>
      <c r="S163" s="44">
        <f>S159+S160-S161-S162</f>
        <v/>
      </c>
      <c r="T163" s="44">
        <f>T159+T160-T161-T162</f>
        <v/>
      </c>
      <c r="U163" s="44">
        <f>U159+U160-U161-U162</f>
        <v/>
      </c>
      <c r="V163" s="44">
        <f>V159+V160-V161-V162</f>
        <v/>
      </c>
      <c r="W163" s="44">
        <f>W159+W160-W161-W162</f>
        <v/>
      </c>
      <c r="X163" s="44">
        <f>X159+X160-X161-X162</f>
        <v/>
      </c>
      <c r="Y163" s="44">
        <f>Y159+Y160-Y161-Y162</f>
        <v/>
      </c>
      <c r="Z163" s="44">
        <f>Z159+Z160-Z161-Z162</f>
        <v/>
      </c>
      <c r="AA163" s="44">
        <f>AA159+AA160-AA161-AA162</f>
        <v/>
      </c>
      <c r="AB163" s="44">
        <f>AB159+AB160-AB161-AB162</f>
        <v/>
      </c>
      <c r="AC163" s="44">
        <f>AC159+AC160-AC161-AC162</f>
        <v/>
      </c>
      <c r="AD163" s="44">
        <f>AD159+AD160-AD161-AD162</f>
        <v/>
      </c>
      <c r="AE163" s="44">
        <f>AE159+AE160-AE161-AE162</f>
        <v/>
      </c>
      <c r="AF163" s="44">
        <f>AF159+AF160-AF161-AF162</f>
        <v/>
      </c>
      <c r="AG163" s="44">
        <f>AG159+AG160-AG161-AG162</f>
        <v/>
      </c>
      <c r="AH163" s="44">
        <f>AH159+AH160-AH161-AH162</f>
        <v/>
      </c>
      <c r="AI163" s="44">
        <f>AI159+AI160-AI161-AI162</f>
        <v/>
      </c>
      <c r="AJ163" s="44">
        <f>AJ159+AJ160-AJ161-AJ162</f>
        <v/>
      </c>
      <c r="AK163" s="44">
        <f>AK159+AK160-AK161-AK162</f>
        <v/>
      </c>
      <c r="AL163" s="44">
        <f>AL159+AL160-AL161-AL162</f>
        <v/>
      </c>
      <c r="AM163" s="44">
        <f>AM159+AM160-AM161-AM162</f>
        <v/>
      </c>
      <c r="AN163" s="44">
        <f>AN159+AN160-AN161-AN162</f>
        <v/>
      </c>
      <c r="AO163" s="44">
        <f>AO159+AO160-AO161-AO162</f>
        <v/>
      </c>
      <c r="AP163" s="44">
        <f>AP159+AP160-AP161-AP162</f>
        <v/>
      </c>
      <c r="AQ163" s="44">
        <f>AQ159+AQ160-AQ161-AQ162</f>
        <v/>
      </c>
      <c r="AR163" s="44">
        <f>AR159+AR160-AR161-AR162</f>
        <v/>
      </c>
      <c r="AS163" s="44">
        <f>AS159+AS160-AS161-AS162</f>
        <v/>
      </c>
      <c r="AT163" s="44">
        <f>AT159+AT160-AT161-AT162</f>
        <v/>
      </c>
      <c r="AU163" s="44">
        <f>AU159+AU160-AU161-AU162</f>
        <v/>
      </c>
      <c r="AV163" s="44">
        <f>AV159+AV160-AV161-AV162</f>
        <v/>
      </c>
      <c r="AW163" s="44">
        <f>AW159+AW160-AW161-AW162</f>
        <v/>
      </c>
      <c r="AX163" s="44">
        <f>AX159+AX160-AX161-AX162</f>
        <v/>
      </c>
      <c r="AY163" s="44">
        <f>AY159+AY160-AY161-AY162</f>
        <v/>
      </c>
      <c r="AZ163" s="44">
        <f>AZ159+AZ160-AZ161-AZ162</f>
        <v/>
      </c>
      <c r="BA163" s="44">
        <f>BA159+BA160-BA161-BA162</f>
        <v/>
      </c>
      <c r="BB163" s="44">
        <f>BB159+BB160-BB161-BB162</f>
        <v/>
      </c>
      <c r="BC163" s="44">
        <f>BC159+BC160-BC161-BC162</f>
        <v/>
      </c>
      <c r="BD163" s="44">
        <f>BD159+BD160-BD161-BD162</f>
        <v/>
      </c>
      <c r="BE163" s="44">
        <f>BE159+BE160-BE161-BE162</f>
        <v/>
      </c>
      <c r="BF163" s="44">
        <f>BF159+BF160-BF161-BF162</f>
        <v/>
      </c>
      <c r="BG163" s="44">
        <f>BG159+BG160-BG161-BG162</f>
        <v/>
      </c>
      <c r="BH163" s="44">
        <f>BH159+BH160-BH161-BH162</f>
        <v/>
      </c>
      <c r="BI163" s="44">
        <f>BI159+BI160-BI161-BI162</f>
        <v/>
      </c>
      <c r="BJ163" s="44">
        <f>BJ159+BJ160-BJ161-BJ162</f>
        <v/>
      </c>
    </row>
    <row r="164">
      <c r="A164" s="4" t="inlineStr">
        <is>
          <t>Nigeria: Solo: Growth (upgraded or direct): opening</t>
        </is>
      </c>
      <c r="B164" s="17" t="inlineStr">
        <is>
          <t>workspaces</t>
        </is>
      </c>
      <c r="C164" s="41">
        <f>0</f>
        <v/>
      </c>
      <c r="D164" s="41">
        <f>C167</f>
        <v/>
      </c>
      <c r="E164" s="41">
        <f>D167</f>
        <v/>
      </c>
      <c r="F164" s="41">
        <f>E167</f>
        <v/>
      </c>
      <c r="G164" s="41">
        <f>F167</f>
        <v/>
      </c>
      <c r="H164" s="41">
        <f>G167</f>
        <v/>
      </c>
      <c r="I164" s="41">
        <f>H167</f>
        <v/>
      </c>
      <c r="J164" s="41">
        <f>I167</f>
        <v/>
      </c>
      <c r="K164" s="41">
        <f>J167</f>
        <v/>
      </c>
      <c r="L164" s="41">
        <f>K167</f>
        <v/>
      </c>
      <c r="M164" s="41">
        <f>L167</f>
        <v/>
      </c>
      <c r="N164" s="41">
        <f>M167</f>
        <v/>
      </c>
      <c r="O164" s="41">
        <f>N167</f>
        <v/>
      </c>
      <c r="P164" s="41">
        <f>O167</f>
        <v/>
      </c>
      <c r="Q164" s="41">
        <f>P167</f>
        <v/>
      </c>
      <c r="R164" s="41">
        <f>Q167</f>
        <v/>
      </c>
      <c r="S164" s="41">
        <f>R167</f>
        <v/>
      </c>
      <c r="T164" s="41">
        <f>S167</f>
        <v/>
      </c>
      <c r="U164" s="41">
        <f>T167</f>
        <v/>
      </c>
      <c r="V164" s="41">
        <f>U167</f>
        <v/>
      </c>
      <c r="W164" s="41">
        <f>V167</f>
        <v/>
      </c>
      <c r="X164" s="41">
        <f>W167</f>
        <v/>
      </c>
      <c r="Y164" s="41">
        <f>X167</f>
        <v/>
      </c>
      <c r="Z164" s="41">
        <f>Y167</f>
        <v/>
      </c>
      <c r="AA164" s="41">
        <f>Z167</f>
        <v/>
      </c>
      <c r="AB164" s="41">
        <f>AA167</f>
        <v/>
      </c>
      <c r="AC164" s="41">
        <f>AB167</f>
        <v/>
      </c>
      <c r="AD164" s="41">
        <f>AC167</f>
        <v/>
      </c>
      <c r="AE164" s="41">
        <f>AD167</f>
        <v/>
      </c>
      <c r="AF164" s="41">
        <f>AE167</f>
        <v/>
      </c>
      <c r="AG164" s="41">
        <f>AF167</f>
        <v/>
      </c>
      <c r="AH164" s="41">
        <f>AG167</f>
        <v/>
      </c>
      <c r="AI164" s="41">
        <f>AH167</f>
        <v/>
      </c>
      <c r="AJ164" s="41">
        <f>AI167</f>
        <v/>
      </c>
      <c r="AK164" s="41">
        <f>AJ167</f>
        <v/>
      </c>
      <c r="AL164" s="41">
        <f>AK167</f>
        <v/>
      </c>
      <c r="AM164" s="41">
        <f>AL167</f>
        <v/>
      </c>
      <c r="AN164" s="41">
        <f>AM167</f>
        <v/>
      </c>
      <c r="AO164" s="41">
        <f>AN167</f>
        <v/>
      </c>
      <c r="AP164" s="41">
        <f>AO167</f>
        <v/>
      </c>
      <c r="AQ164" s="41">
        <f>AP167</f>
        <v/>
      </c>
      <c r="AR164" s="41">
        <f>AQ167</f>
        <v/>
      </c>
      <c r="AS164" s="41">
        <f>AR167</f>
        <v/>
      </c>
      <c r="AT164" s="41">
        <f>AS167</f>
        <v/>
      </c>
      <c r="AU164" s="41">
        <f>AT167</f>
        <v/>
      </c>
      <c r="AV164" s="41">
        <f>AU167</f>
        <v/>
      </c>
      <c r="AW164" s="41">
        <f>AV167</f>
        <v/>
      </c>
      <c r="AX164" s="41">
        <f>AW167</f>
        <v/>
      </c>
      <c r="AY164" s="41">
        <f>AX167</f>
        <v/>
      </c>
      <c r="AZ164" s="41">
        <f>AY167</f>
        <v/>
      </c>
      <c r="BA164" s="41">
        <f>AZ167</f>
        <v/>
      </c>
      <c r="BB164" s="41">
        <f>BA167</f>
        <v/>
      </c>
      <c r="BC164" s="41">
        <f>BB167</f>
        <v/>
      </c>
      <c r="BD164" s="41">
        <f>BC167</f>
        <v/>
      </c>
      <c r="BE164" s="41">
        <f>BD167</f>
        <v/>
      </c>
      <c r="BF164" s="41">
        <f>BE167</f>
        <v/>
      </c>
      <c r="BG164" s="41">
        <f>BF167</f>
        <v/>
      </c>
      <c r="BH164" s="41">
        <f>BG167</f>
        <v/>
      </c>
      <c r="BI164" s="41">
        <f>BH167</f>
        <v/>
      </c>
      <c r="BJ164" s="41">
        <f>BI167</f>
        <v/>
      </c>
    </row>
    <row r="165">
      <c r="A165" s="4" t="inlineStr">
        <is>
          <t>Nigeria: Solo: Growth (upgraded or direct): new</t>
        </is>
      </c>
      <c r="B165" s="17" t="inlineStr">
        <is>
          <t>workspaces</t>
        </is>
      </c>
      <c r="C165" s="41">
        <f>C115*Assumptions!$B$125+C162</f>
        <v/>
      </c>
      <c r="D165" s="41">
        <f>D115*Assumptions!$B$125+D162</f>
        <v/>
      </c>
      <c r="E165" s="41">
        <f>E115*Assumptions!$B$125+E162</f>
        <v/>
      </c>
      <c r="F165" s="41">
        <f>F115*Assumptions!$B$125+F162</f>
        <v/>
      </c>
      <c r="G165" s="41">
        <f>G115*Assumptions!$B$125+G162</f>
        <v/>
      </c>
      <c r="H165" s="41">
        <f>H115*Assumptions!$B$125+H162</f>
        <v/>
      </c>
      <c r="I165" s="41">
        <f>I115*Assumptions!$B$125+I162</f>
        <v/>
      </c>
      <c r="J165" s="41">
        <f>J115*Assumptions!$B$125+J162</f>
        <v/>
      </c>
      <c r="K165" s="41">
        <f>K115*Assumptions!$B$125+K162</f>
        <v/>
      </c>
      <c r="L165" s="41">
        <f>L115*Assumptions!$B$125+L162</f>
        <v/>
      </c>
      <c r="M165" s="41">
        <f>M115*Assumptions!$B$125+M162</f>
        <v/>
      </c>
      <c r="N165" s="41">
        <f>N115*Assumptions!$B$125+N162</f>
        <v/>
      </c>
      <c r="O165" s="41">
        <f>O115*Assumptions!$B$125+O162</f>
        <v/>
      </c>
      <c r="P165" s="41">
        <f>P115*Assumptions!$B$125+P162</f>
        <v/>
      </c>
      <c r="Q165" s="41">
        <f>Q115*Assumptions!$B$125+Q162</f>
        <v/>
      </c>
      <c r="R165" s="41">
        <f>R115*Assumptions!$B$125+R162</f>
        <v/>
      </c>
      <c r="S165" s="41">
        <f>S115*Assumptions!$B$125+S162</f>
        <v/>
      </c>
      <c r="T165" s="41">
        <f>T115*Assumptions!$B$125+T162</f>
        <v/>
      </c>
      <c r="U165" s="41">
        <f>U115*Assumptions!$B$125+U162</f>
        <v/>
      </c>
      <c r="V165" s="41">
        <f>V115*Assumptions!$B$125+V162</f>
        <v/>
      </c>
      <c r="W165" s="41">
        <f>W115*Assumptions!$B$125+W162</f>
        <v/>
      </c>
      <c r="X165" s="41">
        <f>X115*Assumptions!$B$125+X162</f>
        <v/>
      </c>
      <c r="Y165" s="41">
        <f>Y115*Assumptions!$B$125+Y162</f>
        <v/>
      </c>
      <c r="Z165" s="41">
        <f>Z115*Assumptions!$B$125+Z162</f>
        <v/>
      </c>
      <c r="AA165" s="41">
        <f>AA115*Assumptions!$B$125+AA162</f>
        <v/>
      </c>
      <c r="AB165" s="41">
        <f>AB115*Assumptions!$B$125+AB162</f>
        <v/>
      </c>
      <c r="AC165" s="41">
        <f>AC115*Assumptions!$B$125+AC162</f>
        <v/>
      </c>
      <c r="AD165" s="41">
        <f>AD115*Assumptions!$B$125+AD162</f>
        <v/>
      </c>
      <c r="AE165" s="41">
        <f>AE115*Assumptions!$B$125+AE162</f>
        <v/>
      </c>
      <c r="AF165" s="41">
        <f>AF115*Assumptions!$B$125+AF162</f>
        <v/>
      </c>
      <c r="AG165" s="41">
        <f>AG115*Assumptions!$B$125+AG162</f>
        <v/>
      </c>
      <c r="AH165" s="41">
        <f>AH115*Assumptions!$B$125+AH162</f>
        <v/>
      </c>
      <c r="AI165" s="41">
        <f>AI115*Assumptions!$B$125+AI162</f>
        <v/>
      </c>
      <c r="AJ165" s="41">
        <f>AJ115*Assumptions!$B$125+AJ162</f>
        <v/>
      </c>
      <c r="AK165" s="41">
        <f>AK115*Assumptions!$B$125+AK162</f>
        <v/>
      </c>
      <c r="AL165" s="41">
        <f>AL115*Assumptions!$B$125+AL162</f>
        <v/>
      </c>
      <c r="AM165" s="41">
        <f>AM115*Assumptions!$B$125+AM162</f>
        <v/>
      </c>
      <c r="AN165" s="41">
        <f>AN115*Assumptions!$B$125+AN162</f>
        <v/>
      </c>
      <c r="AO165" s="41">
        <f>AO115*Assumptions!$B$125+AO162</f>
        <v/>
      </c>
      <c r="AP165" s="41">
        <f>AP115*Assumptions!$B$125+AP162</f>
        <v/>
      </c>
      <c r="AQ165" s="41">
        <f>AQ115*Assumptions!$B$125+AQ162</f>
        <v/>
      </c>
      <c r="AR165" s="41">
        <f>AR115*Assumptions!$B$125+AR162</f>
        <v/>
      </c>
      <c r="AS165" s="41">
        <f>AS115*Assumptions!$B$125+AS162</f>
        <v/>
      </c>
      <c r="AT165" s="41">
        <f>AT115*Assumptions!$B$125+AT162</f>
        <v/>
      </c>
      <c r="AU165" s="41">
        <f>AU115*Assumptions!$B$125+AU162</f>
        <v/>
      </c>
      <c r="AV165" s="41">
        <f>AV115*Assumptions!$B$125+AV162</f>
        <v/>
      </c>
      <c r="AW165" s="41">
        <f>AW115*Assumptions!$B$125+AW162</f>
        <v/>
      </c>
      <c r="AX165" s="41">
        <f>AX115*Assumptions!$B$125+AX162</f>
        <v/>
      </c>
      <c r="AY165" s="41">
        <f>AY115*Assumptions!$B$125+AY162</f>
        <v/>
      </c>
      <c r="AZ165" s="41">
        <f>AZ115*Assumptions!$B$125+AZ162</f>
        <v/>
      </c>
      <c r="BA165" s="41">
        <f>BA115*Assumptions!$B$125+BA162</f>
        <v/>
      </c>
      <c r="BB165" s="41">
        <f>BB115*Assumptions!$B$125+BB162</f>
        <v/>
      </c>
      <c r="BC165" s="41">
        <f>BC115*Assumptions!$B$125+BC162</f>
        <v/>
      </c>
      <c r="BD165" s="41">
        <f>BD115*Assumptions!$B$125+BD162</f>
        <v/>
      </c>
      <c r="BE165" s="41">
        <f>BE115*Assumptions!$B$125+BE162</f>
        <v/>
      </c>
      <c r="BF165" s="41">
        <f>BF115*Assumptions!$B$125+BF162</f>
        <v/>
      </c>
      <c r="BG165" s="41">
        <f>BG115*Assumptions!$B$125+BG162</f>
        <v/>
      </c>
      <c r="BH165" s="41">
        <f>BH115*Assumptions!$B$125+BH162</f>
        <v/>
      </c>
      <c r="BI165" s="41">
        <f>BI115*Assumptions!$B$125+BI162</f>
        <v/>
      </c>
      <c r="BJ165" s="41">
        <f>BJ115*Assumptions!$B$125+BJ162</f>
        <v/>
      </c>
    </row>
    <row r="166">
      <c r="A166" s="4" t="inlineStr">
        <is>
          <t>Nigeria: Solo: Growth (upgraded or direct): churned</t>
        </is>
      </c>
      <c r="B166" s="17" t="inlineStr">
        <is>
          <t>workspaces</t>
        </is>
      </c>
      <c r="C166" s="41">
        <f>C164*Assumptions!$B$133*Assumptions!$B$50*Assumptions!$B$35*Assumptions!$B$71</f>
        <v/>
      </c>
      <c r="D166" s="41">
        <f>D164*Assumptions!$B$133*Assumptions!$B$50*Assumptions!$B$35*Assumptions!$B$71</f>
        <v/>
      </c>
      <c r="E166" s="41">
        <f>E164*Assumptions!$B$133*Assumptions!$B$50*Assumptions!$B$35*Assumptions!$B$71</f>
        <v/>
      </c>
      <c r="F166" s="41">
        <f>F164*Assumptions!$B$133*Assumptions!$B$50*Assumptions!$B$35*Assumptions!$B$71</f>
        <v/>
      </c>
      <c r="G166" s="41">
        <f>G164*Assumptions!$B$133*Assumptions!$B$50*Assumptions!$B$35*Assumptions!$B$71</f>
        <v/>
      </c>
      <c r="H166" s="41">
        <f>H164*Assumptions!$B$133*Assumptions!$B$50*Assumptions!$B$35*Assumptions!$B$71</f>
        <v/>
      </c>
      <c r="I166" s="41">
        <f>I164*Assumptions!$B$133*Assumptions!$B$50*Assumptions!$B$35*Assumptions!$B$71</f>
        <v/>
      </c>
      <c r="J166" s="41">
        <f>J164*Assumptions!$B$133*Assumptions!$B$50*Assumptions!$B$35*Assumptions!$B$71</f>
        <v/>
      </c>
      <c r="K166" s="41">
        <f>K164*Assumptions!$B$133*Assumptions!$B$50*Assumptions!$B$35*Assumptions!$B$71</f>
        <v/>
      </c>
      <c r="L166" s="41">
        <f>L164*Assumptions!$B$133*Assumptions!$B$50*Assumptions!$B$35*Assumptions!$B$71</f>
        <v/>
      </c>
      <c r="M166" s="41">
        <f>M164*Assumptions!$B$133*Assumptions!$B$50*Assumptions!$B$35*Assumptions!$B$71</f>
        <v/>
      </c>
      <c r="N166" s="41">
        <f>N164*Assumptions!$B$133*Assumptions!$B$50*Assumptions!$B$35*Assumptions!$B$71</f>
        <v/>
      </c>
      <c r="O166" s="41">
        <f>O164*Assumptions!$B$133*Assumptions!$B$50*Assumptions!$B$35*Assumptions!$B$71</f>
        <v/>
      </c>
      <c r="P166" s="41">
        <f>P164*Assumptions!$B$133*Assumptions!$B$50*Assumptions!$B$35*Assumptions!$B$71</f>
        <v/>
      </c>
      <c r="Q166" s="41">
        <f>Q164*Assumptions!$B$133*Assumptions!$B$50*Assumptions!$B$35*Assumptions!$B$71</f>
        <v/>
      </c>
      <c r="R166" s="41">
        <f>R164*Assumptions!$B$133*Assumptions!$B$50*Assumptions!$B$35*Assumptions!$B$71</f>
        <v/>
      </c>
      <c r="S166" s="41">
        <f>S164*Assumptions!$B$133*Assumptions!$B$50*Assumptions!$B$35*Assumptions!$B$71</f>
        <v/>
      </c>
      <c r="T166" s="41">
        <f>T164*Assumptions!$B$133*Assumptions!$B$50*Assumptions!$B$35*Assumptions!$B$71</f>
        <v/>
      </c>
      <c r="U166" s="41">
        <f>U164*Assumptions!$B$133*Assumptions!$B$50*Assumptions!$B$35*Assumptions!$B$71</f>
        <v/>
      </c>
      <c r="V166" s="41">
        <f>V164*Assumptions!$B$133*Assumptions!$B$50*Assumptions!$B$35*Assumptions!$B$71</f>
        <v/>
      </c>
      <c r="W166" s="41">
        <f>W164*Assumptions!$B$133*Assumptions!$B$50*Assumptions!$B$35*Assumptions!$B$71</f>
        <v/>
      </c>
      <c r="X166" s="41">
        <f>X164*Assumptions!$B$133*Assumptions!$B$50*Assumptions!$B$35*Assumptions!$B$71</f>
        <v/>
      </c>
      <c r="Y166" s="41">
        <f>Y164*Assumptions!$B$133*Assumptions!$B$50*Assumptions!$B$35*Assumptions!$B$71</f>
        <v/>
      </c>
      <c r="Z166" s="41">
        <f>Z164*Assumptions!$B$133*Assumptions!$B$50*Assumptions!$B$35*Assumptions!$B$71</f>
        <v/>
      </c>
      <c r="AA166" s="41">
        <f>AA164*Assumptions!$B$133*Assumptions!$B$50*Assumptions!$B$35*Assumptions!$B$71</f>
        <v/>
      </c>
      <c r="AB166" s="41">
        <f>AB164*Assumptions!$B$133*Assumptions!$B$50*Assumptions!$B$35*Assumptions!$B$71</f>
        <v/>
      </c>
      <c r="AC166" s="41">
        <f>AC164*Assumptions!$B$133*Assumptions!$B$50*Assumptions!$B$35*Assumptions!$B$71</f>
        <v/>
      </c>
      <c r="AD166" s="41">
        <f>AD164*Assumptions!$B$133*Assumptions!$B$50*Assumptions!$B$35*Assumptions!$B$71</f>
        <v/>
      </c>
      <c r="AE166" s="41">
        <f>AE164*Assumptions!$B$133*Assumptions!$B$50*Assumptions!$B$35*Assumptions!$B$71</f>
        <v/>
      </c>
      <c r="AF166" s="41">
        <f>AF164*Assumptions!$B$133*Assumptions!$B$50*Assumptions!$B$35*Assumptions!$B$71</f>
        <v/>
      </c>
      <c r="AG166" s="41">
        <f>AG164*Assumptions!$B$133*Assumptions!$B$50*Assumptions!$B$35*Assumptions!$B$71</f>
        <v/>
      </c>
      <c r="AH166" s="41">
        <f>AH164*Assumptions!$B$133*Assumptions!$B$50*Assumptions!$B$35*Assumptions!$B$71</f>
        <v/>
      </c>
      <c r="AI166" s="41">
        <f>AI164*Assumptions!$B$133*Assumptions!$B$50*Assumptions!$B$35*Assumptions!$B$71</f>
        <v/>
      </c>
      <c r="AJ166" s="41">
        <f>AJ164*Assumptions!$B$133*Assumptions!$B$50*Assumptions!$B$35*Assumptions!$B$71</f>
        <v/>
      </c>
      <c r="AK166" s="41">
        <f>AK164*Assumptions!$B$133*Assumptions!$B$50*Assumptions!$B$35*Assumptions!$B$71</f>
        <v/>
      </c>
      <c r="AL166" s="41">
        <f>AL164*Assumptions!$B$133*Assumptions!$B$50*Assumptions!$B$35*Assumptions!$B$71</f>
        <v/>
      </c>
      <c r="AM166" s="41">
        <f>AM164*Assumptions!$B$133*Assumptions!$B$50*Assumptions!$B$35*Assumptions!$B$71</f>
        <v/>
      </c>
      <c r="AN166" s="41">
        <f>AN164*Assumptions!$B$133*Assumptions!$B$50*Assumptions!$B$35*Assumptions!$B$71</f>
        <v/>
      </c>
      <c r="AO166" s="41">
        <f>AO164*Assumptions!$B$133*Assumptions!$B$50*Assumptions!$B$35*Assumptions!$B$71</f>
        <v/>
      </c>
      <c r="AP166" s="41">
        <f>AP164*Assumptions!$B$133*Assumptions!$B$50*Assumptions!$B$35*Assumptions!$B$71</f>
        <v/>
      </c>
      <c r="AQ166" s="41">
        <f>AQ164*Assumptions!$B$133*Assumptions!$B$50*Assumptions!$B$35*Assumptions!$B$71</f>
        <v/>
      </c>
      <c r="AR166" s="41">
        <f>AR164*Assumptions!$B$133*Assumptions!$B$50*Assumptions!$B$35*Assumptions!$B$71</f>
        <v/>
      </c>
      <c r="AS166" s="41">
        <f>AS164*Assumptions!$B$133*Assumptions!$B$50*Assumptions!$B$35*Assumptions!$B$71</f>
        <v/>
      </c>
      <c r="AT166" s="41">
        <f>AT164*Assumptions!$B$133*Assumptions!$B$50*Assumptions!$B$35*Assumptions!$B$71</f>
        <v/>
      </c>
      <c r="AU166" s="41">
        <f>AU164*Assumptions!$B$133*Assumptions!$B$50*Assumptions!$B$35*Assumptions!$B$71</f>
        <v/>
      </c>
      <c r="AV166" s="41">
        <f>AV164*Assumptions!$B$133*Assumptions!$B$50*Assumptions!$B$35*Assumptions!$B$71</f>
        <v/>
      </c>
      <c r="AW166" s="41">
        <f>AW164*Assumptions!$B$133*Assumptions!$B$50*Assumptions!$B$35*Assumptions!$B$71</f>
        <v/>
      </c>
      <c r="AX166" s="41">
        <f>AX164*Assumptions!$B$133*Assumptions!$B$50*Assumptions!$B$35*Assumptions!$B$71</f>
        <v/>
      </c>
      <c r="AY166" s="41">
        <f>AY164*Assumptions!$B$133*Assumptions!$B$50*Assumptions!$B$35*Assumptions!$B$71</f>
        <v/>
      </c>
      <c r="AZ166" s="41">
        <f>AZ164*Assumptions!$B$133*Assumptions!$B$50*Assumptions!$B$35*Assumptions!$B$71</f>
        <v/>
      </c>
      <c r="BA166" s="41">
        <f>BA164*Assumptions!$B$133*Assumptions!$B$50*Assumptions!$B$35*Assumptions!$B$71</f>
        <v/>
      </c>
      <c r="BB166" s="41">
        <f>BB164*Assumptions!$B$133*Assumptions!$B$50*Assumptions!$B$35*Assumptions!$B$71</f>
        <v/>
      </c>
      <c r="BC166" s="41">
        <f>BC164*Assumptions!$B$133*Assumptions!$B$50*Assumptions!$B$35*Assumptions!$B$71</f>
        <v/>
      </c>
      <c r="BD166" s="41">
        <f>BD164*Assumptions!$B$133*Assumptions!$B$50*Assumptions!$B$35*Assumptions!$B$71</f>
        <v/>
      </c>
      <c r="BE166" s="41">
        <f>BE164*Assumptions!$B$133*Assumptions!$B$50*Assumptions!$B$35*Assumptions!$B$71</f>
        <v/>
      </c>
      <c r="BF166" s="41">
        <f>BF164*Assumptions!$B$133*Assumptions!$B$50*Assumptions!$B$35*Assumptions!$B$71</f>
        <v/>
      </c>
      <c r="BG166" s="41">
        <f>BG164*Assumptions!$B$133*Assumptions!$B$50*Assumptions!$B$35*Assumptions!$B$71</f>
        <v/>
      </c>
      <c r="BH166" s="41">
        <f>BH164*Assumptions!$B$133*Assumptions!$B$50*Assumptions!$B$35*Assumptions!$B$71</f>
        <v/>
      </c>
      <c r="BI166" s="41">
        <f>BI164*Assumptions!$B$133*Assumptions!$B$50*Assumptions!$B$35*Assumptions!$B$71</f>
        <v/>
      </c>
      <c r="BJ166" s="41">
        <f>BJ164*Assumptions!$B$133*Assumptions!$B$50*Assumptions!$B$35*Assumptions!$B$71</f>
        <v/>
      </c>
    </row>
    <row r="167">
      <c r="A167" s="3" t="inlineStr">
        <is>
          <t>Nigeria: Solo: Growth (upgraded or direct): closing</t>
        </is>
      </c>
      <c r="B167" s="17" t="inlineStr">
        <is>
          <t>workspaces</t>
        </is>
      </c>
      <c r="C167" s="44">
        <f>C164+C165-C166</f>
        <v/>
      </c>
      <c r="D167" s="44">
        <f>D164+D165-D166</f>
        <v/>
      </c>
      <c r="E167" s="44">
        <f>E164+E165-E166</f>
        <v/>
      </c>
      <c r="F167" s="44">
        <f>F164+F165-F166</f>
        <v/>
      </c>
      <c r="G167" s="44">
        <f>G164+G165-G166</f>
        <v/>
      </c>
      <c r="H167" s="44">
        <f>H164+H165-H166</f>
        <v/>
      </c>
      <c r="I167" s="44">
        <f>I164+I165-I166</f>
        <v/>
      </c>
      <c r="J167" s="44">
        <f>J164+J165-J166</f>
        <v/>
      </c>
      <c r="K167" s="44">
        <f>K164+K165-K166</f>
        <v/>
      </c>
      <c r="L167" s="44">
        <f>L164+L165-L166</f>
        <v/>
      </c>
      <c r="M167" s="44">
        <f>M164+M165-M166</f>
        <v/>
      </c>
      <c r="N167" s="44">
        <f>N164+N165-N166</f>
        <v/>
      </c>
      <c r="O167" s="44">
        <f>O164+O165-O166</f>
        <v/>
      </c>
      <c r="P167" s="44">
        <f>P164+P165-P166</f>
        <v/>
      </c>
      <c r="Q167" s="44">
        <f>Q164+Q165-Q166</f>
        <v/>
      </c>
      <c r="R167" s="44">
        <f>R164+R165-R166</f>
        <v/>
      </c>
      <c r="S167" s="44">
        <f>S164+S165-S166</f>
        <v/>
      </c>
      <c r="T167" s="44">
        <f>T164+T165-T166</f>
        <v/>
      </c>
      <c r="U167" s="44">
        <f>U164+U165-U166</f>
        <v/>
      </c>
      <c r="V167" s="44">
        <f>V164+V165-V166</f>
        <v/>
      </c>
      <c r="W167" s="44">
        <f>W164+W165-W166</f>
        <v/>
      </c>
      <c r="X167" s="44">
        <f>X164+X165-X166</f>
        <v/>
      </c>
      <c r="Y167" s="44">
        <f>Y164+Y165-Y166</f>
        <v/>
      </c>
      <c r="Z167" s="44">
        <f>Z164+Z165-Z166</f>
        <v/>
      </c>
      <c r="AA167" s="44">
        <f>AA164+AA165-AA166</f>
        <v/>
      </c>
      <c r="AB167" s="44">
        <f>AB164+AB165-AB166</f>
        <v/>
      </c>
      <c r="AC167" s="44">
        <f>AC164+AC165-AC166</f>
        <v/>
      </c>
      <c r="AD167" s="44">
        <f>AD164+AD165-AD166</f>
        <v/>
      </c>
      <c r="AE167" s="44">
        <f>AE164+AE165-AE166</f>
        <v/>
      </c>
      <c r="AF167" s="44">
        <f>AF164+AF165-AF166</f>
        <v/>
      </c>
      <c r="AG167" s="44">
        <f>AG164+AG165-AG166</f>
        <v/>
      </c>
      <c r="AH167" s="44">
        <f>AH164+AH165-AH166</f>
        <v/>
      </c>
      <c r="AI167" s="44">
        <f>AI164+AI165-AI166</f>
        <v/>
      </c>
      <c r="AJ167" s="44">
        <f>AJ164+AJ165-AJ166</f>
        <v/>
      </c>
      <c r="AK167" s="44">
        <f>AK164+AK165-AK166</f>
        <v/>
      </c>
      <c r="AL167" s="44">
        <f>AL164+AL165-AL166</f>
        <v/>
      </c>
      <c r="AM167" s="44">
        <f>AM164+AM165-AM166</f>
        <v/>
      </c>
      <c r="AN167" s="44">
        <f>AN164+AN165-AN166</f>
        <v/>
      </c>
      <c r="AO167" s="44">
        <f>AO164+AO165-AO166</f>
        <v/>
      </c>
      <c r="AP167" s="44">
        <f>AP164+AP165-AP166</f>
        <v/>
      </c>
      <c r="AQ167" s="44">
        <f>AQ164+AQ165-AQ166</f>
        <v/>
      </c>
      <c r="AR167" s="44">
        <f>AR164+AR165-AR166</f>
        <v/>
      </c>
      <c r="AS167" s="44">
        <f>AS164+AS165-AS166</f>
        <v/>
      </c>
      <c r="AT167" s="44">
        <f>AT164+AT165-AT166</f>
        <v/>
      </c>
      <c r="AU167" s="44">
        <f>AU164+AU165-AU166</f>
        <v/>
      </c>
      <c r="AV167" s="44">
        <f>AV164+AV165-AV166</f>
        <v/>
      </c>
      <c r="AW167" s="44">
        <f>AW164+AW165-AW166</f>
        <v/>
      </c>
      <c r="AX167" s="44">
        <f>AX164+AX165-AX166</f>
        <v/>
      </c>
      <c r="AY167" s="44">
        <f>AY164+AY165-AY166</f>
        <v/>
      </c>
      <c r="AZ167" s="44">
        <f>AZ164+AZ165-AZ166</f>
        <v/>
      </c>
      <c r="BA167" s="44">
        <f>BA164+BA165-BA166</f>
        <v/>
      </c>
      <c r="BB167" s="44">
        <f>BB164+BB165-BB166</f>
        <v/>
      </c>
      <c r="BC167" s="44">
        <f>BC164+BC165-BC166</f>
        <v/>
      </c>
      <c r="BD167" s="44">
        <f>BD164+BD165-BD166</f>
        <v/>
      </c>
      <c r="BE167" s="44">
        <f>BE164+BE165-BE166</f>
        <v/>
      </c>
      <c r="BF167" s="44">
        <f>BF164+BF165-BF166</f>
        <v/>
      </c>
      <c r="BG167" s="44">
        <f>BG164+BG165-BG166</f>
        <v/>
      </c>
      <c r="BH167" s="44">
        <f>BH164+BH165-BH166</f>
        <v/>
      </c>
      <c r="BI167" s="44">
        <f>BI164+BI165-BI166</f>
        <v/>
      </c>
      <c r="BJ167" s="44">
        <f>BJ164+BJ165-BJ166</f>
        <v/>
      </c>
    </row>
    <row r="168">
      <c r="A168" s="4" t="inlineStr">
        <is>
          <t>Nigeria: SME: Growth: opening</t>
        </is>
      </c>
      <c r="B168" s="17" t="inlineStr">
        <is>
          <t>workspaces</t>
        </is>
      </c>
      <c r="C168" s="41">
        <f>0</f>
        <v/>
      </c>
      <c r="D168" s="41">
        <f>C172</f>
        <v/>
      </c>
      <c r="E168" s="41">
        <f>D172</f>
        <v/>
      </c>
      <c r="F168" s="41">
        <f>E172</f>
        <v/>
      </c>
      <c r="G168" s="41">
        <f>F172</f>
        <v/>
      </c>
      <c r="H168" s="41">
        <f>G172</f>
        <v/>
      </c>
      <c r="I168" s="41">
        <f>H172</f>
        <v/>
      </c>
      <c r="J168" s="41">
        <f>I172</f>
        <v/>
      </c>
      <c r="K168" s="41">
        <f>J172</f>
        <v/>
      </c>
      <c r="L168" s="41">
        <f>K172</f>
        <v/>
      </c>
      <c r="M168" s="41">
        <f>L172</f>
        <v/>
      </c>
      <c r="N168" s="41">
        <f>M172</f>
        <v/>
      </c>
      <c r="O168" s="41">
        <f>N172</f>
        <v/>
      </c>
      <c r="P168" s="41">
        <f>O172</f>
        <v/>
      </c>
      <c r="Q168" s="41">
        <f>P172</f>
        <v/>
      </c>
      <c r="R168" s="41">
        <f>Q172</f>
        <v/>
      </c>
      <c r="S168" s="41">
        <f>R172</f>
        <v/>
      </c>
      <c r="T168" s="41">
        <f>S172</f>
        <v/>
      </c>
      <c r="U168" s="41">
        <f>T172</f>
        <v/>
      </c>
      <c r="V168" s="41">
        <f>U172</f>
        <v/>
      </c>
      <c r="W168" s="41">
        <f>V172</f>
        <v/>
      </c>
      <c r="X168" s="41">
        <f>W172</f>
        <v/>
      </c>
      <c r="Y168" s="41">
        <f>X172</f>
        <v/>
      </c>
      <c r="Z168" s="41">
        <f>Y172</f>
        <v/>
      </c>
      <c r="AA168" s="41">
        <f>Z172</f>
        <v/>
      </c>
      <c r="AB168" s="41">
        <f>AA172</f>
        <v/>
      </c>
      <c r="AC168" s="41">
        <f>AB172</f>
        <v/>
      </c>
      <c r="AD168" s="41">
        <f>AC172</f>
        <v/>
      </c>
      <c r="AE168" s="41">
        <f>AD172</f>
        <v/>
      </c>
      <c r="AF168" s="41">
        <f>AE172</f>
        <v/>
      </c>
      <c r="AG168" s="41">
        <f>AF172</f>
        <v/>
      </c>
      <c r="AH168" s="41">
        <f>AG172</f>
        <v/>
      </c>
      <c r="AI168" s="41">
        <f>AH172</f>
        <v/>
      </c>
      <c r="AJ168" s="41">
        <f>AI172</f>
        <v/>
      </c>
      <c r="AK168" s="41">
        <f>AJ172</f>
        <v/>
      </c>
      <c r="AL168" s="41">
        <f>AK172</f>
        <v/>
      </c>
      <c r="AM168" s="41">
        <f>AL172</f>
        <v/>
      </c>
      <c r="AN168" s="41">
        <f>AM172</f>
        <v/>
      </c>
      <c r="AO168" s="41">
        <f>AN172</f>
        <v/>
      </c>
      <c r="AP168" s="41">
        <f>AO172</f>
        <v/>
      </c>
      <c r="AQ168" s="41">
        <f>AP172</f>
        <v/>
      </c>
      <c r="AR168" s="41">
        <f>AQ172</f>
        <v/>
      </c>
      <c r="AS168" s="41">
        <f>AR172</f>
        <v/>
      </c>
      <c r="AT168" s="41">
        <f>AS172</f>
        <v/>
      </c>
      <c r="AU168" s="41">
        <f>AT172</f>
        <v/>
      </c>
      <c r="AV168" s="41">
        <f>AU172</f>
        <v/>
      </c>
      <c r="AW168" s="41">
        <f>AV172</f>
        <v/>
      </c>
      <c r="AX168" s="41">
        <f>AW172</f>
        <v/>
      </c>
      <c r="AY168" s="41">
        <f>AX172</f>
        <v/>
      </c>
      <c r="AZ168" s="41">
        <f>AY172</f>
        <v/>
      </c>
      <c r="BA168" s="41">
        <f>AZ172</f>
        <v/>
      </c>
      <c r="BB168" s="41">
        <f>BA172</f>
        <v/>
      </c>
      <c r="BC168" s="41">
        <f>BB172</f>
        <v/>
      </c>
      <c r="BD168" s="41">
        <f>BC172</f>
        <v/>
      </c>
      <c r="BE168" s="41">
        <f>BD172</f>
        <v/>
      </c>
      <c r="BF168" s="41">
        <f>BE172</f>
        <v/>
      </c>
      <c r="BG168" s="41">
        <f>BF172</f>
        <v/>
      </c>
      <c r="BH168" s="41">
        <f>BG172</f>
        <v/>
      </c>
      <c r="BI168" s="41">
        <f>BH172</f>
        <v/>
      </c>
      <c r="BJ168" s="41">
        <f>BI172</f>
        <v/>
      </c>
    </row>
    <row r="169">
      <c r="A169" s="4" t="inlineStr">
        <is>
          <t>Nigeria: SME: Growth: new</t>
        </is>
      </c>
      <c r="B169" s="17" t="inlineStr">
        <is>
          <t>workspaces</t>
        </is>
      </c>
      <c r="C169" s="41">
        <f>C116*(1-Assumptions!$B$126)</f>
        <v/>
      </c>
      <c r="D169" s="41">
        <f>D116*(1-Assumptions!$B$126)</f>
        <v/>
      </c>
      <c r="E169" s="41">
        <f>E116*(1-Assumptions!$B$126)</f>
        <v/>
      </c>
      <c r="F169" s="41">
        <f>F116*(1-Assumptions!$B$126)</f>
        <v/>
      </c>
      <c r="G169" s="41">
        <f>G116*(1-Assumptions!$B$126)</f>
        <v/>
      </c>
      <c r="H169" s="41">
        <f>H116*(1-Assumptions!$B$126)</f>
        <v/>
      </c>
      <c r="I169" s="41">
        <f>I116*(1-Assumptions!$B$126)</f>
        <v/>
      </c>
      <c r="J169" s="41">
        <f>J116*(1-Assumptions!$B$126)</f>
        <v/>
      </c>
      <c r="K169" s="41">
        <f>K116*(1-Assumptions!$B$126)</f>
        <v/>
      </c>
      <c r="L169" s="41">
        <f>L116*(1-Assumptions!$B$126)</f>
        <v/>
      </c>
      <c r="M169" s="41">
        <f>M116*(1-Assumptions!$B$126)</f>
        <v/>
      </c>
      <c r="N169" s="41">
        <f>N116*(1-Assumptions!$B$126)</f>
        <v/>
      </c>
      <c r="O169" s="41">
        <f>O116*(1-Assumptions!$B$126)</f>
        <v/>
      </c>
      <c r="P169" s="41">
        <f>P116*(1-Assumptions!$B$126)</f>
        <v/>
      </c>
      <c r="Q169" s="41">
        <f>Q116*(1-Assumptions!$B$126)</f>
        <v/>
      </c>
      <c r="R169" s="41">
        <f>R116*(1-Assumptions!$B$126)</f>
        <v/>
      </c>
      <c r="S169" s="41">
        <f>S116*(1-Assumptions!$B$126)</f>
        <v/>
      </c>
      <c r="T169" s="41">
        <f>T116*(1-Assumptions!$B$126)</f>
        <v/>
      </c>
      <c r="U169" s="41">
        <f>U116*(1-Assumptions!$B$126)</f>
        <v/>
      </c>
      <c r="V169" s="41">
        <f>V116*(1-Assumptions!$B$126)</f>
        <v/>
      </c>
      <c r="W169" s="41">
        <f>W116*(1-Assumptions!$B$126)</f>
        <v/>
      </c>
      <c r="X169" s="41">
        <f>X116*(1-Assumptions!$B$126)</f>
        <v/>
      </c>
      <c r="Y169" s="41">
        <f>Y116*(1-Assumptions!$B$126)</f>
        <v/>
      </c>
      <c r="Z169" s="41">
        <f>Z116*(1-Assumptions!$B$126)</f>
        <v/>
      </c>
      <c r="AA169" s="41">
        <f>AA116*(1-Assumptions!$B$126)</f>
        <v/>
      </c>
      <c r="AB169" s="41">
        <f>AB116*(1-Assumptions!$B$126)</f>
        <v/>
      </c>
      <c r="AC169" s="41">
        <f>AC116*(1-Assumptions!$B$126)</f>
        <v/>
      </c>
      <c r="AD169" s="41">
        <f>AD116*(1-Assumptions!$B$126)</f>
        <v/>
      </c>
      <c r="AE169" s="41">
        <f>AE116*(1-Assumptions!$B$126)</f>
        <v/>
      </c>
      <c r="AF169" s="41">
        <f>AF116*(1-Assumptions!$B$126)</f>
        <v/>
      </c>
      <c r="AG169" s="41">
        <f>AG116*(1-Assumptions!$B$126)</f>
        <v/>
      </c>
      <c r="AH169" s="41">
        <f>AH116*(1-Assumptions!$B$126)</f>
        <v/>
      </c>
      <c r="AI169" s="41">
        <f>AI116*(1-Assumptions!$B$126)</f>
        <v/>
      </c>
      <c r="AJ169" s="41">
        <f>AJ116*(1-Assumptions!$B$126)</f>
        <v/>
      </c>
      <c r="AK169" s="41">
        <f>AK116*(1-Assumptions!$B$126)</f>
        <v/>
      </c>
      <c r="AL169" s="41">
        <f>AL116*(1-Assumptions!$B$126)</f>
        <v/>
      </c>
      <c r="AM169" s="41">
        <f>AM116*(1-Assumptions!$B$126)</f>
        <v/>
      </c>
      <c r="AN169" s="41">
        <f>AN116*(1-Assumptions!$B$126)</f>
        <v/>
      </c>
      <c r="AO169" s="41">
        <f>AO116*(1-Assumptions!$B$126)</f>
        <v/>
      </c>
      <c r="AP169" s="41">
        <f>AP116*(1-Assumptions!$B$126)</f>
        <v/>
      </c>
      <c r="AQ169" s="41">
        <f>AQ116*(1-Assumptions!$B$126)</f>
        <v/>
      </c>
      <c r="AR169" s="41">
        <f>AR116*(1-Assumptions!$B$126)</f>
        <v/>
      </c>
      <c r="AS169" s="41">
        <f>AS116*(1-Assumptions!$B$126)</f>
        <v/>
      </c>
      <c r="AT169" s="41">
        <f>AT116*(1-Assumptions!$B$126)</f>
        <v/>
      </c>
      <c r="AU169" s="41">
        <f>AU116*(1-Assumptions!$B$126)</f>
        <v/>
      </c>
      <c r="AV169" s="41">
        <f>AV116*(1-Assumptions!$B$126)</f>
        <v/>
      </c>
      <c r="AW169" s="41">
        <f>AW116*(1-Assumptions!$B$126)</f>
        <v/>
      </c>
      <c r="AX169" s="41">
        <f>AX116*(1-Assumptions!$B$126)</f>
        <v/>
      </c>
      <c r="AY169" s="41">
        <f>AY116*(1-Assumptions!$B$126)</f>
        <v/>
      </c>
      <c r="AZ169" s="41">
        <f>AZ116*(1-Assumptions!$B$126)</f>
        <v/>
      </c>
      <c r="BA169" s="41">
        <f>BA116*(1-Assumptions!$B$126)</f>
        <v/>
      </c>
      <c r="BB169" s="41">
        <f>BB116*(1-Assumptions!$B$126)</f>
        <v/>
      </c>
      <c r="BC169" s="41">
        <f>BC116*(1-Assumptions!$B$126)</f>
        <v/>
      </c>
      <c r="BD169" s="41">
        <f>BD116*(1-Assumptions!$B$126)</f>
        <v/>
      </c>
      <c r="BE169" s="41">
        <f>BE116*(1-Assumptions!$B$126)</f>
        <v/>
      </c>
      <c r="BF169" s="41">
        <f>BF116*(1-Assumptions!$B$126)</f>
        <v/>
      </c>
      <c r="BG169" s="41">
        <f>BG116*(1-Assumptions!$B$126)</f>
        <v/>
      </c>
      <c r="BH169" s="41">
        <f>BH116*(1-Assumptions!$B$126)</f>
        <v/>
      </c>
      <c r="BI169" s="41">
        <f>BI116*(1-Assumptions!$B$126)</f>
        <v/>
      </c>
      <c r="BJ169" s="41">
        <f>BJ116*(1-Assumptions!$B$126)</f>
        <v/>
      </c>
    </row>
    <row r="170">
      <c r="A170" s="4" t="inlineStr">
        <is>
          <t>Nigeria: SME: Growth: churned</t>
        </is>
      </c>
      <c r="B170" s="17" t="inlineStr">
        <is>
          <t>workspaces</t>
        </is>
      </c>
      <c r="C170" s="41">
        <f>C168*Assumptions!$B$134*Assumptions!$B$50*Assumptions!$B$35*Assumptions!$B$71</f>
        <v/>
      </c>
      <c r="D170" s="41">
        <f>D168*Assumptions!$B$134*Assumptions!$B$50*Assumptions!$B$35*Assumptions!$B$71</f>
        <v/>
      </c>
      <c r="E170" s="41">
        <f>E168*Assumptions!$B$134*Assumptions!$B$50*Assumptions!$B$35*Assumptions!$B$71</f>
        <v/>
      </c>
      <c r="F170" s="41">
        <f>F168*Assumptions!$B$134*Assumptions!$B$50*Assumptions!$B$35*Assumptions!$B$71</f>
        <v/>
      </c>
      <c r="G170" s="41">
        <f>G168*Assumptions!$B$134*Assumptions!$B$50*Assumptions!$B$35*Assumptions!$B$71</f>
        <v/>
      </c>
      <c r="H170" s="41">
        <f>H168*Assumptions!$B$134*Assumptions!$B$50*Assumptions!$B$35*Assumptions!$B$71</f>
        <v/>
      </c>
      <c r="I170" s="41">
        <f>I168*Assumptions!$B$134*Assumptions!$B$50*Assumptions!$B$35*Assumptions!$B$71</f>
        <v/>
      </c>
      <c r="J170" s="41">
        <f>J168*Assumptions!$B$134*Assumptions!$B$50*Assumptions!$B$35*Assumptions!$B$71</f>
        <v/>
      </c>
      <c r="K170" s="41">
        <f>K168*Assumptions!$B$134*Assumptions!$B$50*Assumptions!$B$35*Assumptions!$B$71</f>
        <v/>
      </c>
      <c r="L170" s="41">
        <f>L168*Assumptions!$B$134*Assumptions!$B$50*Assumptions!$B$35*Assumptions!$B$71</f>
        <v/>
      </c>
      <c r="M170" s="41">
        <f>M168*Assumptions!$B$134*Assumptions!$B$50*Assumptions!$B$35*Assumptions!$B$71</f>
        <v/>
      </c>
      <c r="N170" s="41">
        <f>N168*Assumptions!$B$134*Assumptions!$B$50*Assumptions!$B$35*Assumptions!$B$71</f>
        <v/>
      </c>
      <c r="O170" s="41">
        <f>O168*Assumptions!$B$134*Assumptions!$B$50*Assumptions!$B$35*Assumptions!$B$71</f>
        <v/>
      </c>
      <c r="P170" s="41">
        <f>P168*Assumptions!$B$134*Assumptions!$B$50*Assumptions!$B$35*Assumptions!$B$71</f>
        <v/>
      </c>
      <c r="Q170" s="41">
        <f>Q168*Assumptions!$B$134*Assumptions!$B$50*Assumptions!$B$35*Assumptions!$B$71</f>
        <v/>
      </c>
      <c r="R170" s="41">
        <f>R168*Assumptions!$B$134*Assumptions!$B$50*Assumptions!$B$35*Assumptions!$B$71</f>
        <v/>
      </c>
      <c r="S170" s="41">
        <f>S168*Assumptions!$B$134*Assumptions!$B$50*Assumptions!$B$35*Assumptions!$B$71</f>
        <v/>
      </c>
      <c r="T170" s="41">
        <f>T168*Assumptions!$B$134*Assumptions!$B$50*Assumptions!$B$35*Assumptions!$B$71</f>
        <v/>
      </c>
      <c r="U170" s="41">
        <f>U168*Assumptions!$B$134*Assumptions!$B$50*Assumptions!$B$35*Assumptions!$B$71</f>
        <v/>
      </c>
      <c r="V170" s="41">
        <f>V168*Assumptions!$B$134*Assumptions!$B$50*Assumptions!$B$35*Assumptions!$B$71</f>
        <v/>
      </c>
      <c r="W170" s="41">
        <f>W168*Assumptions!$B$134*Assumptions!$B$50*Assumptions!$B$35*Assumptions!$B$71</f>
        <v/>
      </c>
      <c r="X170" s="41">
        <f>X168*Assumptions!$B$134*Assumptions!$B$50*Assumptions!$B$35*Assumptions!$B$71</f>
        <v/>
      </c>
      <c r="Y170" s="41">
        <f>Y168*Assumptions!$B$134*Assumptions!$B$50*Assumptions!$B$35*Assumptions!$B$71</f>
        <v/>
      </c>
      <c r="Z170" s="41">
        <f>Z168*Assumptions!$B$134*Assumptions!$B$50*Assumptions!$B$35*Assumptions!$B$71</f>
        <v/>
      </c>
      <c r="AA170" s="41">
        <f>AA168*Assumptions!$B$134*Assumptions!$B$50*Assumptions!$B$35*Assumptions!$B$71</f>
        <v/>
      </c>
      <c r="AB170" s="41">
        <f>AB168*Assumptions!$B$134*Assumptions!$B$50*Assumptions!$B$35*Assumptions!$B$71</f>
        <v/>
      </c>
      <c r="AC170" s="41">
        <f>AC168*Assumptions!$B$134*Assumptions!$B$50*Assumptions!$B$35*Assumptions!$B$71</f>
        <v/>
      </c>
      <c r="AD170" s="41">
        <f>AD168*Assumptions!$B$134*Assumptions!$B$50*Assumptions!$B$35*Assumptions!$B$71</f>
        <v/>
      </c>
      <c r="AE170" s="41">
        <f>AE168*Assumptions!$B$134*Assumptions!$B$50*Assumptions!$B$35*Assumptions!$B$71</f>
        <v/>
      </c>
      <c r="AF170" s="41">
        <f>AF168*Assumptions!$B$134*Assumptions!$B$50*Assumptions!$B$35*Assumptions!$B$71</f>
        <v/>
      </c>
      <c r="AG170" s="41">
        <f>AG168*Assumptions!$B$134*Assumptions!$B$50*Assumptions!$B$35*Assumptions!$B$71</f>
        <v/>
      </c>
      <c r="AH170" s="41">
        <f>AH168*Assumptions!$B$134*Assumptions!$B$50*Assumptions!$B$35*Assumptions!$B$71</f>
        <v/>
      </c>
      <c r="AI170" s="41">
        <f>AI168*Assumptions!$B$134*Assumptions!$B$50*Assumptions!$B$35*Assumptions!$B$71</f>
        <v/>
      </c>
      <c r="AJ170" s="41">
        <f>AJ168*Assumptions!$B$134*Assumptions!$B$50*Assumptions!$B$35*Assumptions!$B$71</f>
        <v/>
      </c>
      <c r="AK170" s="41">
        <f>AK168*Assumptions!$B$134*Assumptions!$B$50*Assumptions!$B$35*Assumptions!$B$71</f>
        <v/>
      </c>
      <c r="AL170" s="41">
        <f>AL168*Assumptions!$B$134*Assumptions!$B$50*Assumptions!$B$35*Assumptions!$B$71</f>
        <v/>
      </c>
      <c r="AM170" s="41">
        <f>AM168*Assumptions!$B$134*Assumptions!$B$50*Assumptions!$B$35*Assumptions!$B$71</f>
        <v/>
      </c>
      <c r="AN170" s="41">
        <f>AN168*Assumptions!$B$134*Assumptions!$B$50*Assumptions!$B$35*Assumptions!$B$71</f>
        <v/>
      </c>
      <c r="AO170" s="41">
        <f>AO168*Assumptions!$B$134*Assumptions!$B$50*Assumptions!$B$35*Assumptions!$B$71</f>
        <v/>
      </c>
      <c r="AP170" s="41">
        <f>AP168*Assumptions!$B$134*Assumptions!$B$50*Assumptions!$B$35*Assumptions!$B$71</f>
        <v/>
      </c>
      <c r="AQ170" s="41">
        <f>AQ168*Assumptions!$B$134*Assumptions!$B$50*Assumptions!$B$35*Assumptions!$B$71</f>
        <v/>
      </c>
      <c r="AR170" s="41">
        <f>AR168*Assumptions!$B$134*Assumptions!$B$50*Assumptions!$B$35*Assumptions!$B$71</f>
        <v/>
      </c>
      <c r="AS170" s="41">
        <f>AS168*Assumptions!$B$134*Assumptions!$B$50*Assumptions!$B$35*Assumptions!$B$71</f>
        <v/>
      </c>
      <c r="AT170" s="41">
        <f>AT168*Assumptions!$B$134*Assumptions!$B$50*Assumptions!$B$35*Assumptions!$B$71</f>
        <v/>
      </c>
      <c r="AU170" s="41">
        <f>AU168*Assumptions!$B$134*Assumptions!$B$50*Assumptions!$B$35*Assumptions!$B$71</f>
        <v/>
      </c>
      <c r="AV170" s="41">
        <f>AV168*Assumptions!$B$134*Assumptions!$B$50*Assumptions!$B$35*Assumptions!$B$71</f>
        <v/>
      </c>
      <c r="AW170" s="41">
        <f>AW168*Assumptions!$B$134*Assumptions!$B$50*Assumptions!$B$35*Assumptions!$B$71</f>
        <v/>
      </c>
      <c r="AX170" s="41">
        <f>AX168*Assumptions!$B$134*Assumptions!$B$50*Assumptions!$B$35*Assumptions!$B$71</f>
        <v/>
      </c>
      <c r="AY170" s="41">
        <f>AY168*Assumptions!$B$134*Assumptions!$B$50*Assumptions!$B$35*Assumptions!$B$71</f>
        <v/>
      </c>
      <c r="AZ170" s="41">
        <f>AZ168*Assumptions!$B$134*Assumptions!$B$50*Assumptions!$B$35*Assumptions!$B$71</f>
        <v/>
      </c>
      <c r="BA170" s="41">
        <f>BA168*Assumptions!$B$134*Assumptions!$B$50*Assumptions!$B$35*Assumptions!$B$71</f>
        <v/>
      </c>
      <c r="BB170" s="41">
        <f>BB168*Assumptions!$B$134*Assumptions!$B$50*Assumptions!$B$35*Assumptions!$B$71</f>
        <v/>
      </c>
      <c r="BC170" s="41">
        <f>BC168*Assumptions!$B$134*Assumptions!$B$50*Assumptions!$B$35*Assumptions!$B$71</f>
        <v/>
      </c>
      <c r="BD170" s="41">
        <f>BD168*Assumptions!$B$134*Assumptions!$B$50*Assumptions!$B$35*Assumptions!$B$71</f>
        <v/>
      </c>
      <c r="BE170" s="41">
        <f>BE168*Assumptions!$B$134*Assumptions!$B$50*Assumptions!$B$35*Assumptions!$B$71</f>
        <v/>
      </c>
      <c r="BF170" s="41">
        <f>BF168*Assumptions!$B$134*Assumptions!$B$50*Assumptions!$B$35*Assumptions!$B$71</f>
        <v/>
      </c>
      <c r="BG170" s="41">
        <f>BG168*Assumptions!$B$134*Assumptions!$B$50*Assumptions!$B$35*Assumptions!$B$71</f>
        <v/>
      </c>
      <c r="BH170" s="41">
        <f>BH168*Assumptions!$B$134*Assumptions!$B$50*Assumptions!$B$35*Assumptions!$B$71</f>
        <v/>
      </c>
      <c r="BI170" s="41">
        <f>BI168*Assumptions!$B$134*Assumptions!$B$50*Assumptions!$B$35*Assumptions!$B$71</f>
        <v/>
      </c>
      <c r="BJ170" s="41">
        <f>BJ168*Assumptions!$B$134*Assumptions!$B$50*Assumptions!$B$35*Assumptions!$B$71</f>
        <v/>
      </c>
    </row>
    <row r="171">
      <c r="A171" s="4" t="inlineStr">
        <is>
          <t>Nigeria: SME: Growth: upgraded out</t>
        </is>
      </c>
      <c r="B171" s="17" t="inlineStr">
        <is>
          <t>workspaces</t>
        </is>
      </c>
      <c r="C171" s="41">
        <f>C168*Assumptions!$B$128</f>
        <v/>
      </c>
      <c r="D171" s="41">
        <f>D168*Assumptions!$B$128</f>
        <v/>
      </c>
      <c r="E171" s="41">
        <f>E168*Assumptions!$B$128</f>
        <v/>
      </c>
      <c r="F171" s="41">
        <f>F168*Assumptions!$B$128</f>
        <v/>
      </c>
      <c r="G171" s="41">
        <f>G168*Assumptions!$B$128</f>
        <v/>
      </c>
      <c r="H171" s="41">
        <f>H168*Assumptions!$B$128</f>
        <v/>
      </c>
      <c r="I171" s="41">
        <f>I168*Assumptions!$B$128</f>
        <v/>
      </c>
      <c r="J171" s="41">
        <f>J168*Assumptions!$B$128</f>
        <v/>
      </c>
      <c r="K171" s="41">
        <f>K168*Assumptions!$B$128</f>
        <v/>
      </c>
      <c r="L171" s="41">
        <f>L168*Assumptions!$B$128</f>
        <v/>
      </c>
      <c r="M171" s="41">
        <f>M168*Assumptions!$B$128</f>
        <v/>
      </c>
      <c r="N171" s="41">
        <f>N168*Assumptions!$B$128</f>
        <v/>
      </c>
      <c r="O171" s="41">
        <f>O168*Assumptions!$B$128</f>
        <v/>
      </c>
      <c r="P171" s="41">
        <f>P168*Assumptions!$B$128</f>
        <v/>
      </c>
      <c r="Q171" s="41">
        <f>Q168*Assumptions!$B$128</f>
        <v/>
      </c>
      <c r="R171" s="41">
        <f>R168*Assumptions!$B$128</f>
        <v/>
      </c>
      <c r="S171" s="41">
        <f>S168*Assumptions!$B$128</f>
        <v/>
      </c>
      <c r="T171" s="41">
        <f>T168*Assumptions!$B$128</f>
        <v/>
      </c>
      <c r="U171" s="41">
        <f>U168*Assumptions!$B$128</f>
        <v/>
      </c>
      <c r="V171" s="41">
        <f>V168*Assumptions!$B$128</f>
        <v/>
      </c>
      <c r="W171" s="41">
        <f>W168*Assumptions!$B$128</f>
        <v/>
      </c>
      <c r="X171" s="41">
        <f>X168*Assumptions!$B$128</f>
        <v/>
      </c>
      <c r="Y171" s="41">
        <f>Y168*Assumptions!$B$128</f>
        <v/>
      </c>
      <c r="Z171" s="41">
        <f>Z168*Assumptions!$B$128</f>
        <v/>
      </c>
      <c r="AA171" s="41">
        <f>AA168*Assumptions!$B$128</f>
        <v/>
      </c>
      <c r="AB171" s="41">
        <f>AB168*Assumptions!$B$128</f>
        <v/>
      </c>
      <c r="AC171" s="41">
        <f>AC168*Assumptions!$B$128</f>
        <v/>
      </c>
      <c r="AD171" s="41">
        <f>AD168*Assumptions!$B$128</f>
        <v/>
      </c>
      <c r="AE171" s="41">
        <f>AE168*Assumptions!$B$128</f>
        <v/>
      </c>
      <c r="AF171" s="41">
        <f>AF168*Assumptions!$B$128</f>
        <v/>
      </c>
      <c r="AG171" s="41">
        <f>AG168*Assumptions!$B$128</f>
        <v/>
      </c>
      <c r="AH171" s="41">
        <f>AH168*Assumptions!$B$128</f>
        <v/>
      </c>
      <c r="AI171" s="41">
        <f>AI168*Assumptions!$B$128</f>
        <v/>
      </c>
      <c r="AJ171" s="41">
        <f>AJ168*Assumptions!$B$128</f>
        <v/>
      </c>
      <c r="AK171" s="41">
        <f>AK168*Assumptions!$B$128</f>
        <v/>
      </c>
      <c r="AL171" s="41">
        <f>AL168*Assumptions!$B$128</f>
        <v/>
      </c>
      <c r="AM171" s="41">
        <f>AM168*Assumptions!$B$128</f>
        <v/>
      </c>
      <c r="AN171" s="41">
        <f>AN168*Assumptions!$B$128</f>
        <v/>
      </c>
      <c r="AO171" s="41">
        <f>AO168*Assumptions!$B$128</f>
        <v/>
      </c>
      <c r="AP171" s="41">
        <f>AP168*Assumptions!$B$128</f>
        <v/>
      </c>
      <c r="AQ171" s="41">
        <f>AQ168*Assumptions!$B$128</f>
        <v/>
      </c>
      <c r="AR171" s="41">
        <f>AR168*Assumptions!$B$128</f>
        <v/>
      </c>
      <c r="AS171" s="41">
        <f>AS168*Assumptions!$B$128</f>
        <v/>
      </c>
      <c r="AT171" s="41">
        <f>AT168*Assumptions!$B$128</f>
        <v/>
      </c>
      <c r="AU171" s="41">
        <f>AU168*Assumptions!$B$128</f>
        <v/>
      </c>
      <c r="AV171" s="41">
        <f>AV168*Assumptions!$B$128</f>
        <v/>
      </c>
      <c r="AW171" s="41">
        <f>AW168*Assumptions!$B$128</f>
        <v/>
      </c>
      <c r="AX171" s="41">
        <f>AX168*Assumptions!$B$128</f>
        <v/>
      </c>
      <c r="AY171" s="41">
        <f>AY168*Assumptions!$B$128</f>
        <v/>
      </c>
      <c r="AZ171" s="41">
        <f>AZ168*Assumptions!$B$128</f>
        <v/>
      </c>
      <c r="BA171" s="41">
        <f>BA168*Assumptions!$B$128</f>
        <v/>
      </c>
      <c r="BB171" s="41">
        <f>BB168*Assumptions!$B$128</f>
        <v/>
      </c>
      <c r="BC171" s="41">
        <f>BC168*Assumptions!$B$128</f>
        <v/>
      </c>
      <c r="BD171" s="41">
        <f>BD168*Assumptions!$B$128</f>
        <v/>
      </c>
      <c r="BE171" s="41">
        <f>BE168*Assumptions!$B$128</f>
        <v/>
      </c>
      <c r="BF171" s="41">
        <f>BF168*Assumptions!$B$128</f>
        <v/>
      </c>
      <c r="BG171" s="41">
        <f>BG168*Assumptions!$B$128</f>
        <v/>
      </c>
      <c r="BH171" s="41">
        <f>BH168*Assumptions!$B$128</f>
        <v/>
      </c>
      <c r="BI171" s="41">
        <f>BI168*Assumptions!$B$128</f>
        <v/>
      </c>
      <c r="BJ171" s="41">
        <f>BJ168*Assumptions!$B$128</f>
        <v/>
      </c>
    </row>
    <row r="172">
      <c r="A172" s="3" t="inlineStr">
        <is>
          <t>Nigeria: SME: Growth: closing</t>
        </is>
      </c>
      <c r="B172" s="17" t="inlineStr">
        <is>
          <t>workspaces</t>
        </is>
      </c>
      <c r="C172" s="44">
        <f>C168+C169-C170-C171</f>
        <v/>
      </c>
      <c r="D172" s="44">
        <f>D168+D169-D170-D171</f>
        <v/>
      </c>
      <c r="E172" s="44">
        <f>E168+E169-E170-E171</f>
        <v/>
      </c>
      <c r="F172" s="44">
        <f>F168+F169-F170-F171</f>
        <v/>
      </c>
      <c r="G172" s="44">
        <f>G168+G169-G170-G171</f>
        <v/>
      </c>
      <c r="H172" s="44">
        <f>H168+H169-H170-H171</f>
        <v/>
      </c>
      <c r="I172" s="44">
        <f>I168+I169-I170-I171</f>
        <v/>
      </c>
      <c r="J172" s="44">
        <f>J168+J169-J170-J171</f>
        <v/>
      </c>
      <c r="K172" s="44">
        <f>K168+K169-K170-K171</f>
        <v/>
      </c>
      <c r="L172" s="44">
        <f>L168+L169-L170-L171</f>
        <v/>
      </c>
      <c r="M172" s="44">
        <f>M168+M169-M170-M171</f>
        <v/>
      </c>
      <c r="N172" s="44">
        <f>N168+N169-N170-N171</f>
        <v/>
      </c>
      <c r="O172" s="44">
        <f>O168+O169-O170-O171</f>
        <v/>
      </c>
      <c r="P172" s="44">
        <f>P168+P169-P170-P171</f>
        <v/>
      </c>
      <c r="Q172" s="44">
        <f>Q168+Q169-Q170-Q171</f>
        <v/>
      </c>
      <c r="R172" s="44">
        <f>R168+R169-R170-R171</f>
        <v/>
      </c>
      <c r="S172" s="44">
        <f>S168+S169-S170-S171</f>
        <v/>
      </c>
      <c r="T172" s="44">
        <f>T168+T169-T170-T171</f>
        <v/>
      </c>
      <c r="U172" s="44">
        <f>U168+U169-U170-U171</f>
        <v/>
      </c>
      <c r="V172" s="44">
        <f>V168+V169-V170-V171</f>
        <v/>
      </c>
      <c r="W172" s="44">
        <f>W168+W169-W170-W171</f>
        <v/>
      </c>
      <c r="X172" s="44">
        <f>X168+X169-X170-X171</f>
        <v/>
      </c>
      <c r="Y172" s="44">
        <f>Y168+Y169-Y170-Y171</f>
        <v/>
      </c>
      <c r="Z172" s="44">
        <f>Z168+Z169-Z170-Z171</f>
        <v/>
      </c>
      <c r="AA172" s="44">
        <f>AA168+AA169-AA170-AA171</f>
        <v/>
      </c>
      <c r="AB172" s="44">
        <f>AB168+AB169-AB170-AB171</f>
        <v/>
      </c>
      <c r="AC172" s="44">
        <f>AC168+AC169-AC170-AC171</f>
        <v/>
      </c>
      <c r="AD172" s="44">
        <f>AD168+AD169-AD170-AD171</f>
        <v/>
      </c>
      <c r="AE172" s="44">
        <f>AE168+AE169-AE170-AE171</f>
        <v/>
      </c>
      <c r="AF172" s="44">
        <f>AF168+AF169-AF170-AF171</f>
        <v/>
      </c>
      <c r="AG172" s="44">
        <f>AG168+AG169-AG170-AG171</f>
        <v/>
      </c>
      <c r="AH172" s="44">
        <f>AH168+AH169-AH170-AH171</f>
        <v/>
      </c>
      <c r="AI172" s="44">
        <f>AI168+AI169-AI170-AI171</f>
        <v/>
      </c>
      <c r="AJ172" s="44">
        <f>AJ168+AJ169-AJ170-AJ171</f>
        <v/>
      </c>
      <c r="AK172" s="44">
        <f>AK168+AK169-AK170-AK171</f>
        <v/>
      </c>
      <c r="AL172" s="44">
        <f>AL168+AL169-AL170-AL171</f>
        <v/>
      </c>
      <c r="AM172" s="44">
        <f>AM168+AM169-AM170-AM171</f>
        <v/>
      </c>
      <c r="AN172" s="44">
        <f>AN168+AN169-AN170-AN171</f>
        <v/>
      </c>
      <c r="AO172" s="44">
        <f>AO168+AO169-AO170-AO171</f>
        <v/>
      </c>
      <c r="AP172" s="44">
        <f>AP168+AP169-AP170-AP171</f>
        <v/>
      </c>
      <c r="AQ172" s="44">
        <f>AQ168+AQ169-AQ170-AQ171</f>
        <v/>
      </c>
      <c r="AR172" s="44">
        <f>AR168+AR169-AR170-AR171</f>
        <v/>
      </c>
      <c r="AS172" s="44">
        <f>AS168+AS169-AS170-AS171</f>
        <v/>
      </c>
      <c r="AT172" s="44">
        <f>AT168+AT169-AT170-AT171</f>
        <v/>
      </c>
      <c r="AU172" s="44">
        <f>AU168+AU169-AU170-AU171</f>
        <v/>
      </c>
      <c r="AV172" s="44">
        <f>AV168+AV169-AV170-AV171</f>
        <v/>
      </c>
      <c r="AW172" s="44">
        <f>AW168+AW169-AW170-AW171</f>
        <v/>
      </c>
      <c r="AX172" s="44">
        <f>AX168+AX169-AX170-AX171</f>
        <v/>
      </c>
      <c r="AY172" s="44">
        <f>AY168+AY169-AY170-AY171</f>
        <v/>
      </c>
      <c r="AZ172" s="44">
        <f>AZ168+AZ169-AZ170-AZ171</f>
        <v/>
      </c>
      <c r="BA172" s="44">
        <f>BA168+BA169-BA170-BA171</f>
        <v/>
      </c>
      <c r="BB172" s="44">
        <f>BB168+BB169-BB170-BB171</f>
        <v/>
      </c>
      <c r="BC172" s="44">
        <f>BC168+BC169-BC170-BC171</f>
        <v/>
      </c>
      <c r="BD172" s="44">
        <f>BD168+BD169-BD170-BD171</f>
        <v/>
      </c>
      <c r="BE172" s="44">
        <f>BE168+BE169-BE170-BE171</f>
        <v/>
      </c>
      <c r="BF172" s="44">
        <f>BF168+BF169-BF170-BF171</f>
        <v/>
      </c>
      <c r="BG172" s="44">
        <f>BG168+BG169-BG170-BG171</f>
        <v/>
      </c>
      <c r="BH172" s="44">
        <f>BH168+BH169-BH170-BH171</f>
        <v/>
      </c>
      <c r="BI172" s="44">
        <f>BI168+BI169-BI170-BI171</f>
        <v/>
      </c>
      <c r="BJ172" s="44">
        <f>BJ168+BJ169-BJ170-BJ171</f>
        <v/>
      </c>
    </row>
    <row r="173">
      <c r="A173" s="4" t="inlineStr">
        <is>
          <t>Nigeria: SME: Scale (upgraded or direct): opening</t>
        </is>
      </c>
      <c r="B173" s="17" t="inlineStr">
        <is>
          <t>workspaces</t>
        </is>
      </c>
      <c r="C173" s="41">
        <f>0</f>
        <v/>
      </c>
      <c r="D173" s="41">
        <f>C176</f>
        <v/>
      </c>
      <c r="E173" s="41">
        <f>D176</f>
        <v/>
      </c>
      <c r="F173" s="41">
        <f>E176</f>
        <v/>
      </c>
      <c r="G173" s="41">
        <f>F176</f>
        <v/>
      </c>
      <c r="H173" s="41">
        <f>G176</f>
        <v/>
      </c>
      <c r="I173" s="41">
        <f>H176</f>
        <v/>
      </c>
      <c r="J173" s="41">
        <f>I176</f>
        <v/>
      </c>
      <c r="K173" s="41">
        <f>J176</f>
        <v/>
      </c>
      <c r="L173" s="41">
        <f>K176</f>
        <v/>
      </c>
      <c r="M173" s="41">
        <f>L176</f>
        <v/>
      </c>
      <c r="N173" s="41">
        <f>M176</f>
        <v/>
      </c>
      <c r="O173" s="41">
        <f>N176</f>
        <v/>
      </c>
      <c r="P173" s="41">
        <f>O176</f>
        <v/>
      </c>
      <c r="Q173" s="41">
        <f>P176</f>
        <v/>
      </c>
      <c r="R173" s="41">
        <f>Q176</f>
        <v/>
      </c>
      <c r="S173" s="41">
        <f>R176</f>
        <v/>
      </c>
      <c r="T173" s="41">
        <f>S176</f>
        <v/>
      </c>
      <c r="U173" s="41">
        <f>T176</f>
        <v/>
      </c>
      <c r="V173" s="41">
        <f>U176</f>
        <v/>
      </c>
      <c r="W173" s="41">
        <f>V176</f>
        <v/>
      </c>
      <c r="X173" s="41">
        <f>W176</f>
        <v/>
      </c>
      <c r="Y173" s="41">
        <f>X176</f>
        <v/>
      </c>
      <c r="Z173" s="41">
        <f>Y176</f>
        <v/>
      </c>
      <c r="AA173" s="41">
        <f>Z176</f>
        <v/>
      </c>
      <c r="AB173" s="41">
        <f>AA176</f>
        <v/>
      </c>
      <c r="AC173" s="41">
        <f>AB176</f>
        <v/>
      </c>
      <c r="AD173" s="41">
        <f>AC176</f>
        <v/>
      </c>
      <c r="AE173" s="41">
        <f>AD176</f>
        <v/>
      </c>
      <c r="AF173" s="41">
        <f>AE176</f>
        <v/>
      </c>
      <c r="AG173" s="41">
        <f>AF176</f>
        <v/>
      </c>
      <c r="AH173" s="41">
        <f>AG176</f>
        <v/>
      </c>
      <c r="AI173" s="41">
        <f>AH176</f>
        <v/>
      </c>
      <c r="AJ173" s="41">
        <f>AI176</f>
        <v/>
      </c>
      <c r="AK173" s="41">
        <f>AJ176</f>
        <v/>
      </c>
      <c r="AL173" s="41">
        <f>AK176</f>
        <v/>
      </c>
      <c r="AM173" s="41">
        <f>AL176</f>
        <v/>
      </c>
      <c r="AN173" s="41">
        <f>AM176</f>
        <v/>
      </c>
      <c r="AO173" s="41">
        <f>AN176</f>
        <v/>
      </c>
      <c r="AP173" s="41">
        <f>AO176</f>
        <v/>
      </c>
      <c r="AQ173" s="41">
        <f>AP176</f>
        <v/>
      </c>
      <c r="AR173" s="41">
        <f>AQ176</f>
        <v/>
      </c>
      <c r="AS173" s="41">
        <f>AR176</f>
        <v/>
      </c>
      <c r="AT173" s="41">
        <f>AS176</f>
        <v/>
      </c>
      <c r="AU173" s="41">
        <f>AT176</f>
        <v/>
      </c>
      <c r="AV173" s="41">
        <f>AU176</f>
        <v/>
      </c>
      <c r="AW173" s="41">
        <f>AV176</f>
        <v/>
      </c>
      <c r="AX173" s="41">
        <f>AW176</f>
        <v/>
      </c>
      <c r="AY173" s="41">
        <f>AX176</f>
        <v/>
      </c>
      <c r="AZ173" s="41">
        <f>AY176</f>
        <v/>
      </c>
      <c r="BA173" s="41">
        <f>AZ176</f>
        <v/>
      </c>
      <c r="BB173" s="41">
        <f>BA176</f>
        <v/>
      </c>
      <c r="BC173" s="41">
        <f>BB176</f>
        <v/>
      </c>
      <c r="BD173" s="41">
        <f>BC176</f>
        <v/>
      </c>
      <c r="BE173" s="41">
        <f>BD176</f>
        <v/>
      </c>
      <c r="BF173" s="41">
        <f>BE176</f>
        <v/>
      </c>
      <c r="BG173" s="41">
        <f>BF176</f>
        <v/>
      </c>
      <c r="BH173" s="41">
        <f>BG176</f>
        <v/>
      </c>
      <c r="BI173" s="41">
        <f>BH176</f>
        <v/>
      </c>
      <c r="BJ173" s="41">
        <f>BI176</f>
        <v/>
      </c>
    </row>
    <row r="174">
      <c r="A174" s="4" t="inlineStr">
        <is>
          <t>Nigeria: SME: Scale (upgraded or direct): new</t>
        </is>
      </c>
      <c r="B174" s="17" t="inlineStr">
        <is>
          <t>workspaces</t>
        </is>
      </c>
      <c r="C174" s="41">
        <f>C116*Assumptions!$B$126+C171</f>
        <v/>
      </c>
      <c r="D174" s="41">
        <f>D116*Assumptions!$B$126+D171</f>
        <v/>
      </c>
      <c r="E174" s="41">
        <f>E116*Assumptions!$B$126+E171</f>
        <v/>
      </c>
      <c r="F174" s="41">
        <f>F116*Assumptions!$B$126+F171</f>
        <v/>
      </c>
      <c r="G174" s="41">
        <f>G116*Assumptions!$B$126+G171</f>
        <v/>
      </c>
      <c r="H174" s="41">
        <f>H116*Assumptions!$B$126+H171</f>
        <v/>
      </c>
      <c r="I174" s="41">
        <f>I116*Assumptions!$B$126+I171</f>
        <v/>
      </c>
      <c r="J174" s="41">
        <f>J116*Assumptions!$B$126+J171</f>
        <v/>
      </c>
      <c r="K174" s="41">
        <f>K116*Assumptions!$B$126+K171</f>
        <v/>
      </c>
      <c r="L174" s="41">
        <f>L116*Assumptions!$B$126+L171</f>
        <v/>
      </c>
      <c r="M174" s="41">
        <f>M116*Assumptions!$B$126+M171</f>
        <v/>
      </c>
      <c r="N174" s="41">
        <f>N116*Assumptions!$B$126+N171</f>
        <v/>
      </c>
      <c r="O174" s="41">
        <f>O116*Assumptions!$B$126+O171</f>
        <v/>
      </c>
      <c r="P174" s="41">
        <f>P116*Assumptions!$B$126+P171</f>
        <v/>
      </c>
      <c r="Q174" s="41">
        <f>Q116*Assumptions!$B$126+Q171</f>
        <v/>
      </c>
      <c r="R174" s="41">
        <f>R116*Assumptions!$B$126+R171</f>
        <v/>
      </c>
      <c r="S174" s="41">
        <f>S116*Assumptions!$B$126+S171</f>
        <v/>
      </c>
      <c r="T174" s="41">
        <f>T116*Assumptions!$B$126+T171</f>
        <v/>
      </c>
      <c r="U174" s="41">
        <f>U116*Assumptions!$B$126+U171</f>
        <v/>
      </c>
      <c r="V174" s="41">
        <f>V116*Assumptions!$B$126+V171</f>
        <v/>
      </c>
      <c r="W174" s="41">
        <f>W116*Assumptions!$B$126+W171</f>
        <v/>
      </c>
      <c r="X174" s="41">
        <f>X116*Assumptions!$B$126+X171</f>
        <v/>
      </c>
      <c r="Y174" s="41">
        <f>Y116*Assumptions!$B$126+Y171</f>
        <v/>
      </c>
      <c r="Z174" s="41">
        <f>Z116*Assumptions!$B$126+Z171</f>
        <v/>
      </c>
      <c r="AA174" s="41">
        <f>AA116*Assumptions!$B$126+AA171</f>
        <v/>
      </c>
      <c r="AB174" s="41">
        <f>AB116*Assumptions!$B$126+AB171</f>
        <v/>
      </c>
      <c r="AC174" s="41">
        <f>AC116*Assumptions!$B$126+AC171</f>
        <v/>
      </c>
      <c r="AD174" s="41">
        <f>AD116*Assumptions!$B$126+AD171</f>
        <v/>
      </c>
      <c r="AE174" s="41">
        <f>AE116*Assumptions!$B$126+AE171</f>
        <v/>
      </c>
      <c r="AF174" s="41">
        <f>AF116*Assumptions!$B$126+AF171</f>
        <v/>
      </c>
      <c r="AG174" s="41">
        <f>AG116*Assumptions!$B$126+AG171</f>
        <v/>
      </c>
      <c r="AH174" s="41">
        <f>AH116*Assumptions!$B$126+AH171</f>
        <v/>
      </c>
      <c r="AI174" s="41">
        <f>AI116*Assumptions!$B$126+AI171</f>
        <v/>
      </c>
      <c r="AJ174" s="41">
        <f>AJ116*Assumptions!$B$126+AJ171</f>
        <v/>
      </c>
      <c r="AK174" s="41">
        <f>AK116*Assumptions!$B$126+AK171</f>
        <v/>
      </c>
      <c r="AL174" s="41">
        <f>AL116*Assumptions!$B$126+AL171</f>
        <v/>
      </c>
      <c r="AM174" s="41">
        <f>AM116*Assumptions!$B$126+AM171</f>
        <v/>
      </c>
      <c r="AN174" s="41">
        <f>AN116*Assumptions!$B$126+AN171</f>
        <v/>
      </c>
      <c r="AO174" s="41">
        <f>AO116*Assumptions!$B$126+AO171</f>
        <v/>
      </c>
      <c r="AP174" s="41">
        <f>AP116*Assumptions!$B$126+AP171</f>
        <v/>
      </c>
      <c r="AQ174" s="41">
        <f>AQ116*Assumptions!$B$126+AQ171</f>
        <v/>
      </c>
      <c r="AR174" s="41">
        <f>AR116*Assumptions!$B$126+AR171</f>
        <v/>
      </c>
      <c r="AS174" s="41">
        <f>AS116*Assumptions!$B$126+AS171</f>
        <v/>
      </c>
      <c r="AT174" s="41">
        <f>AT116*Assumptions!$B$126+AT171</f>
        <v/>
      </c>
      <c r="AU174" s="41">
        <f>AU116*Assumptions!$B$126+AU171</f>
        <v/>
      </c>
      <c r="AV174" s="41">
        <f>AV116*Assumptions!$B$126+AV171</f>
        <v/>
      </c>
      <c r="AW174" s="41">
        <f>AW116*Assumptions!$B$126+AW171</f>
        <v/>
      </c>
      <c r="AX174" s="41">
        <f>AX116*Assumptions!$B$126+AX171</f>
        <v/>
      </c>
      <c r="AY174" s="41">
        <f>AY116*Assumptions!$B$126+AY171</f>
        <v/>
      </c>
      <c r="AZ174" s="41">
        <f>AZ116*Assumptions!$B$126+AZ171</f>
        <v/>
      </c>
      <c r="BA174" s="41">
        <f>BA116*Assumptions!$B$126+BA171</f>
        <v/>
      </c>
      <c r="BB174" s="41">
        <f>BB116*Assumptions!$B$126+BB171</f>
        <v/>
      </c>
      <c r="BC174" s="41">
        <f>BC116*Assumptions!$B$126+BC171</f>
        <v/>
      </c>
      <c r="BD174" s="41">
        <f>BD116*Assumptions!$B$126+BD171</f>
        <v/>
      </c>
      <c r="BE174" s="41">
        <f>BE116*Assumptions!$B$126+BE171</f>
        <v/>
      </c>
      <c r="BF174" s="41">
        <f>BF116*Assumptions!$B$126+BF171</f>
        <v/>
      </c>
      <c r="BG174" s="41">
        <f>BG116*Assumptions!$B$126+BG171</f>
        <v/>
      </c>
      <c r="BH174" s="41">
        <f>BH116*Assumptions!$B$126+BH171</f>
        <v/>
      </c>
      <c r="BI174" s="41">
        <f>BI116*Assumptions!$B$126+BI171</f>
        <v/>
      </c>
      <c r="BJ174" s="41">
        <f>BJ116*Assumptions!$B$126+BJ171</f>
        <v/>
      </c>
    </row>
    <row r="175">
      <c r="A175" s="4" t="inlineStr">
        <is>
          <t>Nigeria: SME: Scale (upgraded or direct): churned</t>
        </is>
      </c>
      <c r="B175" s="17" t="inlineStr">
        <is>
          <t>workspaces</t>
        </is>
      </c>
      <c r="C175" s="41">
        <f>C173*Assumptions!$B$135*Assumptions!$B$50*Assumptions!$B$35*Assumptions!$B$71</f>
        <v/>
      </c>
      <c r="D175" s="41">
        <f>D173*Assumptions!$B$135*Assumptions!$B$50*Assumptions!$B$35*Assumptions!$B$71</f>
        <v/>
      </c>
      <c r="E175" s="41">
        <f>E173*Assumptions!$B$135*Assumptions!$B$50*Assumptions!$B$35*Assumptions!$B$71</f>
        <v/>
      </c>
      <c r="F175" s="41">
        <f>F173*Assumptions!$B$135*Assumptions!$B$50*Assumptions!$B$35*Assumptions!$B$71</f>
        <v/>
      </c>
      <c r="G175" s="41">
        <f>G173*Assumptions!$B$135*Assumptions!$B$50*Assumptions!$B$35*Assumptions!$B$71</f>
        <v/>
      </c>
      <c r="H175" s="41">
        <f>H173*Assumptions!$B$135*Assumptions!$B$50*Assumptions!$B$35*Assumptions!$B$71</f>
        <v/>
      </c>
      <c r="I175" s="41">
        <f>I173*Assumptions!$B$135*Assumptions!$B$50*Assumptions!$B$35*Assumptions!$B$71</f>
        <v/>
      </c>
      <c r="J175" s="41">
        <f>J173*Assumptions!$B$135*Assumptions!$B$50*Assumptions!$B$35*Assumptions!$B$71</f>
        <v/>
      </c>
      <c r="K175" s="41">
        <f>K173*Assumptions!$B$135*Assumptions!$B$50*Assumptions!$B$35*Assumptions!$B$71</f>
        <v/>
      </c>
      <c r="L175" s="41">
        <f>L173*Assumptions!$B$135*Assumptions!$B$50*Assumptions!$B$35*Assumptions!$B$71</f>
        <v/>
      </c>
      <c r="M175" s="41">
        <f>M173*Assumptions!$B$135*Assumptions!$B$50*Assumptions!$B$35*Assumptions!$B$71</f>
        <v/>
      </c>
      <c r="N175" s="41">
        <f>N173*Assumptions!$B$135*Assumptions!$B$50*Assumptions!$B$35*Assumptions!$B$71</f>
        <v/>
      </c>
      <c r="O175" s="41">
        <f>O173*Assumptions!$B$135*Assumptions!$B$50*Assumptions!$B$35*Assumptions!$B$71</f>
        <v/>
      </c>
      <c r="P175" s="41">
        <f>P173*Assumptions!$B$135*Assumptions!$B$50*Assumptions!$B$35*Assumptions!$B$71</f>
        <v/>
      </c>
      <c r="Q175" s="41">
        <f>Q173*Assumptions!$B$135*Assumptions!$B$50*Assumptions!$B$35*Assumptions!$B$71</f>
        <v/>
      </c>
      <c r="R175" s="41">
        <f>R173*Assumptions!$B$135*Assumptions!$B$50*Assumptions!$B$35*Assumptions!$B$71</f>
        <v/>
      </c>
      <c r="S175" s="41">
        <f>S173*Assumptions!$B$135*Assumptions!$B$50*Assumptions!$B$35*Assumptions!$B$71</f>
        <v/>
      </c>
      <c r="T175" s="41">
        <f>T173*Assumptions!$B$135*Assumptions!$B$50*Assumptions!$B$35*Assumptions!$B$71</f>
        <v/>
      </c>
      <c r="U175" s="41">
        <f>U173*Assumptions!$B$135*Assumptions!$B$50*Assumptions!$B$35*Assumptions!$B$71</f>
        <v/>
      </c>
      <c r="V175" s="41">
        <f>V173*Assumptions!$B$135*Assumptions!$B$50*Assumptions!$B$35*Assumptions!$B$71</f>
        <v/>
      </c>
      <c r="W175" s="41">
        <f>W173*Assumptions!$B$135*Assumptions!$B$50*Assumptions!$B$35*Assumptions!$B$71</f>
        <v/>
      </c>
      <c r="X175" s="41">
        <f>X173*Assumptions!$B$135*Assumptions!$B$50*Assumptions!$B$35*Assumptions!$B$71</f>
        <v/>
      </c>
      <c r="Y175" s="41">
        <f>Y173*Assumptions!$B$135*Assumptions!$B$50*Assumptions!$B$35*Assumptions!$B$71</f>
        <v/>
      </c>
      <c r="Z175" s="41">
        <f>Z173*Assumptions!$B$135*Assumptions!$B$50*Assumptions!$B$35*Assumptions!$B$71</f>
        <v/>
      </c>
      <c r="AA175" s="41">
        <f>AA173*Assumptions!$B$135*Assumptions!$B$50*Assumptions!$B$35*Assumptions!$B$71</f>
        <v/>
      </c>
      <c r="AB175" s="41">
        <f>AB173*Assumptions!$B$135*Assumptions!$B$50*Assumptions!$B$35*Assumptions!$B$71</f>
        <v/>
      </c>
      <c r="AC175" s="41">
        <f>AC173*Assumptions!$B$135*Assumptions!$B$50*Assumptions!$B$35*Assumptions!$B$71</f>
        <v/>
      </c>
      <c r="AD175" s="41">
        <f>AD173*Assumptions!$B$135*Assumptions!$B$50*Assumptions!$B$35*Assumptions!$B$71</f>
        <v/>
      </c>
      <c r="AE175" s="41">
        <f>AE173*Assumptions!$B$135*Assumptions!$B$50*Assumptions!$B$35*Assumptions!$B$71</f>
        <v/>
      </c>
      <c r="AF175" s="41">
        <f>AF173*Assumptions!$B$135*Assumptions!$B$50*Assumptions!$B$35*Assumptions!$B$71</f>
        <v/>
      </c>
      <c r="AG175" s="41">
        <f>AG173*Assumptions!$B$135*Assumptions!$B$50*Assumptions!$B$35*Assumptions!$B$71</f>
        <v/>
      </c>
      <c r="AH175" s="41">
        <f>AH173*Assumptions!$B$135*Assumptions!$B$50*Assumptions!$B$35*Assumptions!$B$71</f>
        <v/>
      </c>
      <c r="AI175" s="41">
        <f>AI173*Assumptions!$B$135*Assumptions!$B$50*Assumptions!$B$35*Assumptions!$B$71</f>
        <v/>
      </c>
      <c r="AJ175" s="41">
        <f>AJ173*Assumptions!$B$135*Assumptions!$B$50*Assumptions!$B$35*Assumptions!$B$71</f>
        <v/>
      </c>
      <c r="AK175" s="41">
        <f>AK173*Assumptions!$B$135*Assumptions!$B$50*Assumptions!$B$35*Assumptions!$B$71</f>
        <v/>
      </c>
      <c r="AL175" s="41">
        <f>AL173*Assumptions!$B$135*Assumptions!$B$50*Assumptions!$B$35*Assumptions!$B$71</f>
        <v/>
      </c>
      <c r="AM175" s="41">
        <f>AM173*Assumptions!$B$135*Assumptions!$B$50*Assumptions!$B$35*Assumptions!$B$71</f>
        <v/>
      </c>
      <c r="AN175" s="41">
        <f>AN173*Assumptions!$B$135*Assumptions!$B$50*Assumptions!$B$35*Assumptions!$B$71</f>
        <v/>
      </c>
      <c r="AO175" s="41">
        <f>AO173*Assumptions!$B$135*Assumptions!$B$50*Assumptions!$B$35*Assumptions!$B$71</f>
        <v/>
      </c>
      <c r="AP175" s="41">
        <f>AP173*Assumptions!$B$135*Assumptions!$B$50*Assumptions!$B$35*Assumptions!$B$71</f>
        <v/>
      </c>
      <c r="AQ175" s="41">
        <f>AQ173*Assumptions!$B$135*Assumptions!$B$50*Assumptions!$B$35*Assumptions!$B$71</f>
        <v/>
      </c>
      <c r="AR175" s="41">
        <f>AR173*Assumptions!$B$135*Assumptions!$B$50*Assumptions!$B$35*Assumptions!$B$71</f>
        <v/>
      </c>
      <c r="AS175" s="41">
        <f>AS173*Assumptions!$B$135*Assumptions!$B$50*Assumptions!$B$35*Assumptions!$B$71</f>
        <v/>
      </c>
      <c r="AT175" s="41">
        <f>AT173*Assumptions!$B$135*Assumptions!$B$50*Assumptions!$B$35*Assumptions!$B$71</f>
        <v/>
      </c>
      <c r="AU175" s="41">
        <f>AU173*Assumptions!$B$135*Assumptions!$B$50*Assumptions!$B$35*Assumptions!$B$71</f>
        <v/>
      </c>
      <c r="AV175" s="41">
        <f>AV173*Assumptions!$B$135*Assumptions!$B$50*Assumptions!$B$35*Assumptions!$B$71</f>
        <v/>
      </c>
      <c r="AW175" s="41">
        <f>AW173*Assumptions!$B$135*Assumptions!$B$50*Assumptions!$B$35*Assumptions!$B$71</f>
        <v/>
      </c>
      <c r="AX175" s="41">
        <f>AX173*Assumptions!$B$135*Assumptions!$B$50*Assumptions!$B$35*Assumptions!$B$71</f>
        <v/>
      </c>
      <c r="AY175" s="41">
        <f>AY173*Assumptions!$B$135*Assumptions!$B$50*Assumptions!$B$35*Assumptions!$B$71</f>
        <v/>
      </c>
      <c r="AZ175" s="41">
        <f>AZ173*Assumptions!$B$135*Assumptions!$B$50*Assumptions!$B$35*Assumptions!$B$71</f>
        <v/>
      </c>
      <c r="BA175" s="41">
        <f>BA173*Assumptions!$B$135*Assumptions!$B$50*Assumptions!$B$35*Assumptions!$B$71</f>
        <v/>
      </c>
      <c r="BB175" s="41">
        <f>BB173*Assumptions!$B$135*Assumptions!$B$50*Assumptions!$B$35*Assumptions!$B$71</f>
        <v/>
      </c>
      <c r="BC175" s="41">
        <f>BC173*Assumptions!$B$135*Assumptions!$B$50*Assumptions!$B$35*Assumptions!$B$71</f>
        <v/>
      </c>
      <c r="BD175" s="41">
        <f>BD173*Assumptions!$B$135*Assumptions!$B$50*Assumptions!$B$35*Assumptions!$B$71</f>
        <v/>
      </c>
      <c r="BE175" s="41">
        <f>BE173*Assumptions!$B$135*Assumptions!$B$50*Assumptions!$B$35*Assumptions!$B$71</f>
        <v/>
      </c>
      <c r="BF175" s="41">
        <f>BF173*Assumptions!$B$135*Assumptions!$B$50*Assumptions!$B$35*Assumptions!$B$71</f>
        <v/>
      </c>
      <c r="BG175" s="41">
        <f>BG173*Assumptions!$B$135*Assumptions!$B$50*Assumptions!$B$35*Assumptions!$B$71</f>
        <v/>
      </c>
      <c r="BH175" s="41">
        <f>BH173*Assumptions!$B$135*Assumptions!$B$50*Assumptions!$B$35*Assumptions!$B$71</f>
        <v/>
      </c>
      <c r="BI175" s="41">
        <f>BI173*Assumptions!$B$135*Assumptions!$B$50*Assumptions!$B$35*Assumptions!$B$71</f>
        <v/>
      </c>
      <c r="BJ175" s="41">
        <f>BJ173*Assumptions!$B$135*Assumptions!$B$50*Assumptions!$B$35*Assumptions!$B$71</f>
        <v/>
      </c>
    </row>
    <row r="176">
      <c r="A176" s="3" t="inlineStr">
        <is>
          <t>Nigeria: SME: Scale (upgraded or direct): closing</t>
        </is>
      </c>
      <c r="B176" s="17" t="inlineStr">
        <is>
          <t>workspaces</t>
        </is>
      </c>
      <c r="C176" s="44">
        <f>C173+C174-C175</f>
        <v/>
      </c>
      <c r="D176" s="44">
        <f>D173+D174-D175</f>
        <v/>
      </c>
      <c r="E176" s="44">
        <f>E173+E174-E175</f>
        <v/>
      </c>
      <c r="F176" s="44">
        <f>F173+F174-F175</f>
        <v/>
      </c>
      <c r="G176" s="44">
        <f>G173+G174-G175</f>
        <v/>
      </c>
      <c r="H176" s="44">
        <f>H173+H174-H175</f>
        <v/>
      </c>
      <c r="I176" s="44">
        <f>I173+I174-I175</f>
        <v/>
      </c>
      <c r="J176" s="44">
        <f>J173+J174-J175</f>
        <v/>
      </c>
      <c r="K176" s="44">
        <f>K173+K174-K175</f>
        <v/>
      </c>
      <c r="L176" s="44">
        <f>L173+L174-L175</f>
        <v/>
      </c>
      <c r="M176" s="44">
        <f>M173+M174-M175</f>
        <v/>
      </c>
      <c r="N176" s="44">
        <f>N173+N174-N175</f>
        <v/>
      </c>
      <c r="O176" s="44">
        <f>O173+O174-O175</f>
        <v/>
      </c>
      <c r="P176" s="44">
        <f>P173+P174-P175</f>
        <v/>
      </c>
      <c r="Q176" s="44">
        <f>Q173+Q174-Q175</f>
        <v/>
      </c>
      <c r="R176" s="44">
        <f>R173+R174-R175</f>
        <v/>
      </c>
      <c r="S176" s="44">
        <f>S173+S174-S175</f>
        <v/>
      </c>
      <c r="T176" s="44">
        <f>T173+T174-T175</f>
        <v/>
      </c>
      <c r="U176" s="44">
        <f>U173+U174-U175</f>
        <v/>
      </c>
      <c r="V176" s="44">
        <f>V173+V174-V175</f>
        <v/>
      </c>
      <c r="W176" s="44">
        <f>W173+W174-W175</f>
        <v/>
      </c>
      <c r="X176" s="44">
        <f>X173+X174-X175</f>
        <v/>
      </c>
      <c r="Y176" s="44">
        <f>Y173+Y174-Y175</f>
        <v/>
      </c>
      <c r="Z176" s="44">
        <f>Z173+Z174-Z175</f>
        <v/>
      </c>
      <c r="AA176" s="44">
        <f>AA173+AA174-AA175</f>
        <v/>
      </c>
      <c r="AB176" s="44">
        <f>AB173+AB174-AB175</f>
        <v/>
      </c>
      <c r="AC176" s="44">
        <f>AC173+AC174-AC175</f>
        <v/>
      </c>
      <c r="AD176" s="44">
        <f>AD173+AD174-AD175</f>
        <v/>
      </c>
      <c r="AE176" s="44">
        <f>AE173+AE174-AE175</f>
        <v/>
      </c>
      <c r="AF176" s="44">
        <f>AF173+AF174-AF175</f>
        <v/>
      </c>
      <c r="AG176" s="44">
        <f>AG173+AG174-AG175</f>
        <v/>
      </c>
      <c r="AH176" s="44">
        <f>AH173+AH174-AH175</f>
        <v/>
      </c>
      <c r="AI176" s="44">
        <f>AI173+AI174-AI175</f>
        <v/>
      </c>
      <c r="AJ176" s="44">
        <f>AJ173+AJ174-AJ175</f>
        <v/>
      </c>
      <c r="AK176" s="44">
        <f>AK173+AK174-AK175</f>
        <v/>
      </c>
      <c r="AL176" s="44">
        <f>AL173+AL174-AL175</f>
        <v/>
      </c>
      <c r="AM176" s="44">
        <f>AM173+AM174-AM175</f>
        <v/>
      </c>
      <c r="AN176" s="44">
        <f>AN173+AN174-AN175</f>
        <v/>
      </c>
      <c r="AO176" s="44">
        <f>AO173+AO174-AO175</f>
        <v/>
      </c>
      <c r="AP176" s="44">
        <f>AP173+AP174-AP175</f>
        <v/>
      </c>
      <c r="AQ176" s="44">
        <f>AQ173+AQ174-AQ175</f>
        <v/>
      </c>
      <c r="AR176" s="44">
        <f>AR173+AR174-AR175</f>
        <v/>
      </c>
      <c r="AS176" s="44">
        <f>AS173+AS174-AS175</f>
        <v/>
      </c>
      <c r="AT176" s="44">
        <f>AT173+AT174-AT175</f>
        <v/>
      </c>
      <c r="AU176" s="44">
        <f>AU173+AU174-AU175</f>
        <v/>
      </c>
      <c r="AV176" s="44">
        <f>AV173+AV174-AV175</f>
        <v/>
      </c>
      <c r="AW176" s="44">
        <f>AW173+AW174-AW175</f>
        <v/>
      </c>
      <c r="AX176" s="44">
        <f>AX173+AX174-AX175</f>
        <v/>
      </c>
      <c r="AY176" s="44">
        <f>AY173+AY174-AY175</f>
        <v/>
      </c>
      <c r="AZ176" s="44">
        <f>AZ173+AZ174-AZ175</f>
        <v/>
      </c>
      <c r="BA176" s="44">
        <f>BA173+BA174-BA175</f>
        <v/>
      </c>
      <c r="BB176" s="44">
        <f>BB173+BB174-BB175</f>
        <v/>
      </c>
      <c r="BC176" s="44">
        <f>BC173+BC174-BC175</f>
        <v/>
      </c>
      <c r="BD176" s="44">
        <f>BD173+BD174-BD175</f>
        <v/>
      </c>
      <c r="BE176" s="44">
        <f>BE173+BE174-BE175</f>
        <v/>
      </c>
      <c r="BF176" s="44">
        <f>BF173+BF174-BF175</f>
        <v/>
      </c>
      <c r="BG176" s="44">
        <f>BG173+BG174-BG175</f>
        <v/>
      </c>
      <c r="BH176" s="44">
        <f>BH173+BH174-BH175</f>
        <v/>
      </c>
      <c r="BI176" s="44">
        <f>BI173+BI174-BI175</f>
        <v/>
      </c>
      <c r="BJ176" s="44">
        <f>BJ173+BJ174-BJ175</f>
        <v/>
      </c>
    </row>
    <row r="177">
      <c r="A177" s="4" t="inlineStr">
        <is>
          <t>Nigeria: Agency / partner: Agency tier: opening</t>
        </is>
      </c>
      <c r="B177" s="17" t="inlineStr">
        <is>
          <t>workspaces</t>
        </is>
      </c>
      <c r="C177" s="41">
        <f>0</f>
        <v/>
      </c>
      <c r="D177" s="41">
        <f>C180</f>
        <v/>
      </c>
      <c r="E177" s="41">
        <f>D180</f>
        <v/>
      </c>
      <c r="F177" s="41">
        <f>E180</f>
        <v/>
      </c>
      <c r="G177" s="41">
        <f>F180</f>
        <v/>
      </c>
      <c r="H177" s="41">
        <f>G180</f>
        <v/>
      </c>
      <c r="I177" s="41">
        <f>H180</f>
        <v/>
      </c>
      <c r="J177" s="41">
        <f>I180</f>
        <v/>
      </c>
      <c r="K177" s="41">
        <f>J180</f>
        <v/>
      </c>
      <c r="L177" s="41">
        <f>K180</f>
        <v/>
      </c>
      <c r="M177" s="41">
        <f>L180</f>
        <v/>
      </c>
      <c r="N177" s="41">
        <f>M180</f>
        <v/>
      </c>
      <c r="O177" s="41">
        <f>N180</f>
        <v/>
      </c>
      <c r="P177" s="41">
        <f>O180</f>
        <v/>
      </c>
      <c r="Q177" s="41">
        <f>P180</f>
        <v/>
      </c>
      <c r="R177" s="41">
        <f>Q180</f>
        <v/>
      </c>
      <c r="S177" s="41">
        <f>R180</f>
        <v/>
      </c>
      <c r="T177" s="41">
        <f>S180</f>
        <v/>
      </c>
      <c r="U177" s="41">
        <f>T180</f>
        <v/>
      </c>
      <c r="V177" s="41">
        <f>U180</f>
        <v/>
      </c>
      <c r="W177" s="41">
        <f>V180</f>
        <v/>
      </c>
      <c r="X177" s="41">
        <f>W180</f>
        <v/>
      </c>
      <c r="Y177" s="41">
        <f>X180</f>
        <v/>
      </c>
      <c r="Z177" s="41">
        <f>Y180</f>
        <v/>
      </c>
      <c r="AA177" s="41">
        <f>Z180</f>
        <v/>
      </c>
      <c r="AB177" s="41">
        <f>AA180</f>
        <v/>
      </c>
      <c r="AC177" s="41">
        <f>AB180</f>
        <v/>
      </c>
      <c r="AD177" s="41">
        <f>AC180</f>
        <v/>
      </c>
      <c r="AE177" s="41">
        <f>AD180</f>
        <v/>
      </c>
      <c r="AF177" s="41">
        <f>AE180</f>
        <v/>
      </c>
      <c r="AG177" s="41">
        <f>AF180</f>
        <v/>
      </c>
      <c r="AH177" s="41">
        <f>AG180</f>
        <v/>
      </c>
      <c r="AI177" s="41">
        <f>AH180</f>
        <v/>
      </c>
      <c r="AJ177" s="41">
        <f>AI180</f>
        <v/>
      </c>
      <c r="AK177" s="41">
        <f>AJ180</f>
        <v/>
      </c>
      <c r="AL177" s="41">
        <f>AK180</f>
        <v/>
      </c>
      <c r="AM177" s="41">
        <f>AL180</f>
        <v/>
      </c>
      <c r="AN177" s="41">
        <f>AM180</f>
        <v/>
      </c>
      <c r="AO177" s="41">
        <f>AN180</f>
        <v/>
      </c>
      <c r="AP177" s="41">
        <f>AO180</f>
        <v/>
      </c>
      <c r="AQ177" s="41">
        <f>AP180</f>
        <v/>
      </c>
      <c r="AR177" s="41">
        <f>AQ180</f>
        <v/>
      </c>
      <c r="AS177" s="41">
        <f>AR180</f>
        <v/>
      </c>
      <c r="AT177" s="41">
        <f>AS180</f>
        <v/>
      </c>
      <c r="AU177" s="41">
        <f>AT180</f>
        <v/>
      </c>
      <c r="AV177" s="41">
        <f>AU180</f>
        <v/>
      </c>
      <c r="AW177" s="41">
        <f>AV180</f>
        <v/>
      </c>
      <c r="AX177" s="41">
        <f>AW180</f>
        <v/>
      </c>
      <c r="AY177" s="41">
        <f>AX180</f>
        <v/>
      </c>
      <c r="AZ177" s="41">
        <f>AY180</f>
        <v/>
      </c>
      <c r="BA177" s="41">
        <f>AZ180</f>
        <v/>
      </c>
      <c r="BB177" s="41">
        <f>BA180</f>
        <v/>
      </c>
      <c r="BC177" s="41">
        <f>BB180</f>
        <v/>
      </c>
      <c r="BD177" s="41">
        <f>BC180</f>
        <v/>
      </c>
      <c r="BE177" s="41">
        <f>BD180</f>
        <v/>
      </c>
      <c r="BF177" s="41">
        <f>BE180</f>
        <v/>
      </c>
      <c r="BG177" s="41">
        <f>BF180</f>
        <v/>
      </c>
      <c r="BH177" s="41">
        <f>BG180</f>
        <v/>
      </c>
      <c r="BI177" s="41">
        <f>BH180</f>
        <v/>
      </c>
      <c r="BJ177" s="41">
        <f>BI180</f>
        <v/>
      </c>
    </row>
    <row r="178">
      <c r="A178" s="4" t="inlineStr">
        <is>
          <t>Nigeria: Agency / partner: Agency tier: new</t>
        </is>
      </c>
      <c r="B178" s="17" t="inlineStr">
        <is>
          <t>workspaces</t>
        </is>
      </c>
      <c r="C178" s="41">
        <f>C127</f>
        <v/>
      </c>
      <c r="D178" s="41">
        <f>D127</f>
        <v/>
      </c>
      <c r="E178" s="41">
        <f>E127</f>
        <v/>
      </c>
      <c r="F178" s="41">
        <f>F127</f>
        <v/>
      </c>
      <c r="G178" s="41">
        <f>G127</f>
        <v/>
      </c>
      <c r="H178" s="41">
        <f>H127</f>
        <v/>
      </c>
      <c r="I178" s="41">
        <f>I127</f>
        <v/>
      </c>
      <c r="J178" s="41">
        <f>J127</f>
        <v/>
      </c>
      <c r="K178" s="41">
        <f>K127</f>
        <v/>
      </c>
      <c r="L178" s="41">
        <f>L127</f>
        <v/>
      </c>
      <c r="M178" s="41">
        <f>M127</f>
        <v/>
      </c>
      <c r="N178" s="41">
        <f>N127</f>
        <v/>
      </c>
      <c r="O178" s="41">
        <f>O127</f>
        <v/>
      </c>
      <c r="P178" s="41">
        <f>P127</f>
        <v/>
      </c>
      <c r="Q178" s="41">
        <f>Q127</f>
        <v/>
      </c>
      <c r="R178" s="41">
        <f>R127</f>
        <v/>
      </c>
      <c r="S178" s="41">
        <f>S127</f>
        <v/>
      </c>
      <c r="T178" s="41">
        <f>T127</f>
        <v/>
      </c>
      <c r="U178" s="41">
        <f>U127</f>
        <v/>
      </c>
      <c r="V178" s="41">
        <f>V127</f>
        <v/>
      </c>
      <c r="W178" s="41">
        <f>W127</f>
        <v/>
      </c>
      <c r="X178" s="41">
        <f>X127</f>
        <v/>
      </c>
      <c r="Y178" s="41">
        <f>Y127</f>
        <v/>
      </c>
      <c r="Z178" s="41">
        <f>Z127</f>
        <v/>
      </c>
      <c r="AA178" s="41">
        <f>AA127</f>
        <v/>
      </c>
      <c r="AB178" s="41">
        <f>AB127</f>
        <v/>
      </c>
      <c r="AC178" s="41">
        <f>AC127</f>
        <v/>
      </c>
      <c r="AD178" s="41">
        <f>AD127</f>
        <v/>
      </c>
      <c r="AE178" s="41">
        <f>AE127</f>
        <v/>
      </c>
      <c r="AF178" s="41">
        <f>AF127</f>
        <v/>
      </c>
      <c r="AG178" s="41">
        <f>AG127</f>
        <v/>
      </c>
      <c r="AH178" s="41">
        <f>AH127</f>
        <v/>
      </c>
      <c r="AI178" s="41">
        <f>AI127</f>
        <v/>
      </c>
      <c r="AJ178" s="41">
        <f>AJ127</f>
        <v/>
      </c>
      <c r="AK178" s="41">
        <f>AK127</f>
        <v/>
      </c>
      <c r="AL178" s="41">
        <f>AL127</f>
        <v/>
      </c>
      <c r="AM178" s="41">
        <f>AM127</f>
        <v/>
      </c>
      <c r="AN178" s="41">
        <f>AN127</f>
        <v/>
      </c>
      <c r="AO178" s="41">
        <f>AO127</f>
        <v/>
      </c>
      <c r="AP178" s="41">
        <f>AP127</f>
        <v/>
      </c>
      <c r="AQ178" s="41">
        <f>AQ127</f>
        <v/>
      </c>
      <c r="AR178" s="41">
        <f>AR127</f>
        <v/>
      </c>
      <c r="AS178" s="41">
        <f>AS127</f>
        <v/>
      </c>
      <c r="AT178" s="41">
        <f>AT127</f>
        <v/>
      </c>
      <c r="AU178" s="41">
        <f>AU127</f>
        <v/>
      </c>
      <c r="AV178" s="41">
        <f>AV127</f>
        <v/>
      </c>
      <c r="AW178" s="41">
        <f>AW127</f>
        <v/>
      </c>
      <c r="AX178" s="41">
        <f>AX127</f>
        <v/>
      </c>
      <c r="AY178" s="41">
        <f>AY127</f>
        <v/>
      </c>
      <c r="AZ178" s="41">
        <f>AZ127</f>
        <v/>
      </c>
      <c r="BA178" s="41">
        <f>BA127</f>
        <v/>
      </c>
      <c r="BB178" s="41">
        <f>BB127</f>
        <v/>
      </c>
      <c r="BC178" s="41">
        <f>BC127</f>
        <v/>
      </c>
      <c r="BD178" s="41">
        <f>BD127</f>
        <v/>
      </c>
      <c r="BE178" s="41">
        <f>BE127</f>
        <v/>
      </c>
      <c r="BF178" s="41">
        <f>BF127</f>
        <v/>
      </c>
      <c r="BG178" s="41">
        <f>BG127</f>
        <v/>
      </c>
      <c r="BH178" s="41">
        <f>BH127</f>
        <v/>
      </c>
      <c r="BI178" s="41">
        <f>BI127</f>
        <v/>
      </c>
      <c r="BJ178" s="41">
        <f>BJ127</f>
        <v/>
      </c>
    </row>
    <row r="179">
      <c r="A179" s="4" t="inlineStr">
        <is>
          <t>Nigeria: Agency / partner: Agency tier: churned</t>
        </is>
      </c>
      <c r="B179" s="17" t="inlineStr">
        <is>
          <t>workspaces</t>
        </is>
      </c>
      <c r="C179" s="41">
        <f>C177*Assumptions!$B$136*Assumptions!$B$50*Assumptions!$B$35*Assumptions!$B$71</f>
        <v/>
      </c>
      <c r="D179" s="41">
        <f>D177*Assumptions!$B$136*Assumptions!$B$50*Assumptions!$B$35*Assumptions!$B$71</f>
        <v/>
      </c>
      <c r="E179" s="41">
        <f>E177*Assumptions!$B$136*Assumptions!$B$50*Assumptions!$B$35*Assumptions!$B$71</f>
        <v/>
      </c>
      <c r="F179" s="41">
        <f>F177*Assumptions!$B$136*Assumptions!$B$50*Assumptions!$B$35*Assumptions!$B$71</f>
        <v/>
      </c>
      <c r="G179" s="41">
        <f>G177*Assumptions!$B$136*Assumptions!$B$50*Assumptions!$B$35*Assumptions!$B$71</f>
        <v/>
      </c>
      <c r="H179" s="41">
        <f>H177*Assumptions!$B$136*Assumptions!$B$50*Assumptions!$B$35*Assumptions!$B$71</f>
        <v/>
      </c>
      <c r="I179" s="41">
        <f>I177*Assumptions!$B$136*Assumptions!$B$50*Assumptions!$B$35*Assumptions!$B$71</f>
        <v/>
      </c>
      <c r="J179" s="41">
        <f>J177*Assumptions!$B$136*Assumptions!$B$50*Assumptions!$B$35*Assumptions!$B$71</f>
        <v/>
      </c>
      <c r="K179" s="41">
        <f>K177*Assumptions!$B$136*Assumptions!$B$50*Assumptions!$B$35*Assumptions!$B$71</f>
        <v/>
      </c>
      <c r="L179" s="41">
        <f>L177*Assumptions!$B$136*Assumptions!$B$50*Assumptions!$B$35*Assumptions!$B$71</f>
        <v/>
      </c>
      <c r="M179" s="41">
        <f>M177*Assumptions!$B$136*Assumptions!$B$50*Assumptions!$B$35*Assumptions!$B$71</f>
        <v/>
      </c>
      <c r="N179" s="41">
        <f>N177*Assumptions!$B$136*Assumptions!$B$50*Assumptions!$B$35*Assumptions!$B$71</f>
        <v/>
      </c>
      <c r="O179" s="41">
        <f>O177*Assumptions!$B$136*Assumptions!$B$50*Assumptions!$B$35*Assumptions!$B$71</f>
        <v/>
      </c>
      <c r="P179" s="41">
        <f>P177*Assumptions!$B$136*Assumptions!$B$50*Assumptions!$B$35*Assumptions!$B$71</f>
        <v/>
      </c>
      <c r="Q179" s="41">
        <f>Q177*Assumptions!$B$136*Assumptions!$B$50*Assumptions!$B$35*Assumptions!$B$71</f>
        <v/>
      </c>
      <c r="R179" s="41">
        <f>R177*Assumptions!$B$136*Assumptions!$B$50*Assumptions!$B$35*Assumptions!$B$71</f>
        <v/>
      </c>
      <c r="S179" s="41">
        <f>S177*Assumptions!$B$136*Assumptions!$B$50*Assumptions!$B$35*Assumptions!$B$71</f>
        <v/>
      </c>
      <c r="T179" s="41">
        <f>T177*Assumptions!$B$136*Assumptions!$B$50*Assumptions!$B$35*Assumptions!$B$71</f>
        <v/>
      </c>
      <c r="U179" s="41">
        <f>U177*Assumptions!$B$136*Assumptions!$B$50*Assumptions!$B$35*Assumptions!$B$71</f>
        <v/>
      </c>
      <c r="V179" s="41">
        <f>V177*Assumptions!$B$136*Assumptions!$B$50*Assumptions!$B$35*Assumptions!$B$71</f>
        <v/>
      </c>
      <c r="W179" s="41">
        <f>W177*Assumptions!$B$136*Assumptions!$B$50*Assumptions!$B$35*Assumptions!$B$71</f>
        <v/>
      </c>
      <c r="X179" s="41">
        <f>X177*Assumptions!$B$136*Assumptions!$B$50*Assumptions!$B$35*Assumptions!$B$71</f>
        <v/>
      </c>
      <c r="Y179" s="41">
        <f>Y177*Assumptions!$B$136*Assumptions!$B$50*Assumptions!$B$35*Assumptions!$B$71</f>
        <v/>
      </c>
      <c r="Z179" s="41">
        <f>Z177*Assumptions!$B$136*Assumptions!$B$50*Assumptions!$B$35*Assumptions!$B$71</f>
        <v/>
      </c>
      <c r="AA179" s="41">
        <f>AA177*Assumptions!$B$136*Assumptions!$B$50*Assumptions!$B$35*Assumptions!$B$71</f>
        <v/>
      </c>
      <c r="AB179" s="41">
        <f>AB177*Assumptions!$B$136*Assumptions!$B$50*Assumptions!$B$35*Assumptions!$B$71</f>
        <v/>
      </c>
      <c r="AC179" s="41">
        <f>AC177*Assumptions!$B$136*Assumptions!$B$50*Assumptions!$B$35*Assumptions!$B$71</f>
        <v/>
      </c>
      <c r="AD179" s="41">
        <f>AD177*Assumptions!$B$136*Assumptions!$B$50*Assumptions!$B$35*Assumptions!$B$71</f>
        <v/>
      </c>
      <c r="AE179" s="41">
        <f>AE177*Assumptions!$B$136*Assumptions!$B$50*Assumptions!$B$35*Assumptions!$B$71</f>
        <v/>
      </c>
      <c r="AF179" s="41">
        <f>AF177*Assumptions!$B$136*Assumptions!$B$50*Assumptions!$B$35*Assumptions!$B$71</f>
        <v/>
      </c>
      <c r="AG179" s="41">
        <f>AG177*Assumptions!$B$136*Assumptions!$B$50*Assumptions!$B$35*Assumptions!$B$71</f>
        <v/>
      </c>
      <c r="AH179" s="41">
        <f>AH177*Assumptions!$B$136*Assumptions!$B$50*Assumptions!$B$35*Assumptions!$B$71</f>
        <v/>
      </c>
      <c r="AI179" s="41">
        <f>AI177*Assumptions!$B$136*Assumptions!$B$50*Assumptions!$B$35*Assumptions!$B$71</f>
        <v/>
      </c>
      <c r="AJ179" s="41">
        <f>AJ177*Assumptions!$B$136*Assumptions!$B$50*Assumptions!$B$35*Assumptions!$B$71</f>
        <v/>
      </c>
      <c r="AK179" s="41">
        <f>AK177*Assumptions!$B$136*Assumptions!$B$50*Assumptions!$B$35*Assumptions!$B$71</f>
        <v/>
      </c>
      <c r="AL179" s="41">
        <f>AL177*Assumptions!$B$136*Assumptions!$B$50*Assumptions!$B$35*Assumptions!$B$71</f>
        <v/>
      </c>
      <c r="AM179" s="41">
        <f>AM177*Assumptions!$B$136*Assumptions!$B$50*Assumptions!$B$35*Assumptions!$B$71</f>
        <v/>
      </c>
      <c r="AN179" s="41">
        <f>AN177*Assumptions!$B$136*Assumptions!$B$50*Assumptions!$B$35*Assumptions!$B$71</f>
        <v/>
      </c>
      <c r="AO179" s="41">
        <f>AO177*Assumptions!$B$136*Assumptions!$B$50*Assumptions!$B$35*Assumptions!$B$71</f>
        <v/>
      </c>
      <c r="AP179" s="41">
        <f>AP177*Assumptions!$B$136*Assumptions!$B$50*Assumptions!$B$35*Assumptions!$B$71</f>
        <v/>
      </c>
      <c r="AQ179" s="41">
        <f>AQ177*Assumptions!$B$136*Assumptions!$B$50*Assumptions!$B$35*Assumptions!$B$71</f>
        <v/>
      </c>
      <c r="AR179" s="41">
        <f>AR177*Assumptions!$B$136*Assumptions!$B$50*Assumptions!$B$35*Assumptions!$B$71</f>
        <v/>
      </c>
      <c r="AS179" s="41">
        <f>AS177*Assumptions!$B$136*Assumptions!$B$50*Assumptions!$B$35*Assumptions!$B$71</f>
        <v/>
      </c>
      <c r="AT179" s="41">
        <f>AT177*Assumptions!$B$136*Assumptions!$B$50*Assumptions!$B$35*Assumptions!$B$71</f>
        <v/>
      </c>
      <c r="AU179" s="41">
        <f>AU177*Assumptions!$B$136*Assumptions!$B$50*Assumptions!$B$35*Assumptions!$B$71</f>
        <v/>
      </c>
      <c r="AV179" s="41">
        <f>AV177*Assumptions!$B$136*Assumptions!$B$50*Assumptions!$B$35*Assumptions!$B$71</f>
        <v/>
      </c>
      <c r="AW179" s="41">
        <f>AW177*Assumptions!$B$136*Assumptions!$B$50*Assumptions!$B$35*Assumptions!$B$71</f>
        <v/>
      </c>
      <c r="AX179" s="41">
        <f>AX177*Assumptions!$B$136*Assumptions!$B$50*Assumptions!$B$35*Assumptions!$B$71</f>
        <v/>
      </c>
      <c r="AY179" s="41">
        <f>AY177*Assumptions!$B$136*Assumptions!$B$50*Assumptions!$B$35*Assumptions!$B$71</f>
        <v/>
      </c>
      <c r="AZ179" s="41">
        <f>AZ177*Assumptions!$B$136*Assumptions!$B$50*Assumptions!$B$35*Assumptions!$B$71</f>
        <v/>
      </c>
      <c r="BA179" s="41">
        <f>BA177*Assumptions!$B$136*Assumptions!$B$50*Assumptions!$B$35*Assumptions!$B$71</f>
        <v/>
      </c>
      <c r="BB179" s="41">
        <f>BB177*Assumptions!$B$136*Assumptions!$B$50*Assumptions!$B$35*Assumptions!$B$71</f>
        <v/>
      </c>
      <c r="BC179" s="41">
        <f>BC177*Assumptions!$B$136*Assumptions!$B$50*Assumptions!$B$35*Assumptions!$B$71</f>
        <v/>
      </c>
      <c r="BD179" s="41">
        <f>BD177*Assumptions!$B$136*Assumptions!$B$50*Assumptions!$B$35*Assumptions!$B$71</f>
        <v/>
      </c>
      <c r="BE179" s="41">
        <f>BE177*Assumptions!$B$136*Assumptions!$B$50*Assumptions!$B$35*Assumptions!$B$71</f>
        <v/>
      </c>
      <c r="BF179" s="41">
        <f>BF177*Assumptions!$B$136*Assumptions!$B$50*Assumptions!$B$35*Assumptions!$B$71</f>
        <v/>
      </c>
      <c r="BG179" s="41">
        <f>BG177*Assumptions!$B$136*Assumptions!$B$50*Assumptions!$B$35*Assumptions!$B$71</f>
        <v/>
      </c>
      <c r="BH179" s="41">
        <f>BH177*Assumptions!$B$136*Assumptions!$B$50*Assumptions!$B$35*Assumptions!$B$71</f>
        <v/>
      </c>
      <c r="BI179" s="41">
        <f>BI177*Assumptions!$B$136*Assumptions!$B$50*Assumptions!$B$35*Assumptions!$B$71</f>
        <v/>
      </c>
      <c r="BJ179" s="41">
        <f>BJ177*Assumptions!$B$136*Assumptions!$B$50*Assumptions!$B$35*Assumptions!$B$71</f>
        <v/>
      </c>
    </row>
    <row r="180">
      <c r="A180" s="3" t="inlineStr">
        <is>
          <t>Nigeria: Agency / partner: Agency tier: closing</t>
        </is>
      </c>
      <c r="B180" s="17" t="inlineStr">
        <is>
          <t>workspaces</t>
        </is>
      </c>
      <c r="C180" s="44">
        <f>C177+C178-C179</f>
        <v/>
      </c>
      <c r="D180" s="44">
        <f>D177+D178-D179</f>
        <v/>
      </c>
      <c r="E180" s="44">
        <f>E177+E178-E179</f>
        <v/>
      </c>
      <c r="F180" s="44">
        <f>F177+F178-F179</f>
        <v/>
      </c>
      <c r="G180" s="44">
        <f>G177+G178-G179</f>
        <v/>
      </c>
      <c r="H180" s="44">
        <f>H177+H178-H179</f>
        <v/>
      </c>
      <c r="I180" s="44">
        <f>I177+I178-I179</f>
        <v/>
      </c>
      <c r="J180" s="44">
        <f>J177+J178-J179</f>
        <v/>
      </c>
      <c r="K180" s="44">
        <f>K177+K178-K179</f>
        <v/>
      </c>
      <c r="L180" s="44">
        <f>L177+L178-L179</f>
        <v/>
      </c>
      <c r="M180" s="44">
        <f>M177+M178-M179</f>
        <v/>
      </c>
      <c r="N180" s="44">
        <f>N177+N178-N179</f>
        <v/>
      </c>
      <c r="O180" s="44">
        <f>O177+O178-O179</f>
        <v/>
      </c>
      <c r="P180" s="44">
        <f>P177+P178-P179</f>
        <v/>
      </c>
      <c r="Q180" s="44">
        <f>Q177+Q178-Q179</f>
        <v/>
      </c>
      <c r="R180" s="44">
        <f>R177+R178-R179</f>
        <v/>
      </c>
      <c r="S180" s="44">
        <f>S177+S178-S179</f>
        <v/>
      </c>
      <c r="T180" s="44">
        <f>T177+T178-T179</f>
        <v/>
      </c>
      <c r="U180" s="44">
        <f>U177+U178-U179</f>
        <v/>
      </c>
      <c r="V180" s="44">
        <f>V177+V178-V179</f>
        <v/>
      </c>
      <c r="W180" s="44">
        <f>W177+W178-W179</f>
        <v/>
      </c>
      <c r="X180" s="44">
        <f>X177+X178-X179</f>
        <v/>
      </c>
      <c r="Y180" s="44">
        <f>Y177+Y178-Y179</f>
        <v/>
      </c>
      <c r="Z180" s="44">
        <f>Z177+Z178-Z179</f>
        <v/>
      </c>
      <c r="AA180" s="44">
        <f>AA177+AA178-AA179</f>
        <v/>
      </c>
      <c r="AB180" s="44">
        <f>AB177+AB178-AB179</f>
        <v/>
      </c>
      <c r="AC180" s="44">
        <f>AC177+AC178-AC179</f>
        <v/>
      </c>
      <c r="AD180" s="44">
        <f>AD177+AD178-AD179</f>
        <v/>
      </c>
      <c r="AE180" s="44">
        <f>AE177+AE178-AE179</f>
        <v/>
      </c>
      <c r="AF180" s="44">
        <f>AF177+AF178-AF179</f>
        <v/>
      </c>
      <c r="AG180" s="44">
        <f>AG177+AG178-AG179</f>
        <v/>
      </c>
      <c r="AH180" s="44">
        <f>AH177+AH178-AH179</f>
        <v/>
      </c>
      <c r="AI180" s="44">
        <f>AI177+AI178-AI179</f>
        <v/>
      </c>
      <c r="AJ180" s="44">
        <f>AJ177+AJ178-AJ179</f>
        <v/>
      </c>
      <c r="AK180" s="44">
        <f>AK177+AK178-AK179</f>
        <v/>
      </c>
      <c r="AL180" s="44">
        <f>AL177+AL178-AL179</f>
        <v/>
      </c>
      <c r="AM180" s="44">
        <f>AM177+AM178-AM179</f>
        <v/>
      </c>
      <c r="AN180" s="44">
        <f>AN177+AN178-AN179</f>
        <v/>
      </c>
      <c r="AO180" s="44">
        <f>AO177+AO178-AO179</f>
        <v/>
      </c>
      <c r="AP180" s="44">
        <f>AP177+AP178-AP179</f>
        <v/>
      </c>
      <c r="AQ180" s="44">
        <f>AQ177+AQ178-AQ179</f>
        <v/>
      </c>
      <c r="AR180" s="44">
        <f>AR177+AR178-AR179</f>
        <v/>
      </c>
      <c r="AS180" s="44">
        <f>AS177+AS178-AS179</f>
        <v/>
      </c>
      <c r="AT180" s="44">
        <f>AT177+AT178-AT179</f>
        <v/>
      </c>
      <c r="AU180" s="44">
        <f>AU177+AU178-AU179</f>
        <v/>
      </c>
      <c r="AV180" s="44">
        <f>AV177+AV178-AV179</f>
        <v/>
      </c>
      <c r="AW180" s="44">
        <f>AW177+AW178-AW179</f>
        <v/>
      </c>
      <c r="AX180" s="44">
        <f>AX177+AX178-AX179</f>
        <v/>
      </c>
      <c r="AY180" s="44">
        <f>AY177+AY178-AY179</f>
        <v/>
      </c>
      <c r="AZ180" s="44">
        <f>AZ177+AZ178-AZ179</f>
        <v/>
      </c>
      <c r="BA180" s="44">
        <f>BA177+BA178-BA179</f>
        <v/>
      </c>
      <c r="BB180" s="44">
        <f>BB177+BB178-BB179</f>
        <v/>
      </c>
      <c r="BC180" s="44">
        <f>BC177+BC178-BC179</f>
        <v/>
      </c>
      <c r="BD180" s="44">
        <f>BD177+BD178-BD179</f>
        <v/>
      </c>
      <c r="BE180" s="44">
        <f>BE177+BE178-BE179</f>
        <v/>
      </c>
      <c r="BF180" s="44">
        <f>BF177+BF178-BF179</f>
        <v/>
      </c>
      <c r="BG180" s="44">
        <f>BG177+BG178-BG179</f>
        <v/>
      </c>
      <c r="BH180" s="44">
        <f>BH177+BH178-BH179</f>
        <v/>
      </c>
      <c r="BI180" s="44">
        <f>BI177+BI178-BI179</f>
        <v/>
      </c>
      <c r="BJ180" s="44">
        <f>BJ177+BJ178-BJ179</f>
        <v/>
      </c>
    </row>
    <row r="181">
      <c r="A181" s="4" t="inlineStr">
        <is>
          <t>Kenya: Solo: Starter: opening</t>
        </is>
      </c>
      <c r="B181" s="17" t="inlineStr">
        <is>
          <t>workspaces</t>
        </is>
      </c>
      <c r="C181" s="41">
        <f>0</f>
        <v/>
      </c>
      <c r="D181" s="41">
        <f>C185</f>
        <v/>
      </c>
      <c r="E181" s="41">
        <f>D185</f>
        <v/>
      </c>
      <c r="F181" s="41">
        <f>E185</f>
        <v/>
      </c>
      <c r="G181" s="41">
        <f>F185</f>
        <v/>
      </c>
      <c r="H181" s="41">
        <f>G185</f>
        <v/>
      </c>
      <c r="I181" s="41">
        <f>H185</f>
        <v/>
      </c>
      <c r="J181" s="41">
        <f>I185</f>
        <v/>
      </c>
      <c r="K181" s="41">
        <f>J185</f>
        <v/>
      </c>
      <c r="L181" s="41">
        <f>K185</f>
        <v/>
      </c>
      <c r="M181" s="41">
        <f>L185</f>
        <v/>
      </c>
      <c r="N181" s="41">
        <f>M185</f>
        <v/>
      </c>
      <c r="O181" s="41">
        <f>N185</f>
        <v/>
      </c>
      <c r="P181" s="41">
        <f>O185</f>
        <v/>
      </c>
      <c r="Q181" s="41">
        <f>P185</f>
        <v/>
      </c>
      <c r="R181" s="41">
        <f>Q185</f>
        <v/>
      </c>
      <c r="S181" s="41">
        <f>R185</f>
        <v/>
      </c>
      <c r="T181" s="41">
        <f>S185</f>
        <v/>
      </c>
      <c r="U181" s="41">
        <f>T185</f>
        <v/>
      </c>
      <c r="V181" s="41">
        <f>U185</f>
        <v/>
      </c>
      <c r="W181" s="41">
        <f>V185</f>
        <v/>
      </c>
      <c r="X181" s="41">
        <f>W185</f>
        <v/>
      </c>
      <c r="Y181" s="41">
        <f>X185</f>
        <v/>
      </c>
      <c r="Z181" s="41">
        <f>Y185</f>
        <v/>
      </c>
      <c r="AA181" s="41">
        <f>Z185</f>
        <v/>
      </c>
      <c r="AB181" s="41">
        <f>AA185</f>
        <v/>
      </c>
      <c r="AC181" s="41">
        <f>AB185</f>
        <v/>
      </c>
      <c r="AD181" s="41">
        <f>AC185</f>
        <v/>
      </c>
      <c r="AE181" s="41">
        <f>AD185</f>
        <v/>
      </c>
      <c r="AF181" s="41">
        <f>AE185</f>
        <v/>
      </c>
      <c r="AG181" s="41">
        <f>AF185</f>
        <v/>
      </c>
      <c r="AH181" s="41">
        <f>AG185</f>
        <v/>
      </c>
      <c r="AI181" s="41">
        <f>AH185</f>
        <v/>
      </c>
      <c r="AJ181" s="41">
        <f>AI185</f>
        <v/>
      </c>
      <c r="AK181" s="41">
        <f>AJ185</f>
        <v/>
      </c>
      <c r="AL181" s="41">
        <f>AK185</f>
        <v/>
      </c>
      <c r="AM181" s="41">
        <f>AL185</f>
        <v/>
      </c>
      <c r="AN181" s="41">
        <f>AM185</f>
        <v/>
      </c>
      <c r="AO181" s="41">
        <f>AN185</f>
        <v/>
      </c>
      <c r="AP181" s="41">
        <f>AO185</f>
        <v/>
      </c>
      <c r="AQ181" s="41">
        <f>AP185</f>
        <v/>
      </c>
      <c r="AR181" s="41">
        <f>AQ185</f>
        <v/>
      </c>
      <c r="AS181" s="41">
        <f>AR185</f>
        <v/>
      </c>
      <c r="AT181" s="41">
        <f>AS185</f>
        <v/>
      </c>
      <c r="AU181" s="41">
        <f>AT185</f>
        <v/>
      </c>
      <c r="AV181" s="41">
        <f>AU185</f>
        <v/>
      </c>
      <c r="AW181" s="41">
        <f>AV185</f>
        <v/>
      </c>
      <c r="AX181" s="41">
        <f>AW185</f>
        <v/>
      </c>
      <c r="AY181" s="41">
        <f>AX185</f>
        <v/>
      </c>
      <c r="AZ181" s="41">
        <f>AY185</f>
        <v/>
      </c>
      <c r="BA181" s="41">
        <f>AZ185</f>
        <v/>
      </c>
      <c r="BB181" s="41">
        <f>BA185</f>
        <v/>
      </c>
      <c r="BC181" s="41">
        <f>BB185</f>
        <v/>
      </c>
      <c r="BD181" s="41">
        <f>BC185</f>
        <v/>
      </c>
      <c r="BE181" s="41">
        <f>BD185</f>
        <v/>
      </c>
      <c r="BF181" s="41">
        <f>BE185</f>
        <v/>
      </c>
      <c r="BG181" s="41">
        <f>BF185</f>
        <v/>
      </c>
      <c r="BH181" s="41">
        <f>BG185</f>
        <v/>
      </c>
      <c r="BI181" s="41">
        <f>BH185</f>
        <v/>
      </c>
      <c r="BJ181" s="41">
        <f>BI185</f>
        <v/>
      </c>
    </row>
    <row r="182">
      <c r="A182" s="4" t="inlineStr">
        <is>
          <t>Kenya: Solo: Starter: new</t>
        </is>
      </c>
      <c r="B182" s="17" t="inlineStr">
        <is>
          <t>workspaces</t>
        </is>
      </c>
      <c r="C182" s="41">
        <f>C117*(1-Assumptions!$B$125)</f>
        <v/>
      </c>
      <c r="D182" s="41">
        <f>D117*(1-Assumptions!$B$125)</f>
        <v/>
      </c>
      <c r="E182" s="41">
        <f>E117*(1-Assumptions!$B$125)</f>
        <v/>
      </c>
      <c r="F182" s="41">
        <f>F117*(1-Assumptions!$B$125)</f>
        <v/>
      </c>
      <c r="G182" s="41">
        <f>G117*(1-Assumptions!$B$125)</f>
        <v/>
      </c>
      <c r="H182" s="41">
        <f>H117*(1-Assumptions!$B$125)</f>
        <v/>
      </c>
      <c r="I182" s="41">
        <f>I117*(1-Assumptions!$B$125)</f>
        <v/>
      </c>
      <c r="J182" s="41">
        <f>J117*(1-Assumptions!$B$125)</f>
        <v/>
      </c>
      <c r="K182" s="41">
        <f>K117*(1-Assumptions!$B$125)</f>
        <v/>
      </c>
      <c r="L182" s="41">
        <f>L117*(1-Assumptions!$B$125)</f>
        <v/>
      </c>
      <c r="M182" s="41">
        <f>M117*(1-Assumptions!$B$125)</f>
        <v/>
      </c>
      <c r="N182" s="41">
        <f>N117*(1-Assumptions!$B$125)</f>
        <v/>
      </c>
      <c r="O182" s="41">
        <f>O117*(1-Assumptions!$B$125)</f>
        <v/>
      </c>
      <c r="P182" s="41">
        <f>P117*(1-Assumptions!$B$125)</f>
        <v/>
      </c>
      <c r="Q182" s="41">
        <f>Q117*(1-Assumptions!$B$125)</f>
        <v/>
      </c>
      <c r="R182" s="41">
        <f>R117*(1-Assumptions!$B$125)</f>
        <v/>
      </c>
      <c r="S182" s="41">
        <f>S117*(1-Assumptions!$B$125)</f>
        <v/>
      </c>
      <c r="T182" s="41">
        <f>T117*(1-Assumptions!$B$125)</f>
        <v/>
      </c>
      <c r="U182" s="41">
        <f>U117*(1-Assumptions!$B$125)</f>
        <v/>
      </c>
      <c r="V182" s="41">
        <f>V117*(1-Assumptions!$B$125)</f>
        <v/>
      </c>
      <c r="W182" s="41">
        <f>W117*(1-Assumptions!$B$125)</f>
        <v/>
      </c>
      <c r="X182" s="41">
        <f>X117*(1-Assumptions!$B$125)</f>
        <v/>
      </c>
      <c r="Y182" s="41">
        <f>Y117*(1-Assumptions!$B$125)</f>
        <v/>
      </c>
      <c r="Z182" s="41">
        <f>Z117*(1-Assumptions!$B$125)</f>
        <v/>
      </c>
      <c r="AA182" s="41">
        <f>AA117*(1-Assumptions!$B$125)</f>
        <v/>
      </c>
      <c r="AB182" s="41">
        <f>AB117*(1-Assumptions!$B$125)</f>
        <v/>
      </c>
      <c r="AC182" s="41">
        <f>AC117*(1-Assumptions!$B$125)</f>
        <v/>
      </c>
      <c r="AD182" s="41">
        <f>AD117*(1-Assumptions!$B$125)</f>
        <v/>
      </c>
      <c r="AE182" s="41">
        <f>AE117*(1-Assumptions!$B$125)</f>
        <v/>
      </c>
      <c r="AF182" s="41">
        <f>AF117*(1-Assumptions!$B$125)</f>
        <v/>
      </c>
      <c r="AG182" s="41">
        <f>AG117*(1-Assumptions!$B$125)</f>
        <v/>
      </c>
      <c r="AH182" s="41">
        <f>AH117*(1-Assumptions!$B$125)</f>
        <v/>
      </c>
      <c r="AI182" s="41">
        <f>AI117*(1-Assumptions!$B$125)</f>
        <v/>
      </c>
      <c r="AJ182" s="41">
        <f>AJ117*(1-Assumptions!$B$125)</f>
        <v/>
      </c>
      <c r="AK182" s="41">
        <f>AK117*(1-Assumptions!$B$125)</f>
        <v/>
      </c>
      <c r="AL182" s="41">
        <f>AL117*(1-Assumptions!$B$125)</f>
        <v/>
      </c>
      <c r="AM182" s="41">
        <f>AM117*(1-Assumptions!$B$125)</f>
        <v/>
      </c>
      <c r="AN182" s="41">
        <f>AN117*(1-Assumptions!$B$125)</f>
        <v/>
      </c>
      <c r="AO182" s="41">
        <f>AO117*(1-Assumptions!$B$125)</f>
        <v/>
      </c>
      <c r="AP182" s="41">
        <f>AP117*(1-Assumptions!$B$125)</f>
        <v/>
      </c>
      <c r="AQ182" s="41">
        <f>AQ117*(1-Assumptions!$B$125)</f>
        <v/>
      </c>
      <c r="AR182" s="41">
        <f>AR117*(1-Assumptions!$B$125)</f>
        <v/>
      </c>
      <c r="AS182" s="41">
        <f>AS117*(1-Assumptions!$B$125)</f>
        <v/>
      </c>
      <c r="AT182" s="41">
        <f>AT117*(1-Assumptions!$B$125)</f>
        <v/>
      </c>
      <c r="AU182" s="41">
        <f>AU117*(1-Assumptions!$B$125)</f>
        <v/>
      </c>
      <c r="AV182" s="41">
        <f>AV117*(1-Assumptions!$B$125)</f>
        <v/>
      </c>
      <c r="AW182" s="41">
        <f>AW117*(1-Assumptions!$B$125)</f>
        <v/>
      </c>
      <c r="AX182" s="41">
        <f>AX117*(1-Assumptions!$B$125)</f>
        <v/>
      </c>
      <c r="AY182" s="41">
        <f>AY117*(1-Assumptions!$B$125)</f>
        <v/>
      </c>
      <c r="AZ182" s="41">
        <f>AZ117*(1-Assumptions!$B$125)</f>
        <v/>
      </c>
      <c r="BA182" s="41">
        <f>BA117*(1-Assumptions!$B$125)</f>
        <v/>
      </c>
      <c r="BB182" s="41">
        <f>BB117*(1-Assumptions!$B$125)</f>
        <v/>
      </c>
      <c r="BC182" s="41">
        <f>BC117*(1-Assumptions!$B$125)</f>
        <v/>
      </c>
      <c r="BD182" s="41">
        <f>BD117*(1-Assumptions!$B$125)</f>
        <v/>
      </c>
      <c r="BE182" s="41">
        <f>BE117*(1-Assumptions!$B$125)</f>
        <v/>
      </c>
      <c r="BF182" s="41">
        <f>BF117*(1-Assumptions!$B$125)</f>
        <v/>
      </c>
      <c r="BG182" s="41">
        <f>BG117*(1-Assumptions!$B$125)</f>
        <v/>
      </c>
      <c r="BH182" s="41">
        <f>BH117*(1-Assumptions!$B$125)</f>
        <v/>
      </c>
      <c r="BI182" s="41">
        <f>BI117*(1-Assumptions!$B$125)</f>
        <v/>
      </c>
      <c r="BJ182" s="41">
        <f>BJ117*(1-Assumptions!$B$125)</f>
        <v/>
      </c>
    </row>
    <row r="183">
      <c r="A183" s="4" t="inlineStr">
        <is>
          <t>Kenya: Solo: Starter: churned</t>
        </is>
      </c>
      <c r="B183" s="17" t="inlineStr">
        <is>
          <t>workspaces</t>
        </is>
      </c>
      <c r="C183" s="41">
        <f>C181*Assumptions!$B$132*Assumptions!$B$50*Assumptions!$B$35*Assumptions!$B$81</f>
        <v/>
      </c>
      <c r="D183" s="41">
        <f>D181*Assumptions!$B$132*Assumptions!$B$50*Assumptions!$B$35*Assumptions!$B$81</f>
        <v/>
      </c>
      <c r="E183" s="41">
        <f>E181*Assumptions!$B$132*Assumptions!$B$50*Assumptions!$B$35*Assumptions!$B$81</f>
        <v/>
      </c>
      <c r="F183" s="41">
        <f>F181*Assumptions!$B$132*Assumptions!$B$50*Assumptions!$B$35*Assumptions!$B$81</f>
        <v/>
      </c>
      <c r="G183" s="41">
        <f>G181*Assumptions!$B$132*Assumptions!$B$50*Assumptions!$B$35*Assumptions!$B$81</f>
        <v/>
      </c>
      <c r="H183" s="41">
        <f>H181*Assumptions!$B$132*Assumptions!$B$50*Assumptions!$B$35*Assumptions!$B$81</f>
        <v/>
      </c>
      <c r="I183" s="41">
        <f>I181*Assumptions!$B$132*Assumptions!$B$50*Assumptions!$B$35*Assumptions!$B$81</f>
        <v/>
      </c>
      <c r="J183" s="41">
        <f>J181*Assumptions!$B$132*Assumptions!$B$50*Assumptions!$B$35*Assumptions!$B$81</f>
        <v/>
      </c>
      <c r="K183" s="41">
        <f>K181*Assumptions!$B$132*Assumptions!$B$50*Assumptions!$B$35*Assumptions!$B$81</f>
        <v/>
      </c>
      <c r="L183" s="41">
        <f>L181*Assumptions!$B$132*Assumptions!$B$50*Assumptions!$B$35*Assumptions!$B$81</f>
        <v/>
      </c>
      <c r="M183" s="41">
        <f>M181*Assumptions!$B$132*Assumptions!$B$50*Assumptions!$B$35*Assumptions!$B$81</f>
        <v/>
      </c>
      <c r="N183" s="41">
        <f>N181*Assumptions!$B$132*Assumptions!$B$50*Assumptions!$B$35*Assumptions!$B$81</f>
        <v/>
      </c>
      <c r="O183" s="41">
        <f>O181*Assumptions!$B$132*Assumptions!$B$50*Assumptions!$B$35*Assumptions!$B$81</f>
        <v/>
      </c>
      <c r="P183" s="41">
        <f>P181*Assumptions!$B$132*Assumptions!$B$50*Assumptions!$B$35*Assumptions!$B$81</f>
        <v/>
      </c>
      <c r="Q183" s="41">
        <f>Q181*Assumptions!$B$132*Assumptions!$B$50*Assumptions!$B$35*Assumptions!$B$81</f>
        <v/>
      </c>
      <c r="R183" s="41">
        <f>R181*Assumptions!$B$132*Assumptions!$B$50*Assumptions!$B$35*Assumptions!$B$81</f>
        <v/>
      </c>
      <c r="S183" s="41">
        <f>S181*Assumptions!$B$132*Assumptions!$B$50*Assumptions!$B$35*Assumptions!$B$81</f>
        <v/>
      </c>
      <c r="T183" s="41">
        <f>T181*Assumptions!$B$132*Assumptions!$B$50*Assumptions!$B$35*Assumptions!$B$81</f>
        <v/>
      </c>
      <c r="U183" s="41">
        <f>U181*Assumptions!$B$132*Assumptions!$B$50*Assumptions!$B$35*Assumptions!$B$81</f>
        <v/>
      </c>
      <c r="V183" s="41">
        <f>V181*Assumptions!$B$132*Assumptions!$B$50*Assumptions!$B$35*Assumptions!$B$81</f>
        <v/>
      </c>
      <c r="W183" s="41">
        <f>W181*Assumptions!$B$132*Assumptions!$B$50*Assumptions!$B$35*Assumptions!$B$81</f>
        <v/>
      </c>
      <c r="X183" s="41">
        <f>X181*Assumptions!$B$132*Assumptions!$B$50*Assumptions!$B$35*Assumptions!$B$81</f>
        <v/>
      </c>
      <c r="Y183" s="41">
        <f>Y181*Assumptions!$B$132*Assumptions!$B$50*Assumptions!$B$35*Assumptions!$B$81</f>
        <v/>
      </c>
      <c r="Z183" s="41">
        <f>Z181*Assumptions!$B$132*Assumptions!$B$50*Assumptions!$B$35*Assumptions!$B$81</f>
        <v/>
      </c>
      <c r="AA183" s="41">
        <f>AA181*Assumptions!$B$132*Assumptions!$B$50*Assumptions!$B$35*Assumptions!$B$81</f>
        <v/>
      </c>
      <c r="AB183" s="41">
        <f>AB181*Assumptions!$B$132*Assumptions!$B$50*Assumptions!$B$35*Assumptions!$B$81</f>
        <v/>
      </c>
      <c r="AC183" s="41">
        <f>AC181*Assumptions!$B$132*Assumptions!$B$50*Assumptions!$B$35*Assumptions!$B$81</f>
        <v/>
      </c>
      <c r="AD183" s="41">
        <f>AD181*Assumptions!$B$132*Assumptions!$B$50*Assumptions!$B$35*Assumptions!$B$81</f>
        <v/>
      </c>
      <c r="AE183" s="41">
        <f>AE181*Assumptions!$B$132*Assumptions!$B$50*Assumptions!$B$35*Assumptions!$B$81</f>
        <v/>
      </c>
      <c r="AF183" s="41">
        <f>AF181*Assumptions!$B$132*Assumptions!$B$50*Assumptions!$B$35*Assumptions!$B$81</f>
        <v/>
      </c>
      <c r="AG183" s="41">
        <f>AG181*Assumptions!$B$132*Assumptions!$B$50*Assumptions!$B$35*Assumptions!$B$81</f>
        <v/>
      </c>
      <c r="AH183" s="41">
        <f>AH181*Assumptions!$B$132*Assumptions!$B$50*Assumptions!$B$35*Assumptions!$B$81</f>
        <v/>
      </c>
      <c r="AI183" s="41">
        <f>AI181*Assumptions!$B$132*Assumptions!$B$50*Assumptions!$B$35*Assumptions!$B$81</f>
        <v/>
      </c>
      <c r="AJ183" s="41">
        <f>AJ181*Assumptions!$B$132*Assumptions!$B$50*Assumptions!$B$35*Assumptions!$B$81</f>
        <v/>
      </c>
      <c r="AK183" s="41">
        <f>AK181*Assumptions!$B$132*Assumptions!$B$50*Assumptions!$B$35*Assumptions!$B$81</f>
        <v/>
      </c>
      <c r="AL183" s="41">
        <f>AL181*Assumptions!$B$132*Assumptions!$B$50*Assumptions!$B$35*Assumptions!$B$81</f>
        <v/>
      </c>
      <c r="AM183" s="41">
        <f>AM181*Assumptions!$B$132*Assumptions!$B$50*Assumptions!$B$35*Assumptions!$B$81</f>
        <v/>
      </c>
      <c r="AN183" s="41">
        <f>AN181*Assumptions!$B$132*Assumptions!$B$50*Assumptions!$B$35*Assumptions!$B$81</f>
        <v/>
      </c>
      <c r="AO183" s="41">
        <f>AO181*Assumptions!$B$132*Assumptions!$B$50*Assumptions!$B$35*Assumptions!$B$81</f>
        <v/>
      </c>
      <c r="AP183" s="41">
        <f>AP181*Assumptions!$B$132*Assumptions!$B$50*Assumptions!$B$35*Assumptions!$B$81</f>
        <v/>
      </c>
      <c r="AQ183" s="41">
        <f>AQ181*Assumptions!$B$132*Assumptions!$B$50*Assumptions!$B$35*Assumptions!$B$81</f>
        <v/>
      </c>
      <c r="AR183" s="41">
        <f>AR181*Assumptions!$B$132*Assumptions!$B$50*Assumptions!$B$35*Assumptions!$B$81</f>
        <v/>
      </c>
      <c r="AS183" s="41">
        <f>AS181*Assumptions!$B$132*Assumptions!$B$50*Assumptions!$B$35*Assumptions!$B$81</f>
        <v/>
      </c>
      <c r="AT183" s="41">
        <f>AT181*Assumptions!$B$132*Assumptions!$B$50*Assumptions!$B$35*Assumptions!$B$81</f>
        <v/>
      </c>
      <c r="AU183" s="41">
        <f>AU181*Assumptions!$B$132*Assumptions!$B$50*Assumptions!$B$35*Assumptions!$B$81</f>
        <v/>
      </c>
      <c r="AV183" s="41">
        <f>AV181*Assumptions!$B$132*Assumptions!$B$50*Assumptions!$B$35*Assumptions!$B$81</f>
        <v/>
      </c>
      <c r="AW183" s="41">
        <f>AW181*Assumptions!$B$132*Assumptions!$B$50*Assumptions!$B$35*Assumptions!$B$81</f>
        <v/>
      </c>
      <c r="AX183" s="41">
        <f>AX181*Assumptions!$B$132*Assumptions!$B$50*Assumptions!$B$35*Assumptions!$B$81</f>
        <v/>
      </c>
      <c r="AY183" s="41">
        <f>AY181*Assumptions!$B$132*Assumptions!$B$50*Assumptions!$B$35*Assumptions!$B$81</f>
        <v/>
      </c>
      <c r="AZ183" s="41">
        <f>AZ181*Assumptions!$B$132*Assumptions!$B$50*Assumptions!$B$35*Assumptions!$B$81</f>
        <v/>
      </c>
      <c r="BA183" s="41">
        <f>BA181*Assumptions!$B$132*Assumptions!$B$50*Assumptions!$B$35*Assumptions!$B$81</f>
        <v/>
      </c>
      <c r="BB183" s="41">
        <f>BB181*Assumptions!$B$132*Assumptions!$B$50*Assumptions!$B$35*Assumptions!$B$81</f>
        <v/>
      </c>
      <c r="BC183" s="41">
        <f>BC181*Assumptions!$B$132*Assumptions!$B$50*Assumptions!$B$35*Assumptions!$B$81</f>
        <v/>
      </c>
      <c r="BD183" s="41">
        <f>BD181*Assumptions!$B$132*Assumptions!$B$50*Assumptions!$B$35*Assumptions!$B$81</f>
        <v/>
      </c>
      <c r="BE183" s="41">
        <f>BE181*Assumptions!$B$132*Assumptions!$B$50*Assumptions!$B$35*Assumptions!$B$81</f>
        <v/>
      </c>
      <c r="BF183" s="41">
        <f>BF181*Assumptions!$B$132*Assumptions!$B$50*Assumptions!$B$35*Assumptions!$B$81</f>
        <v/>
      </c>
      <c r="BG183" s="41">
        <f>BG181*Assumptions!$B$132*Assumptions!$B$50*Assumptions!$B$35*Assumptions!$B$81</f>
        <v/>
      </c>
      <c r="BH183" s="41">
        <f>BH181*Assumptions!$B$132*Assumptions!$B$50*Assumptions!$B$35*Assumptions!$B$81</f>
        <v/>
      </c>
      <c r="BI183" s="41">
        <f>BI181*Assumptions!$B$132*Assumptions!$B$50*Assumptions!$B$35*Assumptions!$B$81</f>
        <v/>
      </c>
      <c r="BJ183" s="41">
        <f>BJ181*Assumptions!$B$132*Assumptions!$B$50*Assumptions!$B$35*Assumptions!$B$81</f>
        <v/>
      </c>
    </row>
    <row r="184">
      <c r="A184" s="4" t="inlineStr">
        <is>
          <t>Kenya: Solo: Starter: upgraded out</t>
        </is>
      </c>
      <c r="B184" s="17" t="inlineStr">
        <is>
          <t>workspaces</t>
        </is>
      </c>
      <c r="C184" s="41">
        <f>C181*Assumptions!$B$127</f>
        <v/>
      </c>
      <c r="D184" s="41">
        <f>D181*Assumptions!$B$127</f>
        <v/>
      </c>
      <c r="E184" s="41">
        <f>E181*Assumptions!$B$127</f>
        <v/>
      </c>
      <c r="F184" s="41">
        <f>F181*Assumptions!$B$127</f>
        <v/>
      </c>
      <c r="G184" s="41">
        <f>G181*Assumptions!$B$127</f>
        <v/>
      </c>
      <c r="H184" s="41">
        <f>H181*Assumptions!$B$127</f>
        <v/>
      </c>
      <c r="I184" s="41">
        <f>I181*Assumptions!$B$127</f>
        <v/>
      </c>
      <c r="J184" s="41">
        <f>J181*Assumptions!$B$127</f>
        <v/>
      </c>
      <c r="K184" s="41">
        <f>K181*Assumptions!$B$127</f>
        <v/>
      </c>
      <c r="L184" s="41">
        <f>L181*Assumptions!$B$127</f>
        <v/>
      </c>
      <c r="M184" s="41">
        <f>M181*Assumptions!$B$127</f>
        <v/>
      </c>
      <c r="N184" s="41">
        <f>N181*Assumptions!$B$127</f>
        <v/>
      </c>
      <c r="O184" s="41">
        <f>O181*Assumptions!$B$127</f>
        <v/>
      </c>
      <c r="P184" s="41">
        <f>P181*Assumptions!$B$127</f>
        <v/>
      </c>
      <c r="Q184" s="41">
        <f>Q181*Assumptions!$B$127</f>
        <v/>
      </c>
      <c r="R184" s="41">
        <f>R181*Assumptions!$B$127</f>
        <v/>
      </c>
      <c r="S184" s="41">
        <f>S181*Assumptions!$B$127</f>
        <v/>
      </c>
      <c r="T184" s="41">
        <f>T181*Assumptions!$B$127</f>
        <v/>
      </c>
      <c r="U184" s="41">
        <f>U181*Assumptions!$B$127</f>
        <v/>
      </c>
      <c r="V184" s="41">
        <f>V181*Assumptions!$B$127</f>
        <v/>
      </c>
      <c r="W184" s="41">
        <f>W181*Assumptions!$B$127</f>
        <v/>
      </c>
      <c r="X184" s="41">
        <f>X181*Assumptions!$B$127</f>
        <v/>
      </c>
      <c r="Y184" s="41">
        <f>Y181*Assumptions!$B$127</f>
        <v/>
      </c>
      <c r="Z184" s="41">
        <f>Z181*Assumptions!$B$127</f>
        <v/>
      </c>
      <c r="AA184" s="41">
        <f>AA181*Assumptions!$B$127</f>
        <v/>
      </c>
      <c r="AB184" s="41">
        <f>AB181*Assumptions!$B$127</f>
        <v/>
      </c>
      <c r="AC184" s="41">
        <f>AC181*Assumptions!$B$127</f>
        <v/>
      </c>
      <c r="AD184" s="41">
        <f>AD181*Assumptions!$B$127</f>
        <v/>
      </c>
      <c r="AE184" s="41">
        <f>AE181*Assumptions!$B$127</f>
        <v/>
      </c>
      <c r="AF184" s="41">
        <f>AF181*Assumptions!$B$127</f>
        <v/>
      </c>
      <c r="AG184" s="41">
        <f>AG181*Assumptions!$B$127</f>
        <v/>
      </c>
      <c r="AH184" s="41">
        <f>AH181*Assumptions!$B$127</f>
        <v/>
      </c>
      <c r="AI184" s="41">
        <f>AI181*Assumptions!$B$127</f>
        <v/>
      </c>
      <c r="AJ184" s="41">
        <f>AJ181*Assumptions!$B$127</f>
        <v/>
      </c>
      <c r="AK184" s="41">
        <f>AK181*Assumptions!$B$127</f>
        <v/>
      </c>
      <c r="AL184" s="41">
        <f>AL181*Assumptions!$B$127</f>
        <v/>
      </c>
      <c r="AM184" s="41">
        <f>AM181*Assumptions!$B$127</f>
        <v/>
      </c>
      <c r="AN184" s="41">
        <f>AN181*Assumptions!$B$127</f>
        <v/>
      </c>
      <c r="AO184" s="41">
        <f>AO181*Assumptions!$B$127</f>
        <v/>
      </c>
      <c r="AP184" s="41">
        <f>AP181*Assumptions!$B$127</f>
        <v/>
      </c>
      <c r="AQ184" s="41">
        <f>AQ181*Assumptions!$B$127</f>
        <v/>
      </c>
      <c r="AR184" s="41">
        <f>AR181*Assumptions!$B$127</f>
        <v/>
      </c>
      <c r="AS184" s="41">
        <f>AS181*Assumptions!$B$127</f>
        <v/>
      </c>
      <c r="AT184" s="41">
        <f>AT181*Assumptions!$B$127</f>
        <v/>
      </c>
      <c r="AU184" s="41">
        <f>AU181*Assumptions!$B$127</f>
        <v/>
      </c>
      <c r="AV184" s="41">
        <f>AV181*Assumptions!$B$127</f>
        <v/>
      </c>
      <c r="AW184" s="41">
        <f>AW181*Assumptions!$B$127</f>
        <v/>
      </c>
      <c r="AX184" s="41">
        <f>AX181*Assumptions!$B$127</f>
        <v/>
      </c>
      <c r="AY184" s="41">
        <f>AY181*Assumptions!$B$127</f>
        <v/>
      </c>
      <c r="AZ184" s="41">
        <f>AZ181*Assumptions!$B$127</f>
        <v/>
      </c>
      <c r="BA184" s="41">
        <f>BA181*Assumptions!$B$127</f>
        <v/>
      </c>
      <c r="BB184" s="41">
        <f>BB181*Assumptions!$B$127</f>
        <v/>
      </c>
      <c r="BC184" s="41">
        <f>BC181*Assumptions!$B$127</f>
        <v/>
      </c>
      <c r="BD184" s="41">
        <f>BD181*Assumptions!$B$127</f>
        <v/>
      </c>
      <c r="BE184" s="41">
        <f>BE181*Assumptions!$B$127</f>
        <v/>
      </c>
      <c r="BF184" s="41">
        <f>BF181*Assumptions!$B$127</f>
        <v/>
      </c>
      <c r="BG184" s="41">
        <f>BG181*Assumptions!$B$127</f>
        <v/>
      </c>
      <c r="BH184" s="41">
        <f>BH181*Assumptions!$B$127</f>
        <v/>
      </c>
      <c r="BI184" s="41">
        <f>BI181*Assumptions!$B$127</f>
        <v/>
      </c>
      <c r="BJ184" s="41">
        <f>BJ181*Assumptions!$B$127</f>
        <v/>
      </c>
    </row>
    <row r="185">
      <c r="A185" s="3" t="inlineStr">
        <is>
          <t>Kenya: Solo: Starter: closing</t>
        </is>
      </c>
      <c r="B185" s="17" t="inlineStr">
        <is>
          <t>workspaces</t>
        </is>
      </c>
      <c r="C185" s="44">
        <f>C181+C182-C183-C184</f>
        <v/>
      </c>
      <c r="D185" s="44">
        <f>D181+D182-D183-D184</f>
        <v/>
      </c>
      <c r="E185" s="44">
        <f>E181+E182-E183-E184</f>
        <v/>
      </c>
      <c r="F185" s="44">
        <f>F181+F182-F183-F184</f>
        <v/>
      </c>
      <c r="G185" s="44">
        <f>G181+G182-G183-G184</f>
        <v/>
      </c>
      <c r="H185" s="44">
        <f>H181+H182-H183-H184</f>
        <v/>
      </c>
      <c r="I185" s="44">
        <f>I181+I182-I183-I184</f>
        <v/>
      </c>
      <c r="J185" s="44">
        <f>J181+J182-J183-J184</f>
        <v/>
      </c>
      <c r="K185" s="44">
        <f>K181+K182-K183-K184</f>
        <v/>
      </c>
      <c r="L185" s="44">
        <f>L181+L182-L183-L184</f>
        <v/>
      </c>
      <c r="M185" s="44">
        <f>M181+M182-M183-M184</f>
        <v/>
      </c>
      <c r="N185" s="44">
        <f>N181+N182-N183-N184</f>
        <v/>
      </c>
      <c r="O185" s="44">
        <f>O181+O182-O183-O184</f>
        <v/>
      </c>
      <c r="P185" s="44">
        <f>P181+P182-P183-P184</f>
        <v/>
      </c>
      <c r="Q185" s="44">
        <f>Q181+Q182-Q183-Q184</f>
        <v/>
      </c>
      <c r="R185" s="44">
        <f>R181+R182-R183-R184</f>
        <v/>
      </c>
      <c r="S185" s="44">
        <f>S181+S182-S183-S184</f>
        <v/>
      </c>
      <c r="T185" s="44">
        <f>T181+T182-T183-T184</f>
        <v/>
      </c>
      <c r="U185" s="44">
        <f>U181+U182-U183-U184</f>
        <v/>
      </c>
      <c r="V185" s="44">
        <f>V181+V182-V183-V184</f>
        <v/>
      </c>
      <c r="W185" s="44">
        <f>W181+W182-W183-W184</f>
        <v/>
      </c>
      <c r="X185" s="44">
        <f>X181+X182-X183-X184</f>
        <v/>
      </c>
      <c r="Y185" s="44">
        <f>Y181+Y182-Y183-Y184</f>
        <v/>
      </c>
      <c r="Z185" s="44">
        <f>Z181+Z182-Z183-Z184</f>
        <v/>
      </c>
      <c r="AA185" s="44">
        <f>AA181+AA182-AA183-AA184</f>
        <v/>
      </c>
      <c r="AB185" s="44">
        <f>AB181+AB182-AB183-AB184</f>
        <v/>
      </c>
      <c r="AC185" s="44">
        <f>AC181+AC182-AC183-AC184</f>
        <v/>
      </c>
      <c r="AD185" s="44">
        <f>AD181+AD182-AD183-AD184</f>
        <v/>
      </c>
      <c r="AE185" s="44">
        <f>AE181+AE182-AE183-AE184</f>
        <v/>
      </c>
      <c r="AF185" s="44">
        <f>AF181+AF182-AF183-AF184</f>
        <v/>
      </c>
      <c r="AG185" s="44">
        <f>AG181+AG182-AG183-AG184</f>
        <v/>
      </c>
      <c r="AH185" s="44">
        <f>AH181+AH182-AH183-AH184</f>
        <v/>
      </c>
      <c r="AI185" s="44">
        <f>AI181+AI182-AI183-AI184</f>
        <v/>
      </c>
      <c r="AJ185" s="44">
        <f>AJ181+AJ182-AJ183-AJ184</f>
        <v/>
      </c>
      <c r="AK185" s="44">
        <f>AK181+AK182-AK183-AK184</f>
        <v/>
      </c>
      <c r="AL185" s="44">
        <f>AL181+AL182-AL183-AL184</f>
        <v/>
      </c>
      <c r="AM185" s="44">
        <f>AM181+AM182-AM183-AM184</f>
        <v/>
      </c>
      <c r="AN185" s="44">
        <f>AN181+AN182-AN183-AN184</f>
        <v/>
      </c>
      <c r="AO185" s="44">
        <f>AO181+AO182-AO183-AO184</f>
        <v/>
      </c>
      <c r="AP185" s="44">
        <f>AP181+AP182-AP183-AP184</f>
        <v/>
      </c>
      <c r="AQ185" s="44">
        <f>AQ181+AQ182-AQ183-AQ184</f>
        <v/>
      </c>
      <c r="AR185" s="44">
        <f>AR181+AR182-AR183-AR184</f>
        <v/>
      </c>
      <c r="AS185" s="44">
        <f>AS181+AS182-AS183-AS184</f>
        <v/>
      </c>
      <c r="AT185" s="44">
        <f>AT181+AT182-AT183-AT184</f>
        <v/>
      </c>
      <c r="AU185" s="44">
        <f>AU181+AU182-AU183-AU184</f>
        <v/>
      </c>
      <c r="AV185" s="44">
        <f>AV181+AV182-AV183-AV184</f>
        <v/>
      </c>
      <c r="AW185" s="44">
        <f>AW181+AW182-AW183-AW184</f>
        <v/>
      </c>
      <c r="AX185" s="44">
        <f>AX181+AX182-AX183-AX184</f>
        <v/>
      </c>
      <c r="AY185" s="44">
        <f>AY181+AY182-AY183-AY184</f>
        <v/>
      </c>
      <c r="AZ185" s="44">
        <f>AZ181+AZ182-AZ183-AZ184</f>
        <v/>
      </c>
      <c r="BA185" s="44">
        <f>BA181+BA182-BA183-BA184</f>
        <v/>
      </c>
      <c r="BB185" s="44">
        <f>BB181+BB182-BB183-BB184</f>
        <v/>
      </c>
      <c r="BC185" s="44">
        <f>BC181+BC182-BC183-BC184</f>
        <v/>
      </c>
      <c r="BD185" s="44">
        <f>BD181+BD182-BD183-BD184</f>
        <v/>
      </c>
      <c r="BE185" s="44">
        <f>BE181+BE182-BE183-BE184</f>
        <v/>
      </c>
      <c r="BF185" s="44">
        <f>BF181+BF182-BF183-BF184</f>
        <v/>
      </c>
      <c r="BG185" s="44">
        <f>BG181+BG182-BG183-BG184</f>
        <v/>
      </c>
      <c r="BH185" s="44">
        <f>BH181+BH182-BH183-BH184</f>
        <v/>
      </c>
      <c r="BI185" s="44">
        <f>BI181+BI182-BI183-BI184</f>
        <v/>
      </c>
      <c r="BJ185" s="44">
        <f>BJ181+BJ182-BJ183-BJ184</f>
        <v/>
      </c>
    </row>
    <row r="186">
      <c r="A186" s="4" t="inlineStr">
        <is>
          <t>Kenya: Solo: Growth (upgraded or direct): opening</t>
        </is>
      </c>
      <c r="B186" s="17" t="inlineStr">
        <is>
          <t>workspaces</t>
        </is>
      </c>
      <c r="C186" s="41">
        <f>0</f>
        <v/>
      </c>
      <c r="D186" s="41">
        <f>C189</f>
        <v/>
      </c>
      <c r="E186" s="41">
        <f>D189</f>
        <v/>
      </c>
      <c r="F186" s="41">
        <f>E189</f>
        <v/>
      </c>
      <c r="G186" s="41">
        <f>F189</f>
        <v/>
      </c>
      <c r="H186" s="41">
        <f>G189</f>
        <v/>
      </c>
      <c r="I186" s="41">
        <f>H189</f>
        <v/>
      </c>
      <c r="J186" s="41">
        <f>I189</f>
        <v/>
      </c>
      <c r="K186" s="41">
        <f>J189</f>
        <v/>
      </c>
      <c r="L186" s="41">
        <f>K189</f>
        <v/>
      </c>
      <c r="M186" s="41">
        <f>L189</f>
        <v/>
      </c>
      <c r="N186" s="41">
        <f>M189</f>
        <v/>
      </c>
      <c r="O186" s="41">
        <f>N189</f>
        <v/>
      </c>
      <c r="P186" s="41">
        <f>O189</f>
        <v/>
      </c>
      <c r="Q186" s="41">
        <f>P189</f>
        <v/>
      </c>
      <c r="R186" s="41">
        <f>Q189</f>
        <v/>
      </c>
      <c r="S186" s="41">
        <f>R189</f>
        <v/>
      </c>
      <c r="T186" s="41">
        <f>S189</f>
        <v/>
      </c>
      <c r="U186" s="41">
        <f>T189</f>
        <v/>
      </c>
      <c r="V186" s="41">
        <f>U189</f>
        <v/>
      </c>
      <c r="W186" s="41">
        <f>V189</f>
        <v/>
      </c>
      <c r="X186" s="41">
        <f>W189</f>
        <v/>
      </c>
      <c r="Y186" s="41">
        <f>X189</f>
        <v/>
      </c>
      <c r="Z186" s="41">
        <f>Y189</f>
        <v/>
      </c>
      <c r="AA186" s="41">
        <f>Z189</f>
        <v/>
      </c>
      <c r="AB186" s="41">
        <f>AA189</f>
        <v/>
      </c>
      <c r="AC186" s="41">
        <f>AB189</f>
        <v/>
      </c>
      <c r="AD186" s="41">
        <f>AC189</f>
        <v/>
      </c>
      <c r="AE186" s="41">
        <f>AD189</f>
        <v/>
      </c>
      <c r="AF186" s="41">
        <f>AE189</f>
        <v/>
      </c>
      <c r="AG186" s="41">
        <f>AF189</f>
        <v/>
      </c>
      <c r="AH186" s="41">
        <f>AG189</f>
        <v/>
      </c>
      <c r="AI186" s="41">
        <f>AH189</f>
        <v/>
      </c>
      <c r="AJ186" s="41">
        <f>AI189</f>
        <v/>
      </c>
      <c r="AK186" s="41">
        <f>AJ189</f>
        <v/>
      </c>
      <c r="AL186" s="41">
        <f>AK189</f>
        <v/>
      </c>
      <c r="AM186" s="41">
        <f>AL189</f>
        <v/>
      </c>
      <c r="AN186" s="41">
        <f>AM189</f>
        <v/>
      </c>
      <c r="AO186" s="41">
        <f>AN189</f>
        <v/>
      </c>
      <c r="AP186" s="41">
        <f>AO189</f>
        <v/>
      </c>
      <c r="AQ186" s="41">
        <f>AP189</f>
        <v/>
      </c>
      <c r="AR186" s="41">
        <f>AQ189</f>
        <v/>
      </c>
      <c r="AS186" s="41">
        <f>AR189</f>
        <v/>
      </c>
      <c r="AT186" s="41">
        <f>AS189</f>
        <v/>
      </c>
      <c r="AU186" s="41">
        <f>AT189</f>
        <v/>
      </c>
      <c r="AV186" s="41">
        <f>AU189</f>
        <v/>
      </c>
      <c r="AW186" s="41">
        <f>AV189</f>
        <v/>
      </c>
      <c r="AX186" s="41">
        <f>AW189</f>
        <v/>
      </c>
      <c r="AY186" s="41">
        <f>AX189</f>
        <v/>
      </c>
      <c r="AZ186" s="41">
        <f>AY189</f>
        <v/>
      </c>
      <c r="BA186" s="41">
        <f>AZ189</f>
        <v/>
      </c>
      <c r="BB186" s="41">
        <f>BA189</f>
        <v/>
      </c>
      <c r="BC186" s="41">
        <f>BB189</f>
        <v/>
      </c>
      <c r="BD186" s="41">
        <f>BC189</f>
        <v/>
      </c>
      <c r="BE186" s="41">
        <f>BD189</f>
        <v/>
      </c>
      <c r="BF186" s="41">
        <f>BE189</f>
        <v/>
      </c>
      <c r="BG186" s="41">
        <f>BF189</f>
        <v/>
      </c>
      <c r="BH186" s="41">
        <f>BG189</f>
        <v/>
      </c>
      <c r="BI186" s="41">
        <f>BH189</f>
        <v/>
      </c>
      <c r="BJ186" s="41">
        <f>BI189</f>
        <v/>
      </c>
    </row>
    <row r="187">
      <c r="A187" s="4" t="inlineStr">
        <is>
          <t>Kenya: Solo: Growth (upgraded or direct): new</t>
        </is>
      </c>
      <c r="B187" s="17" t="inlineStr">
        <is>
          <t>workspaces</t>
        </is>
      </c>
      <c r="C187" s="41">
        <f>C117*Assumptions!$B$125+C184</f>
        <v/>
      </c>
      <c r="D187" s="41">
        <f>D117*Assumptions!$B$125+D184</f>
        <v/>
      </c>
      <c r="E187" s="41">
        <f>E117*Assumptions!$B$125+E184</f>
        <v/>
      </c>
      <c r="F187" s="41">
        <f>F117*Assumptions!$B$125+F184</f>
        <v/>
      </c>
      <c r="G187" s="41">
        <f>G117*Assumptions!$B$125+G184</f>
        <v/>
      </c>
      <c r="H187" s="41">
        <f>H117*Assumptions!$B$125+H184</f>
        <v/>
      </c>
      <c r="I187" s="41">
        <f>I117*Assumptions!$B$125+I184</f>
        <v/>
      </c>
      <c r="J187" s="41">
        <f>J117*Assumptions!$B$125+J184</f>
        <v/>
      </c>
      <c r="K187" s="41">
        <f>K117*Assumptions!$B$125+K184</f>
        <v/>
      </c>
      <c r="L187" s="41">
        <f>L117*Assumptions!$B$125+L184</f>
        <v/>
      </c>
      <c r="M187" s="41">
        <f>M117*Assumptions!$B$125+M184</f>
        <v/>
      </c>
      <c r="N187" s="41">
        <f>N117*Assumptions!$B$125+N184</f>
        <v/>
      </c>
      <c r="O187" s="41">
        <f>O117*Assumptions!$B$125+O184</f>
        <v/>
      </c>
      <c r="P187" s="41">
        <f>P117*Assumptions!$B$125+P184</f>
        <v/>
      </c>
      <c r="Q187" s="41">
        <f>Q117*Assumptions!$B$125+Q184</f>
        <v/>
      </c>
      <c r="R187" s="41">
        <f>R117*Assumptions!$B$125+R184</f>
        <v/>
      </c>
      <c r="S187" s="41">
        <f>S117*Assumptions!$B$125+S184</f>
        <v/>
      </c>
      <c r="T187" s="41">
        <f>T117*Assumptions!$B$125+T184</f>
        <v/>
      </c>
      <c r="U187" s="41">
        <f>U117*Assumptions!$B$125+U184</f>
        <v/>
      </c>
      <c r="V187" s="41">
        <f>V117*Assumptions!$B$125+V184</f>
        <v/>
      </c>
      <c r="W187" s="41">
        <f>W117*Assumptions!$B$125+W184</f>
        <v/>
      </c>
      <c r="X187" s="41">
        <f>X117*Assumptions!$B$125+X184</f>
        <v/>
      </c>
      <c r="Y187" s="41">
        <f>Y117*Assumptions!$B$125+Y184</f>
        <v/>
      </c>
      <c r="Z187" s="41">
        <f>Z117*Assumptions!$B$125+Z184</f>
        <v/>
      </c>
      <c r="AA187" s="41">
        <f>AA117*Assumptions!$B$125+AA184</f>
        <v/>
      </c>
      <c r="AB187" s="41">
        <f>AB117*Assumptions!$B$125+AB184</f>
        <v/>
      </c>
      <c r="AC187" s="41">
        <f>AC117*Assumptions!$B$125+AC184</f>
        <v/>
      </c>
      <c r="AD187" s="41">
        <f>AD117*Assumptions!$B$125+AD184</f>
        <v/>
      </c>
      <c r="AE187" s="41">
        <f>AE117*Assumptions!$B$125+AE184</f>
        <v/>
      </c>
      <c r="AF187" s="41">
        <f>AF117*Assumptions!$B$125+AF184</f>
        <v/>
      </c>
      <c r="AG187" s="41">
        <f>AG117*Assumptions!$B$125+AG184</f>
        <v/>
      </c>
      <c r="AH187" s="41">
        <f>AH117*Assumptions!$B$125+AH184</f>
        <v/>
      </c>
      <c r="AI187" s="41">
        <f>AI117*Assumptions!$B$125+AI184</f>
        <v/>
      </c>
      <c r="AJ187" s="41">
        <f>AJ117*Assumptions!$B$125+AJ184</f>
        <v/>
      </c>
      <c r="AK187" s="41">
        <f>AK117*Assumptions!$B$125+AK184</f>
        <v/>
      </c>
      <c r="AL187" s="41">
        <f>AL117*Assumptions!$B$125+AL184</f>
        <v/>
      </c>
      <c r="AM187" s="41">
        <f>AM117*Assumptions!$B$125+AM184</f>
        <v/>
      </c>
      <c r="AN187" s="41">
        <f>AN117*Assumptions!$B$125+AN184</f>
        <v/>
      </c>
      <c r="AO187" s="41">
        <f>AO117*Assumptions!$B$125+AO184</f>
        <v/>
      </c>
      <c r="AP187" s="41">
        <f>AP117*Assumptions!$B$125+AP184</f>
        <v/>
      </c>
      <c r="AQ187" s="41">
        <f>AQ117*Assumptions!$B$125+AQ184</f>
        <v/>
      </c>
      <c r="AR187" s="41">
        <f>AR117*Assumptions!$B$125+AR184</f>
        <v/>
      </c>
      <c r="AS187" s="41">
        <f>AS117*Assumptions!$B$125+AS184</f>
        <v/>
      </c>
      <c r="AT187" s="41">
        <f>AT117*Assumptions!$B$125+AT184</f>
        <v/>
      </c>
      <c r="AU187" s="41">
        <f>AU117*Assumptions!$B$125+AU184</f>
        <v/>
      </c>
      <c r="AV187" s="41">
        <f>AV117*Assumptions!$B$125+AV184</f>
        <v/>
      </c>
      <c r="AW187" s="41">
        <f>AW117*Assumptions!$B$125+AW184</f>
        <v/>
      </c>
      <c r="AX187" s="41">
        <f>AX117*Assumptions!$B$125+AX184</f>
        <v/>
      </c>
      <c r="AY187" s="41">
        <f>AY117*Assumptions!$B$125+AY184</f>
        <v/>
      </c>
      <c r="AZ187" s="41">
        <f>AZ117*Assumptions!$B$125+AZ184</f>
        <v/>
      </c>
      <c r="BA187" s="41">
        <f>BA117*Assumptions!$B$125+BA184</f>
        <v/>
      </c>
      <c r="BB187" s="41">
        <f>BB117*Assumptions!$B$125+BB184</f>
        <v/>
      </c>
      <c r="BC187" s="41">
        <f>BC117*Assumptions!$B$125+BC184</f>
        <v/>
      </c>
      <c r="BD187" s="41">
        <f>BD117*Assumptions!$B$125+BD184</f>
        <v/>
      </c>
      <c r="BE187" s="41">
        <f>BE117*Assumptions!$B$125+BE184</f>
        <v/>
      </c>
      <c r="BF187" s="41">
        <f>BF117*Assumptions!$B$125+BF184</f>
        <v/>
      </c>
      <c r="BG187" s="41">
        <f>BG117*Assumptions!$B$125+BG184</f>
        <v/>
      </c>
      <c r="BH187" s="41">
        <f>BH117*Assumptions!$B$125+BH184</f>
        <v/>
      </c>
      <c r="BI187" s="41">
        <f>BI117*Assumptions!$B$125+BI184</f>
        <v/>
      </c>
      <c r="BJ187" s="41">
        <f>BJ117*Assumptions!$B$125+BJ184</f>
        <v/>
      </c>
    </row>
    <row r="188">
      <c r="A188" s="4" t="inlineStr">
        <is>
          <t>Kenya: Solo: Growth (upgraded or direct): churned</t>
        </is>
      </c>
      <c r="B188" s="17" t="inlineStr">
        <is>
          <t>workspaces</t>
        </is>
      </c>
      <c r="C188" s="41">
        <f>C186*Assumptions!$B$133*Assumptions!$B$50*Assumptions!$B$35*Assumptions!$B$81</f>
        <v/>
      </c>
      <c r="D188" s="41">
        <f>D186*Assumptions!$B$133*Assumptions!$B$50*Assumptions!$B$35*Assumptions!$B$81</f>
        <v/>
      </c>
      <c r="E188" s="41">
        <f>E186*Assumptions!$B$133*Assumptions!$B$50*Assumptions!$B$35*Assumptions!$B$81</f>
        <v/>
      </c>
      <c r="F188" s="41">
        <f>F186*Assumptions!$B$133*Assumptions!$B$50*Assumptions!$B$35*Assumptions!$B$81</f>
        <v/>
      </c>
      <c r="G188" s="41">
        <f>G186*Assumptions!$B$133*Assumptions!$B$50*Assumptions!$B$35*Assumptions!$B$81</f>
        <v/>
      </c>
      <c r="H188" s="41">
        <f>H186*Assumptions!$B$133*Assumptions!$B$50*Assumptions!$B$35*Assumptions!$B$81</f>
        <v/>
      </c>
      <c r="I188" s="41">
        <f>I186*Assumptions!$B$133*Assumptions!$B$50*Assumptions!$B$35*Assumptions!$B$81</f>
        <v/>
      </c>
      <c r="J188" s="41">
        <f>J186*Assumptions!$B$133*Assumptions!$B$50*Assumptions!$B$35*Assumptions!$B$81</f>
        <v/>
      </c>
      <c r="K188" s="41">
        <f>K186*Assumptions!$B$133*Assumptions!$B$50*Assumptions!$B$35*Assumptions!$B$81</f>
        <v/>
      </c>
      <c r="L188" s="41">
        <f>L186*Assumptions!$B$133*Assumptions!$B$50*Assumptions!$B$35*Assumptions!$B$81</f>
        <v/>
      </c>
      <c r="M188" s="41">
        <f>M186*Assumptions!$B$133*Assumptions!$B$50*Assumptions!$B$35*Assumptions!$B$81</f>
        <v/>
      </c>
      <c r="N188" s="41">
        <f>N186*Assumptions!$B$133*Assumptions!$B$50*Assumptions!$B$35*Assumptions!$B$81</f>
        <v/>
      </c>
      <c r="O188" s="41">
        <f>O186*Assumptions!$B$133*Assumptions!$B$50*Assumptions!$B$35*Assumptions!$B$81</f>
        <v/>
      </c>
      <c r="P188" s="41">
        <f>P186*Assumptions!$B$133*Assumptions!$B$50*Assumptions!$B$35*Assumptions!$B$81</f>
        <v/>
      </c>
      <c r="Q188" s="41">
        <f>Q186*Assumptions!$B$133*Assumptions!$B$50*Assumptions!$B$35*Assumptions!$B$81</f>
        <v/>
      </c>
      <c r="R188" s="41">
        <f>R186*Assumptions!$B$133*Assumptions!$B$50*Assumptions!$B$35*Assumptions!$B$81</f>
        <v/>
      </c>
      <c r="S188" s="41">
        <f>S186*Assumptions!$B$133*Assumptions!$B$50*Assumptions!$B$35*Assumptions!$B$81</f>
        <v/>
      </c>
      <c r="T188" s="41">
        <f>T186*Assumptions!$B$133*Assumptions!$B$50*Assumptions!$B$35*Assumptions!$B$81</f>
        <v/>
      </c>
      <c r="U188" s="41">
        <f>U186*Assumptions!$B$133*Assumptions!$B$50*Assumptions!$B$35*Assumptions!$B$81</f>
        <v/>
      </c>
      <c r="V188" s="41">
        <f>V186*Assumptions!$B$133*Assumptions!$B$50*Assumptions!$B$35*Assumptions!$B$81</f>
        <v/>
      </c>
      <c r="W188" s="41">
        <f>W186*Assumptions!$B$133*Assumptions!$B$50*Assumptions!$B$35*Assumptions!$B$81</f>
        <v/>
      </c>
      <c r="X188" s="41">
        <f>X186*Assumptions!$B$133*Assumptions!$B$50*Assumptions!$B$35*Assumptions!$B$81</f>
        <v/>
      </c>
      <c r="Y188" s="41">
        <f>Y186*Assumptions!$B$133*Assumptions!$B$50*Assumptions!$B$35*Assumptions!$B$81</f>
        <v/>
      </c>
      <c r="Z188" s="41">
        <f>Z186*Assumptions!$B$133*Assumptions!$B$50*Assumptions!$B$35*Assumptions!$B$81</f>
        <v/>
      </c>
      <c r="AA188" s="41">
        <f>AA186*Assumptions!$B$133*Assumptions!$B$50*Assumptions!$B$35*Assumptions!$B$81</f>
        <v/>
      </c>
      <c r="AB188" s="41">
        <f>AB186*Assumptions!$B$133*Assumptions!$B$50*Assumptions!$B$35*Assumptions!$B$81</f>
        <v/>
      </c>
      <c r="AC188" s="41">
        <f>AC186*Assumptions!$B$133*Assumptions!$B$50*Assumptions!$B$35*Assumptions!$B$81</f>
        <v/>
      </c>
      <c r="AD188" s="41">
        <f>AD186*Assumptions!$B$133*Assumptions!$B$50*Assumptions!$B$35*Assumptions!$B$81</f>
        <v/>
      </c>
      <c r="AE188" s="41">
        <f>AE186*Assumptions!$B$133*Assumptions!$B$50*Assumptions!$B$35*Assumptions!$B$81</f>
        <v/>
      </c>
      <c r="AF188" s="41">
        <f>AF186*Assumptions!$B$133*Assumptions!$B$50*Assumptions!$B$35*Assumptions!$B$81</f>
        <v/>
      </c>
      <c r="AG188" s="41">
        <f>AG186*Assumptions!$B$133*Assumptions!$B$50*Assumptions!$B$35*Assumptions!$B$81</f>
        <v/>
      </c>
      <c r="AH188" s="41">
        <f>AH186*Assumptions!$B$133*Assumptions!$B$50*Assumptions!$B$35*Assumptions!$B$81</f>
        <v/>
      </c>
      <c r="AI188" s="41">
        <f>AI186*Assumptions!$B$133*Assumptions!$B$50*Assumptions!$B$35*Assumptions!$B$81</f>
        <v/>
      </c>
      <c r="AJ188" s="41">
        <f>AJ186*Assumptions!$B$133*Assumptions!$B$50*Assumptions!$B$35*Assumptions!$B$81</f>
        <v/>
      </c>
      <c r="AK188" s="41">
        <f>AK186*Assumptions!$B$133*Assumptions!$B$50*Assumptions!$B$35*Assumptions!$B$81</f>
        <v/>
      </c>
      <c r="AL188" s="41">
        <f>AL186*Assumptions!$B$133*Assumptions!$B$50*Assumptions!$B$35*Assumptions!$B$81</f>
        <v/>
      </c>
      <c r="AM188" s="41">
        <f>AM186*Assumptions!$B$133*Assumptions!$B$50*Assumptions!$B$35*Assumptions!$B$81</f>
        <v/>
      </c>
      <c r="AN188" s="41">
        <f>AN186*Assumptions!$B$133*Assumptions!$B$50*Assumptions!$B$35*Assumptions!$B$81</f>
        <v/>
      </c>
      <c r="AO188" s="41">
        <f>AO186*Assumptions!$B$133*Assumptions!$B$50*Assumptions!$B$35*Assumptions!$B$81</f>
        <v/>
      </c>
      <c r="AP188" s="41">
        <f>AP186*Assumptions!$B$133*Assumptions!$B$50*Assumptions!$B$35*Assumptions!$B$81</f>
        <v/>
      </c>
      <c r="AQ188" s="41">
        <f>AQ186*Assumptions!$B$133*Assumptions!$B$50*Assumptions!$B$35*Assumptions!$B$81</f>
        <v/>
      </c>
      <c r="AR188" s="41">
        <f>AR186*Assumptions!$B$133*Assumptions!$B$50*Assumptions!$B$35*Assumptions!$B$81</f>
        <v/>
      </c>
      <c r="AS188" s="41">
        <f>AS186*Assumptions!$B$133*Assumptions!$B$50*Assumptions!$B$35*Assumptions!$B$81</f>
        <v/>
      </c>
      <c r="AT188" s="41">
        <f>AT186*Assumptions!$B$133*Assumptions!$B$50*Assumptions!$B$35*Assumptions!$B$81</f>
        <v/>
      </c>
      <c r="AU188" s="41">
        <f>AU186*Assumptions!$B$133*Assumptions!$B$50*Assumptions!$B$35*Assumptions!$B$81</f>
        <v/>
      </c>
      <c r="AV188" s="41">
        <f>AV186*Assumptions!$B$133*Assumptions!$B$50*Assumptions!$B$35*Assumptions!$B$81</f>
        <v/>
      </c>
      <c r="AW188" s="41">
        <f>AW186*Assumptions!$B$133*Assumptions!$B$50*Assumptions!$B$35*Assumptions!$B$81</f>
        <v/>
      </c>
      <c r="AX188" s="41">
        <f>AX186*Assumptions!$B$133*Assumptions!$B$50*Assumptions!$B$35*Assumptions!$B$81</f>
        <v/>
      </c>
      <c r="AY188" s="41">
        <f>AY186*Assumptions!$B$133*Assumptions!$B$50*Assumptions!$B$35*Assumptions!$B$81</f>
        <v/>
      </c>
      <c r="AZ188" s="41">
        <f>AZ186*Assumptions!$B$133*Assumptions!$B$50*Assumptions!$B$35*Assumptions!$B$81</f>
        <v/>
      </c>
      <c r="BA188" s="41">
        <f>BA186*Assumptions!$B$133*Assumptions!$B$50*Assumptions!$B$35*Assumptions!$B$81</f>
        <v/>
      </c>
      <c r="BB188" s="41">
        <f>BB186*Assumptions!$B$133*Assumptions!$B$50*Assumptions!$B$35*Assumptions!$B$81</f>
        <v/>
      </c>
      <c r="BC188" s="41">
        <f>BC186*Assumptions!$B$133*Assumptions!$B$50*Assumptions!$B$35*Assumptions!$B$81</f>
        <v/>
      </c>
      <c r="BD188" s="41">
        <f>BD186*Assumptions!$B$133*Assumptions!$B$50*Assumptions!$B$35*Assumptions!$B$81</f>
        <v/>
      </c>
      <c r="BE188" s="41">
        <f>BE186*Assumptions!$B$133*Assumptions!$B$50*Assumptions!$B$35*Assumptions!$B$81</f>
        <v/>
      </c>
      <c r="BF188" s="41">
        <f>BF186*Assumptions!$B$133*Assumptions!$B$50*Assumptions!$B$35*Assumptions!$B$81</f>
        <v/>
      </c>
      <c r="BG188" s="41">
        <f>BG186*Assumptions!$B$133*Assumptions!$B$50*Assumptions!$B$35*Assumptions!$B$81</f>
        <v/>
      </c>
      <c r="BH188" s="41">
        <f>BH186*Assumptions!$B$133*Assumptions!$B$50*Assumptions!$B$35*Assumptions!$B$81</f>
        <v/>
      </c>
      <c r="BI188" s="41">
        <f>BI186*Assumptions!$B$133*Assumptions!$B$50*Assumptions!$B$35*Assumptions!$B$81</f>
        <v/>
      </c>
      <c r="BJ188" s="41">
        <f>BJ186*Assumptions!$B$133*Assumptions!$B$50*Assumptions!$B$35*Assumptions!$B$81</f>
        <v/>
      </c>
    </row>
    <row r="189">
      <c r="A189" s="3" t="inlineStr">
        <is>
          <t>Kenya: Solo: Growth (upgraded or direct): closing</t>
        </is>
      </c>
      <c r="B189" s="17" t="inlineStr">
        <is>
          <t>workspaces</t>
        </is>
      </c>
      <c r="C189" s="44">
        <f>C186+C187-C188</f>
        <v/>
      </c>
      <c r="D189" s="44">
        <f>D186+D187-D188</f>
        <v/>
      </c>
      <c r="E189" s="44">
        <f>E186+E187-E188</f>
        <v/>
      </c>
      <c r="F189" s="44">
        <f>F186+F187-F188</f>
        <v/>
      </c>
      <c r="G189" s="44">
        <f>G186+G187-G188</f>
        <v/>
      </c>
      <c r="H189" s="44">
        <f>H186+H187-H188</f>
        <v/>
      </c>
      <c r="I189" s="44">
        <f>I186+I187-I188</f>
        <v/>
      </c>
      <c r="J189" s="44">
        <f>J186+J187-J188</f>
        <v/>
      </c>
      <c r="K189" s="44">
        <f>K186+K187-K188</f>
        <v/>
      </c>
      <c r="L189" s="44">
        <f>L186+L187-L188</f>
        <v/>
      </c>
      <c r="M189" s="44">
        <f>M186+M187-M188</f>
        <v/>
      </c>
      <c r="N189" s="44">
        <f>N186+N187-N188</f>
        <v/>
      </c>
      <c r="O189" s="44">
        <f>O186+O187-O188</f>
        <v/>
      </c>
      <c r="P189" s="44">
        <f>P186+P187-P188</f>
        <v/>
      </c>
      <c r="Q189" s="44">
        <f>Q186+Q187-Q188</f>
        <v/>
      </c>
      <c r="R189" s="44">
        <f>R186+R187-R188</f>
        <v/>
      </c>
      <c r="S189" s="44">
        <f>S186+S187-S188</f>
        <v/>
      </c>
      <c r="T189" s="44">
        <f>T186+T187-T188</f>
        <v/>
      </c>
      <c r="U189" s="44">
        <f>U186+U187-U188</f>
        <v/>
      </c>
      <c r="V189" s="44">
        <f>V186+V187-V188</f>
        <v/>
      </c>
      <c r="W189" s="44">
        <f>W186+W187-W188</f>
        <v/>
      </c>
      <c r="X189" s="44">
        <f>X186+X187-X188</f>
        <v/>
      </c>
      <c r="Y189" s="44">
        <f>Y186+Y187-Y188</f>
        <v/>
      </c>
      <c r="Z189" s="44">
        <f>Z186+Z187-Z188</f>
        <v/>
      </c>
      <c r="AA189" s="44">
        <f>AA186+AA187-AA188</f>
        <v/>
      </c>
      <c r="AB189" s="44">
        <f>AB186+AB187-AB188</f>
        <v/>
      </c>
      <c r="AC189" s="44">
        <f>AC186+AC187-AC188</f>
        <v/>
      </c>
      <c r="AD189" s="44">
        <f>AD186+AD187-AD188</f>
        <v/>
      </c>
      <c r="AE189" s="44">
        <f>AE186+AE187-AE188</f>
        <v/>
      </c>
      <c r="AF189" s="44">
        <f>AF186+AF187-AF188</f>
        <v/>
      </c>
      <c r="AG189" s="44">
        <f>AG186+AG187-AG188</f>
        <v/>
      </c>
      <c r="AH189" s="44">
        <f>AH186+AH187-AH188</f>
        <v/>
      </c>
      <c r="AI189" s="44">
        <f>AI186+AI187-AI188</f>
        <v/>
      </c>
      <c r="AJ189" s="44">
        <f>AJ186+AJ187-AJ188</f>
        <v/>
      </c>
      <c r="AK189" s="44">
        <f>AK186+AK187-AK188</f>
        <v/>
      </c>
      <c r="AL189" s="44">
        <f>AL186+AL187-AL188</f>
        <v/>
      </c>
      <c r="AM189" s="44">
        <f>AM186+AM187-AM188</f>
        <v/>
      </c>
      <c r="AN189" s="44">
        <f>AN186+AN187-AN188</f>
        <v/>
      </c>
      <c r="AO189" s="44">
        <f>AO186+AO187-AO188</f>
        <v/>
      </c>
      <c r="AP189" s="44">
        <f>AP186+AP187-AP188</f>
        <v/>
      </c>
      <c r="AQ189" s="44">
        <f>AQ186+AQ187-AQ188</f>
        <v/>
      </c>
      <c r="AR189" s="44">
        <f>AR186+AR187-AR188</f>
        <v/>
      </c>
      <c r="AS189" s="44">
        <f>AS186+AS187-AS188</f>
        <v/>
      </c>
      <c r="AT189" s="44">
        <f>AT186+AT187-AT188</f>
        <v/>
      </c>
      <c r="AU189" s="44">
        <f>AU186+AU187-AU188</f>
        <v/>
      </c>
      <c r="AV189" s="44">
        <f>AV186+AV187-AV188</f>
        <v/>
      </c>
      <c r="AW189" s="44">
        <f>AW186+AW187-AW188</f>
        <v/>
      </c>
      <c r="AX189" s="44">
        <f>AX186+AX187-AX188</f>
        <v/>
      </c>
      <c r="AY189" s="44">
        <f>AY186+AY187-AY188</f>
        <v/>
      </c>
      <c r="AZ189" s="44">
        <f>AZ186+AZ187-AZ188</f>
        <v/>
      </c>
      <c r="BA189" s="44">
        <f>BA186+BA187-BA188</f>
        <v/>
      </c>
      <c r="BB189" s="44">
        <f>BB186+BB187-BB188</f>
        <v/>
      </c>
      <c r="BC189" s="44">
        <f>BC186+BC187-BC188</f>
        <v/>
      </c>
      <c r="BD189" s="44">
        <f>BD186+BD187-BD188</f>
        <v/>
      </c>
      <c r="BE189" s="44">
        <f>BE186+BE187-BE188</f>
        <v/>
      </c>
      <c r="BF189" s="44">
        <f>BF186+BF187-BF188</f>
        <v/>
      </c>
      <c r="BG189" s="44">
        <f>BG186+BG187-BG188</f>
        <v/>
      </c>
      <c r="BH189" s="44">
        <f>BH186+BH187-BH188</f>
        <v/>
      </c>
      <c r="BI189" s="44">
        <f>BI186+BI187-BI188</f>
        <v/>
      </c>
      <c r="BJ189" s="44">
        <f>BJ186+BJ187-BJ188</f>
        <v/>
      </c>
    </row>
    <row r="190">
      <c r="A190" s="4" t="inlineStr">
        <is>
          <t>Kenya: SME: Growth: opening</t>
        </is>
      </c>
      <c r="B190" s="17" t="inlineStr">
        <is>
          <t>workspaces</t>
        </is>
      </c>
      <c r="C190" s="41">
        <f>0</f>
        <v/>
      </c>
      <c r="D190" s="41">
        <f>C194</f>
        <v/>
      </c>
      <c r="E190" s="41">
        <f>D194</f>
        <v/>
      </c>
      <c r="F190" s="41">
        <f>E194</f>
        <v/>
      </c>
      <c r="G190" s="41">
        <f>F194</f>
        <v/>
      </c>
      <c r="H190" s="41">
        <f>G194</f>
        <v/>
      </c>
      <c r="I190" s="41">
        <f>H194</f>
        <v/>
      </c>
      <c r="J190" s="41">
        <f>I194</f>
        <v/>
      </c>
      <c r="K190" s="41">
        <f>J194</f>
        <v/>
      </c>
      <c r="L190" s="41">
        <f>K194</f>
        <v/>
      </c>
      <c r="M190" s="41">
        <f>L194</f>
        <v/>
      </c>
      <c r="N190" s="41">
        <f>M194</f>
        <v/>
      </c>
      <c r="O190" s="41">
        <f>N194</f>
        <v/>
      </c>
      <c r="P190" s="41">
        <f>O194</f>
        <v/>
      </c>
      <c r="Q190" s="41">
        <f>P194</f>
        <v/>
      </c>
      <c r="R190" s="41">
        <f>Q194</f>
        <v/>
      </c>
      <c r="S190" s="41">
        <f>R194</f>
        <v/>
      </c>
      <c r="T190" s="41">
        <f>S194</f>
        <v/>
      </c>
      <c r="U190" s="41">
        <f>T194</f>
        <v/>
      </c>
      <c r="V190" s="41">
        <f>U194</f>
        <v/>
      </c>
      <c r="W190" s="41">
        <f>V194</f>
        <v/>
      </c>
      <c r="X190" s="41">
        <f>W194</f>
        <v/>
      </c>
      <c r="Y190" s="41">
        <f>X194</f>
        <v/>
      </c>
      <c r="Z190" s="41">
        <f>Y194</f>
        <v/>
      </c>
      <c r="AA190" s="41">
        <f>Z194</f>
        <v/>
      </c>
      <c r="AB190" s="41">
        <f>AA194</f>
        <v/>
      </c>
      <c r="AC190" s="41">
        <f>AB194</f>
        <v/>
      </c>
      <c r="AD190" s="41">
        <f>AC194</f>
        <v/>
      </c>
      <c r="AE190" s="41">
        <f>AD194</f>
        <v/>
      </c>
      <c r="AF190" s="41">
        <f>AE194</f>
        <v/>
      </c>
      <c r="AG190" s="41">
        <f>AF194</f>
        <v/>
      </c>
      <c r="AH190" s="41">
        <f>AG194</f>
        <v/>
      </c>
      <c r="AI190" s="41">
        <f>AH194</f>
        <v/>
      </c>
      <c r="AJ190" s="41">
        <f>AI194</f>
        <v/>
      </c>
      <c r="AK190" s="41">
        <f>AJ194</f>
        <v/>
      </c>
      <c r="AL190" s="41">
        <f>AK194</f>
        <v/>
      </c>
      <c r="AM190" s="41">
        <f>AL194</f>
        <v/>
      </c>
      <c r="AN190" s="41">
        <f>AM194</f>
        <v/>
      </c>
      <c r="AO190" s="41">
        <f>AN194</f>
        <v/>
      </c>
      <c r="AP190" s="41">
        <f>AO194</f>
        <v/>
      </c>
      <c r="AQ190" s="41">
        <f>AP194</f>
        <v/>
      </c>
      <c r="AR190" s="41">
        <f>AQ194</f>
        <v/>
      </c>
      <c r="AS190" s="41">
        <f>AR194</f>
        <v/>
      </c>
      <c r="AT190" s="41">
        <f>AS194</f>
        <v/>
      </c>
      <c r="AU190" s="41">
        <f>AT194</f>
        <v/>
      </c>
      <c r="AV190" s="41">
        <f>AU194</f>
        <v/>
      </c>
      <c r="AW190" s="41">
        <f>AV194</f>
        <v/>
      </c>
      <c r="AX190" s="41">
        <f>AW194</f>
        <v/>
      </c>
      <c r="AY190" s="41">
        <f>AX194</f>
        <v/>
      </c>
      <c r="AZ190" s="41">
        <f>AY194</f>
        <v/>
      </c>
      <c r="BA190" s="41">
        <f>AZ194</f>
        <v/>
      </c>
      <c r="BB190" s="41">
        <f>BA194</f>
        <v/>
      </c>
      <c r="BC190" s="41">
        <f>BB194</f>
        <v/>
      </c>
      <c r="BD190" s="41">
        <f>BC194</f>
        <v/>
      </c>
      <c r="BE190" s="41">
        <f>BD194</f>
        <v/>
      </c>
      <c r="BF190" s="41">
        <f>BE194</f>
        <v/>
      </c>
      <c r="BG190" s="41">
        <f>BF194</f>
        <v/>
      </c>
      <c r="BH190" s="41">
        <f>BG194</f>
        <v/>
      </c>
      <c r="BI190" s="41">
        <f>BH194</f>
        <v/>
      </c>
      <c r="BJ190" s="41">
        <f>BI194</f>
        <v/>
      </c>
    </row>
    <row r="191">
      <c r="A191" s="4" t="inlineStr">
        <is>
          <t>Kenya: SME: Growth: new</t>
        </is>
      </c>
      <c r="B191" s="17" t="inlineStr">
        <is>
          <t>workspaces</t>
        </is>
      </c>
      <c r="C191" s="41">
        <f>C118*(1-Assumptions!$B$126)</f>
        <v/>
      </c>
      <c r="D191" s="41">
        <f>D118*(1-Assumptions!$B$126)</f>
        <v/>
      </c>
      <c r="E191" s="41">
        <f>E118*(1-Assumptions!$B$126)</f>
        <v/>
      </c>
      <c r="F191" s="41">
        <f>F118*(1-Assumptions!$B$126)</f>
        <v/>
      </c>
      <c r="G191" s="41">
        <f>G118*(1-Assumptions!$B$126)</f>
        <v/>
      </c>
      <c r="H191" s="41">
        <f>H118*(1-Assumptions!$B$126)</f>
        <v/>
      </c>
      <c r="I191" s="41">
        <f>I118*(1-Assumptions!$B$126)</f>
        <v/>
      </c>
      <c r="J191" s="41">
        <f>J118*(1-Assumptions!$B$126)</f>
        <v/>
      </c>
      <c r="K191" s="41">
        <f>K118*(1-Assumptions!$B$126)</f>
        <v/>
      </c>
      <c r="L191" s="41">
        <f>L118*(1-Assumptions!$B$126)</f>
        <v/>
      </c>
      <c r="M191" s="41">
        <f>M118*(1-Assumptions!$B$126)</f>
        <v/>
      </c>
      <c r="N191" s="41">
        <f>N118*(1-Assumptions!$B$126)</f>
        <v/>
      </c>
      <c r="O191" s="41">
        <f>O118*(1-Assumptions!$B$126)</f>
        <v/>
      </c>
      <c r="P191" s="41">
        <f>P118*(1-Assumptions!$B$126)</f>
        <v/>
      </c>
      <c r="Q191" s="41">
        <f>Q118*(1-Assumptions!$B$126)</f>
        <v/>
      </c>
      <c r="R191" s="41">
        <f>R118*(1-Assumptions!$B$126)</f>
        <v/>
      </c>
      <c r="S191" s="41">
        <f>S118*(1-Assumptions!$B$126)</f>
        <v/>
      </c>
      <c r="T191" s="41">
        <f>T118*(1-Assumptions!$B$126)</f>
        <v/>
      </c>
      <c r="U191" s="41">
        <f>U118*(1-Assumptions!$B$126)</f>
        <v/>
      </c>
      <c r="V191" s="41">
        <f>V118*(1-Assumptions!$B$126)</f>
        <v/>
      </c>
      <c r="W191" s="41">
        <f>W118*(1-Assumptions!$B$126)</f>
        <v/>
      </c>
      <c r="X191" s="41">
        <f>X118*(1-Assumptions!$B$126)</f>
        <v/>
      </c>
      <c r="Y191" s="41">
        <f>Y118*(1-Assumptions!$B$126)</f>
        <v/>
      </c>
      <c r="Z191" s="41">
        <f>Z118*(1-Assumptions!$B$126)</f>
        <v/>
      </c>
      <c r="AA191" s="41">
        <f>AA118*(1-Assumptions!$B$126)</f>
        <v/>
      </c>
      <c r="AB191" s="41">
        <f>AB118*(1-Assumptions!$B$126)</f>
        <v/>
      </c>
      <c r="AC191" s="41">
        <f>AC118*(1-Assumptions!$B$126)</f>
        <v/>
      </c>
      <c r="AD191" s="41">
        <f>AD118*(1-Assumptions!$B$126)</f>
        <v/>
      </c>
      <c r="AE191" s="41">
        <f>AE118*(1-Assumptions!$B$126)</f>
        <v/>
      </c>
      <c r="AF191" s="41">
        <f>AF118*(1-Assumptions!$B$126)</f>
        <v/>
      </c>
      <c r="AG191" s="41">
        <f>AG118*(1-Assumptions!$B$126)</f>
        <v/>
      </c>
      <c r="AH191" s="41">
        <f>AH118*(1-Assumptions!$B$126)</f>
        <v/>
      </c>
      <c r="AI191" s="41">
        <f>AI118*(1-Assumptions!$B$126)</f>
        <v/>
      </c>
      <c r="AJ191" s="41">
        <f>AJ118*(1-Assumptions!$B$126)</f>
        <v/>
      </c>
      <c r="AK191" s="41">
        <f>AK118*(1-Assumptions!$B$126)</f>
        <v/>
      </c>
      <c r="AL191" s="41">
        <f>AL118*(1-Assumptions!$B$126)</f>
        <v/>
      </c>
      <c r="AM191" s="41">
        <f>AM118*(1-Assumptions!$B$126)</f>
        <v/>
      </c>
      <c r="AN191" s="41">
        <f>AN118*(1-Assumptions!$B$126)</f>
        <v/>
      </c>
      <c r="AO191" s="41">
        <f>AO118*(1-Assumptions!$B$126)</f>
        <v/>
      </c>
      <c r="AP191" s="41">
        <f>AP118*(1-Assumptions!$B$126)</f>
        <v/>
      </c>
      <c r="AQ191" s="41">
        <f>AQ118*(1-Assumptions!$B$126)</f>
        <v/>
      </c>
      <c r="AR191" s="41">
        <f>AR118*(1-Assumptions!$B$126)</f>
        <v/>
      </c>
      <c r="AS191" s="41">
        <f>AS118*(1-Assumptions!$B$126)</f>
        <v/>
      </c>
      <c r="AT191" s="41">
        <f>AT118*(1-Assumptions!$B$126)</f>
        <v/>
      </c>
      <c r="AU191" s="41">
        <f>AU118*(1-Assumptions!$B$126)</f>
        <v/>
      </c>
      <c r="AV191" s="41">
        <f>AV118*(1-Assumptions!$B$126)</f>
        <v/>
      </c>
      <c r="AW191" s="41">
        <f>AW118*(1-Assumptions!$B$126)</f>
        <v/>
      </c>
      <c r="AX191" s="41">
        <f>AX118*(1-Assumptions!$B$126)</f>
        <v/>
      </c>
      <c r="AY191" s="41">
        <f>AY118*(1-Assumptions!$B$126)</f>
        <v/>
      </c>
      <c r="AZ191" s="41">
        <f>AZ118*(1-Assumptions!$B$126)</f>
        <v/>
      </c>
      <c r="BA191" s="41">
        <f>BA118*(1-Assumptions!$B$126)</f>
        <v/>
      </c>
      <c r="BB191" s="41">
        <f>BB118*(1-Assumptions!$B$126)</f>
        <v/>
      </c>
      <c r="BC191" s="41">
        <f>BC118*(1-Assumptions!$B$126)</f>
        <v/>
      </c>
      <c r="BD191" s="41">
        <f>BD118*(1-Assumptions!$B$126)</f>
        <v/>
      </c>
      <c r="BE191" s="41">
        <f>BE118*(1-Assumptions!$B$126)</f>
        <v/>
      </c>
      <c r="BF191" s="41">
        <f>BF118*(1-Assumptions!$B$126)</f>
        <v/>
      </c>
      <c r="BG191" s="41">
        <f>BG118*(1-Assumptions!$B$126)</f>
        <v/>
      </c>
      <c r="BH191" s="41">
        <f>BH118*(1-Assumptions!$B$126)</f>
        <v/>
      </c>
      <c r="BI191" s="41">
        <f>BI118*(1-Assumptions!$B$126)</f>
        <v/>
      </c>
      <c r="BJ191" s="41">
        <f>BJ118*(1-Assumptions!$B$126)</f>
        <v/>
      </c>
    </row>
    <row r="192">
      <c r="A192" s="4" t="inlineStr">
        <is>
          <t>Kenya: SME: Growth: churned</t>
        </is>
      </c>
      <c r="B192" s="17" t="inlineStr">
        <is>
          <t>workspaces</t>
        </is>
      </c>
      <c r="C192" s="41">
        <f>C190*Assumptions!$B$134*Assumptions!$B$50*Assumptions!$B$35*Assumptions!$B$81</f>
        <v/>
      </c>
      <c r="D192" s="41">
        <f>D190*Assumptions!$B$134*Assumptions!$B$50*Assumptions!$B$35*Assumptions!$B$81</f>
        <v/>
      </c>
      <c r="E192" s="41">
        <f>E190*Assumptions!$B$134*Assumptions!$B$50*Assumptions!$B$35*Assumptions!$B$81</f>
        <v/>
      </c>
      <c r="F192" s="41">
        <f>F190*Assumptions!$B$134*Assumptions!$B$50*Assumptions!$B$35*Assumptions!$B$81</f>
        <v/>
      </c>
      <c r="G192" s="41">
        <f>G190*Assumptions!$B$134*Assumptions!$B$50*Assumptions!$B$35*Assumptions!$B$81</f>
        <v/>
      </c>
      <c r="H192" s="41">
        <f>H190*Assumptions!$B$134*Assumptions!$B$50*Assumptions!$B$35*Assumptions!$B$81</f>
        <v/>
      </c>
      <c r="I192" s="41">
        <f>I190*Assumptions!$B$134*Assumptions!$B$50*Assumptions!$B$35*Assumptions!$B$81</f>
        <v/>
      </c>
      <c r="J192" s="41">
        <f>J190*Assumptions!$B$134*Assumptions!$B$50*Assumptions!$B$35*Assumptions!$B$81</f>
        <v/>
      </c>
      <c r="K192" s="41">
        <f>K190*Assumptions!$B$134*Assumptions!$B$50*Assumptions!$B$35*Assumptions!$B$81</f>
        <v/>
      </c>
      <c r="L192" s="41">
        <f>L190*Assumptions!$B$134*Assumptions!$B$50*Assumptions!$B$35*Assumptions!$B$81</f>
        <v/>
      </c>
      <c r="M192" s="41">
        <f>M190*Assumptions!$B$134*Assumptions!$B$50*Assumptions!$B$35*Assumptions!$B$81</f>
        <v/>
      </c>
      <c r="N192" s="41">
        <f>N190*Assumptions!$B$134*Assumptions!$B$50*Assumptions!$B$35*Assumptions!$B$81</f>
        <v/>
      </c>
      <c r="O192" s="41">
        <f>O190*Assumptions!$B$134*Assumptions!$B$50*Assumptions!$B$35*Assumptions!$B$81</f>
        <v/>
      </c>
      <c r="P192" s="41">
        <f>P190*Assumptions!$B$134*Assumptions!$B$50*Assumptions!$B$35*Assumptions!$B$81</f>
        <v/>
      </c>
      <c r="Q192" s="41">
        <f>Q190*Assumptions!$B$134*Assumptions!$B$50*Assumptions!$B$35*Assumptions!$B$81</f>
        <v/>
      </c>
      <c r="R192" s="41">
        <f>R190*Assumptions!$B$134*Assumptions!$B$50*Assumptions!$B$35*Assumptions!$B$81</f>
        <v/>
      </c>
      <c r="S192" s="41">
        <f>S190*Assumptions!$B$134*Assumptions!$B$50*Assumptions!$B$35*Assumptions!$B$81</f>
        <v/>
      </c>
      <c r="T192" s="41">
        <f>T190*Assumptions!$B$134*Assumptions!$B$50*Assumptions!$B$35*Assumptions!$B$81</f>
        <v/>
      </c>
      <c r="U192" s="41">
        <f>U190*Assumptions!$B$134*Assumptions!$B$50*Assumptions!$B$35*Assumptions!$B$81</f>
        <v/>
      </c>
      <c r="V192" s="41">
        <f>V190*Assumptions!$B$134*Assumptions!$B$50*Assumptions!$B$35*Assumptions!$B$81</f>
        <v/>
      </c>
      <c r="W192" s="41">
        <f>W190*Assumptions!$B$134*Assumptions!$B$50*Assumptions!$B$35*Assumptions!$B$81</f>
        <v/>
      </c>
      <c r="X192" s="41">
        <f>X190*Assumptions!$B$134*Assumptions!$B$50*Assumptions!$B$35*Assumptions!$B$81</f>
        <v/>
      </c>
      <c r="Y192" s="41">
        <f>Y190*Assumptions!$B$134*Assumptions!$B$50*Assumptions!$B$35*Assumptions!$B$81</f>
        <v/>
      </c>
      <c r="Z192" s="41">
        <f>Z190*Assumptions!$B$134*Assumptions!$B$50*Assumptions!$B$35*Assumptions!$B$81</f>
        <v/>
      </c>
      <c r="AA192" s="41">
        <f>AA190*Assumptions!$B$134*Assumptions!$B$50*Assumptions!$B$35*Assumptions!$B$81</f>
        <v/>
      </c>
      <c r="AB192" s="41">
        <f>AB190*Assumptions!$B$134*Assumptions!$B$50*Assumptions!$B$35*Assumptions!$B$81</f>
        <v/>
      </c>
      <c r="AC192" s="41">
        <f>AC190*Assumptions!$B$134*Assumptions!$B$50*Assumptions!$B$35*Assumptions!$B$81</f>
        <v/>
      </c>
      <c r="AD192" s="41">
        <f>AD190*Assumptions!$B$134*Assumptions!$B$50*Assumptions!$B$35*Assumptions!$B$81</f>
        <v/>
      </c>
      <c r="AE192" s="41">
        <f>AE190*Assumptions!$B$134*Assumptions!$B$50*Assumptions!$B$35*Assumptions!$B$81</f>
        <v/>
      </c>
      <c r="AF192" s="41">
        <f>AF190*Assumptions!$B$134*Assumptions!$B$50*Assumptions!$B$35*Assumptions!$B$81</f>
        <v/>
      </c>
      <c r="AG192" s="41">
        <f>AG190*Assumptions!$B$134*Assumptions!$B$50*Assumptions!$B$35*Assumptions!$B$81</f>
        <v/>
      </c>
      <c r="AH192" s="41">
        <f>AH190*Assumptions!$B$134*Assumptions!$B$50*Assumptions!$B$35*Assumptions!$B$81</f>
        <v/>
      </c>
      <c r="AI192" s="41">
        <f>AI190*Assumptions!$B$134*Assumptions!$B$50*Assumptions!$B$35*Assumptions!$B$81</f>
        <v/>
      </c>
      <c r="AJ192" s="41">
        <f>AJ190*Assumptions!$B$134*Assumptions!$B$50*Assumptions!$B$35*Assumptions!$B$81</f>
        <v/>
      </c>
      <c r="AK192" s="41">
        <f>AK190*Assumptions!$B$134*Assumptions!$B$50*Assumptions!$B$35*Assumptions!$B$81</f>
        <v/>
      </c>
      <c r="AL192" s="41">
        <f>AL190*Assumptions!$B$134*Assumptions!$B$50*Assumptions!$B$35*Assumptions!$B$81</f>
        <v/>
      </c>
      <c r="AM192" s="41">
        <f>AM190*Assumptions!$B$134*Assumptions!$B$50*Assumptions!$B$35*Assumptions!$B$81</f>
        <v/>
      </c>
      <c r="AN192" s="41">
        <f>AN190*Assumptions!$B$134*Assumptions!$B$50*Assumptions!$B$35*Assumptions!$B$81</f>
        <v/>
      </c>
      <c r="AO192" s="41">
        <f>AO190*Assumptions!$B$134*Assumptions!$B$50*Assumptions!$B$35*Assumptions!$B$81</f>
        <v/>
      </c>
      <c r="AP192" s="41">
        <f>AP190*Assumptions!$B$134*Assumptions!$B$50*Assumptions!$B$35*Assumptions!$B$81</f>
        <v/>
      </c>
      <c r="AQ192" s="41">
        <f>AQ190*Assumptions!$B$134*Assumptions!$B$50*Assumptions!$B$35*Assumptions!$B$81</f>
        <v/>
      </c>
      <c r="AR192" s="41">
        <f>AR190*Assumptions!$B$134*Assumptions!$B$50*Assumptions!$B$35*Assumptions!$B$81</f>
        <v/>
      </c>
      <c r="AS192" s="41">
        <f>AS190*Assumptions!$B$134*Assumptions!$B$50*Assumptions!$B$35*Assumptions!$B$81</f>
        <v/>
      </c>
      <c r="AT192" s="41">
        <f>AT190*Assumptions!$B$134*Assumptions!$B$50*Assumptions!$B$35*Assumptions!$B$81</f>
        <v/>
      </c>
      <c r="AU192" s="41">
        <f>AU190*Assumptions!$B$134*Assumptions!$B$50*Assumptions!$B$35*Assumptions!$B$81</f>
        <v/>
      </c>
      <c r="AV192" s="41">
        <f>AV190*Assumptions!$B$134*Assumptions!$B$50*Assumptions!$B$35*Assumptions!$B$81</f>
        <v/>
      </c>
      <c r="AW192" s="41">
        <f>AW190*Assumptions!$B$134*Assumptions!$B$50*Assumptions!$B$35*Assumptions!$B$81</f>
        <v/>
      </c>
      <c r="AX192" s="41">
        <f>AX190*Assumptions!$B$134*Assumptions!$B$50*Assumptions!$B$35*Assumptions!$B$81</f>
        <v/>
      </c>
      <c r="AY192" s="41">
        <f>AY190*Assumptions!$B$134*Assumptions!$B$50*Assumptions!$B$35*Assumptions!$B$81</f>
        <v/>
      </c>
      <c r="AZ192" s="41">
        <f>AZ190*Assumptions!$B$134*Assumptions!$B$50*Assumptions!$B$35*Assumptions!$B$81</f>
        <v/>
      </c>
      <c r="BA192" s="41">
        <f>BA190*Assumptions!$B$134*Assumptions!$B$50*Assumptions!$B$35*Assumptions!$B$81</f>
        <v/>
      </c>
      <c r="BB192" s="41">
        <f>BB190*Assumptions!$B$134*Assumptions!$B$50*Assumptions!$B$35*Assumptions!$B$81</f>
        <v/>
      </c>
      <c r="BC192" s="41">
        <f>BC190*Assumptions!$B$134*Assumptions!$B$50*Assumptions!$B$35*Assumptions!$B$81</f>
        <v/>
      </c>
      <c r="BD192" s="41">
        <f>BD190*Assumptions!$B$134*Assumptions!$B$50*Assumptions!$B$35*Assumptions!$B$81</f>
        <v/>
      </c>
      <c r="BE192" s="41">
        <f>BE190*Assumptions!$B$134*Assumptions!$B$50*Assumptions!$B$35*Assumptions!$B$81</f>
        <v/>
      </c>
      <c r="BF192" s="41">
        <f>BF190*Assumptions!$B$134*Assumptions!$B$50*Assumptions!$B$35*Assumptions!$B$81</f>
        <v/>
      </c>
      <c r="BG192" s="41">
        <f>BG190*Assumptions!$B$134*Assumptions!$B$50*Assumptions!$B$35*Assumptions!$B$81</f>
        <v/>
      </c>
      <c r="BH192" s="41">
        <f>BH190*Assumptions!$B$134*Assumptions!$B$50*Assumptions!$B$35*Assumptions!$B$81</f>
        <v/>
      </c>
      <c r="BI192" s="41">
        <f>BI190*Assumptions!$B$134*Assumptions!$B$50*Assumptions!$B$35*Assumptions!$B$81</f>
        <v/>
      </c>
      <c r="BJ192" s="41">
        <f>BJ190*Assumptions!$B$134*Assumptions!$B$50*Assumptions!$B$35*Assumptions!$B$81</f>
        <v/>
      </c>
    </row>
    <row r="193">
      <c r="A193" s="4" t="inlineStr">
        <is>
          <t>Kenya: SME: Growth: upgraded out</t>
        </is>
      </c>
      <c r="B193" s="17" t="inlineStr">
        <is>
          <t>workspaces</t>
        </is>
      </c>
      <c r="C193" s="41">
        <f>C190*Assumptions!$B$128</f>
        <v/>
      </c>
      <c r="D193" s="41">
        <f>D190*Assumptions!$B$128</f>
        <v/>
      </c>
      <c r="E193" s="41">
        <f>E190*Assumptions!$B$128</f>
        <v/>
      </c>
      <c r="F193" s="41">
        <f>F190*Assumptions!$B$128</f>
        <v/>
      </c>
      <c r="G193" s="41">
        <f>G190*Assumptions!$B$128</f>
        <v/>
      </c>
      <c r="H193" s="41">
        <f>H190*Assumptions!$B$128</f>
        <v/>
      </c>
      <c r="I193" s="41">
        <f>I190*Assumptions!$B$128</f>
        <v/>
      </c>
      <c r="J193" s="41">
        <f>J190*Assumptions!$B$128</f>
        <v/>
      </c>
      <c r="K193" s="41">
        <f>K190*Assumptions!$B$128</f>
        <v/>
      </c>
      <c r="L193" s="41">
        <f>L190*Assumptions!$B$128</f>
        <v/>
      </c>
      <c r="M193" s="41">
        <f>M190*Assumptions!$B$128</f>
        <v/>
      </c>
      <c r="N193" s="41">
        <f>N190*Assumptions!$B$128</f>
        <v/>
      </c>
      <c r="O193" s="41">
        <f>O190*Assumptions!$B$128</f>
        <v/>
      </c>
      <c r="P193" s="41">
        <f>P190*Assumptions!$B$128</f>
        <v/>
      </c>
      <c r="Q193" s="41">
        <f>Q190*Assumptions!$B$128</f>
        <v/>
      </c>
      <c r="R193" s="41">
        <f>R190*Assumptions!$B$128</f>
        <v/>
      </c>
      <c r="S193" s="41">
        <f>S190*Assumptions!$B$128</f>
        <v/>
      </c>
      <c r="T193" s="41">
        <f>T190*Assumptions!$B$128</f>
        <v/>
      </c>
      <c r="U193" s="41">
        <f>U190*Assumptions!$B$128</f>
        <v/>
      </c>
      <c r="V193" s="41">
        <f>V190*Assumptions!$B$128</f>
        <v/>
      </c>
      <c r="W193" s="41">
        <f>W190*Assumptions!$B$128</f>
        <v/>
      </c>
      <c r="X193" s="41">
        <f>X190*Assumptions!$B$128</f>
        <v/>
      </c>
      <c r="Y193" s="41">
        <f>Y190*Assumptions!$B$128</f>
        <v/>
      </c>
      <c r="Z193" s="41">
        <f>Z190*Assumptions!$B$128</f>
        <v/>
      </c>
      <c r="AA193" s="41">
        <f>AA190*Assumptions!$B$128</f>
        <v/>
      </c>
      <c r="AB193" s="41">
        <f>AB190*Assumptions!$B$128</f>
        <v/>
      </c>
      <c r="AC193" s="41">
        <f>AC190*Assumptions!$B$128</f>
        <v/>
      </c>
      <c r="AD193" s="41">
        <f>AD190*Assumptions!$B$128</f>
        <v/>
      </c>
      <c r="AE193" s="41">
        <f>AE190*Assumptions!$B$128</f>
        <v/>
      </c>
      <c r="AF193" s="41">
        <f>AF190*Assumptions!$B$128</f>
        <v/>
      </c>
      <c r="AG193" s="41">
        <f>AG190*Assumptions!$B$128</f>
        <v/>
      </c>
      <c r="AH193" s="41">
        <f>AH190*Assumptions!$B$128</f>
        <v/>
      </c>
      <c r="AI193" s="41">
        <f>AI190*Assumptions!$B$128</f>
        <v/>
      </c>
      <c r="AJ193" s="41">
        <f>AJ190*Assumptions!$B$128</f>
        <v/>
      </c>
      <c r="AK193" s="41">
        <f>AK190*Assumptions!$B$128</f>
        <v/>
      </c>
      <c r="AL193" s="41">
        <f>AL190*Assumptions!$B$128</f>
        <v/>
      </c>
      <c r="AM193" s="41">
        <f>AM190*Assumptions!$B$128</f>
        <v/>
      </c>
      <c r="AN193" s="41">
        <f>AN190*Assumptions!$B$128</f>
        <v/>
      </c>
      <c r="AO193" s="41">
        <f>AO190*Assumptions!$B$128</f>
        <v/>
      </c>
      <c r="AP193" s="41">
        <f>AP190*Assumptions!$B$128</f>
        <v/>
      </c>
      <c r="AQ193" s="41">
        <f>AQ190*Assumptions!$B$128</f>
        <v/>
      </c>
      <c r="AR193" s="41">
        <f>AR190*Assumptions!$B$128</f>
        <v/>
      </c>
      <c r="AS193" s="41">
        <f>AS190*Assumptions!$B$128</f>
        <v/>
      </c>
      <c r="AT193" s="41">
        <f>AT190*Assumptions!$B$128</f>
        <v/>
      </c>
      <c r="AU193" s="41">
        <f>AU190*Assumptions!$B$128</f>
        <v/>
      </c>
      <c r="AV193" s="41">
        <f>AV190*Assumptions!$B$128</f>
        <v/>
      </c>
      <c r="AW193" s="41">
        <f>AW190*Assumptions!$B$128</f>
        <v/>
      </c>
      <c r="AX193" s="41">
        <f>AX190*Assumptions!$B$128</f>
        <v/>
      </c>
      <c r="AY193" s="41">
        <f>AY190*Assumptions!$B$128</f>
        <v/>
      </c>
      <c r="AZ193" s="41">
        <f>AZ190*Assumptions!$B$128</f>
        <v/>
      </c>
      <c r="BA193" s="41">
        <f>BA190*Assumptions!$B$128</f>
        <v/>
      </c>
      <c r="BB193" s="41">
        <f>BB190*Assumptions!$B$128</f>
        <v/>
      </c>
      <c r="BC193" s="41">
        <f>BC190*Assumptions!$B$128</f>
        <v/>
      </c>
      <c r="BD193" s="41">
        <f>BD190*Assumptions!$B$128</f>
        <v/>
      </c>
      <c r="BE193" s="41">
        <f>BE190*Assumptions!$B$128</f>
        <v/>
      </c>
      <c r="BF193" s="41">
        <f>BF190*Assumptions!$B$128</f>
        <v/>
      </c>
      <c r="BG193" s="41">
        <f>BG190*Assumptions!$B$128</f>
        <v/>
      </c>
      <c r="BH193" s="41">
        <f>BH190*Assumptions!$B$128</f>
        <v/>
      </c>
      <c r="BI193" s="41">
        <f>BI190*Assumptions!$B$128</f>
        <v/>
      </c>
      <c r="BJ193" s="41">
        <f>BJ190*Assumptions!$B$128</f>
        <v/>
      </c>
    </row>
    <row r="194">
      <c r="A194" s="3" t="inlineStr">
        <is>
          <t>Kenya: SME: Growth: closing</t>
        </is>
      </c>
      <c r="B194" s="17" t="inlineStr">
        <is>
          <t>workspaces</t>
        </is>
      </c>
      <c r="C194" s="44">
        <f>C190+C191-C192-C193</f>
        <v/>
      </c>
      <c r="D194" s="44">
        <f>D190+D191-D192-D193</f>
        <v/>
      </c>
      <c r="E194" s="44">
        <f>E190+E191-E192-E193</f>
        <v/>
      </c>
      <c r="F194" s="44">
        <f>F190+F191-F192-F193</f>
        <v/>
      </c>
      <c r="G194" s="44">
        <f>G190+G191-G192-G193</f>
        <v/>
      </c>
      <c r="H194" s="44">
        <f>H190+H191-H192-H193</f>
        <v/>
      </c>
      <c r="I194" s="44">
        <f>I190+I191-I192-I193</f>
        <v/>
      </c>
      <c r="J194" s="44">
        <f>J190+J191-J192-J193</f>
        <v/>
      </c>
      <c r="K194" s="44">
        <f>K190+K191-K192-K193</f>
        <v/>
      </c>
      <c r="L194" s="44">
        <f>L190+L191-L192-L193</f>
        <v/>
      </c>
      <c r="M194" s="44">
        <f>M190+M191-M192-M193</f>
        <v/>
      </c>
      <c r="N194" s="44">
        <f>N190+N191-N192-N193</f>
        <v/>
      </c>
      <c r="O194" s="44">
        <f>O190+O191-O192-O193</f>
        <v/>
      </c>
      <c r="P194" s="44">
        <f>P190+P191-P192-P193</f>
        <v/>
      </c>
      <c r="Q194" s="44">
        <f>Q190+Q191-Q192-Q193</f>
        <v/>
      </c>
      <c r="R194" s="44">
        <f>R190+R191-R192-R193</f>
        <v/>
      </c>
      <c r="S194" s="44">
        <f>S190+S191-S192-S193</f>
        <v/>
      </c>
      <c r="T194" s="44">
        <f>T190+T191-T192-T193</f>
        <v/>
      </c>
      <c r="U194" s="44">
        <f>U190+U191-U192-U193</f>
        <v/>
      </c>
      <c r="V194" s="44">
        <f>V190+V191-V192-V193</f>
        <v/>
      </c>
      <c r="W194" s="44">
        <f>W190+W191-W192-W193</f>
        <v/>
      </c>
      <c r="X194" s="44">
        <f>X190+X191-X192-X193</f>
        <v/>
      </c>
      <c r="Y194" s="44">
        <f>Y190+Y191-Y192-Y193</f>
        <v/>
      </c>
      <c r="Z194" s="44">
        <f>Z190+Z191-Z192-Z193</f>
        <v/>
      </c>
      <c r="AA194" s="44">
        <f>AA190+AA191-AA192-AA193</f>
        <v/>
      </c>
      <c r="AB194" s="44">
        <f>AB190+AB191-AB192-AB193</f>
        <v/>
      </c>
      <c r="AC194" s="44">
        <f>AC190+AC191-AC192-AC193</f>
        <v/>
      </c>
      <c r="AD194" s="44">
        <f>AD190+AD191-AD192-AD193</f>
        <v/>
      </c>
      <c r="AE194" s="44">
        <f>AE190+AE191-AE192-AE193</f>
        <v/>
      </c>
      <c r="AF194" s="44">
        <f>AF190+AF191-AF192-AF193</f>
        <v/>
      </c>
      <c r="AG194" s="44">
        <f>AG190+AG191-AG192-AG193</f>
        <v/>
      </c>
      <c r="AH194" s="44">
        <f>AH190+AH191-AH192-AH193</f>
        <v/>
      </c>
      <c r="AI194" s="44">
        <f>AI190+AI191-AI192-AI193</f>
        <v/>
      </c>
      <c r="AJ194" s="44">
        <f>AJ190+AJ191-AJ192-AJ193</f>
        <v/>
      </c>
      <c r="AK194" s="44">
        <f>AK190+AK191-AK192-AK193</f>
        <v/>
      </c>
      <c r="AL194" s="44">
        <f>AL190+AL191-AL192-AL193</f>
        <v/>
      </c>
      <c r="AM194" s="44">
        <f>AM190+AM191-AM192-AM193</f>
        <v/>
      </c>
      <c r="AN194" s="44">
        <f>AN190+AN191-AN192-AN193</f>
        <v/>
      </c>
      <c r="AO194" s="44">
        <f>AO190+AO191-AO192-AO193</f>
        <v/>
      </c>
      <c r="AP194" s="44">
        <f>AP190+AP191-AP192-AP193</f>
        <v/>
      </c>
      <c r="AQ194" s="44">
        <f>AQ190+AQ191-AQ192-AQ193</f>
        <v/>
      </c>
      <c r="AR194" s="44">
        <f>AR190+AR191-AR192-AR193</f>
        <v/>
      </c>
      <c r="AS194" s="44">
        <f>AS190+AS191-AS192-AS193</f>
        <v/>
      </c>
      <c r="AT194" s="44">
        <f>AT190+AT191-AT192-AT193</f>
        <v/>
      </c>
      <c r="AU194" s="44">
        <f>AU190+AU191-AU192-AU193</f>
        <v/>
      </c>
      <c r="AV194" s="44">
        <f>AV190+AV191-AV192-AV193</f>
        <v/>
      </c>
      <c r="AW194" s="44">
        <f>AW190+AW191-AW192-AW193</f>
        <v/>
      </c>
      <c r="AX194" s="44">
        <f>AX190+AX191-AX192-AX193</f>
        <v/>
      </c>
      <c r="AY194" s="44">
        <f>AY190+AY191-AY192-AY193</f>
        <v/>
      </c>
      <c r="AZ194" s="44">
        <f>AZ190+AZ191-AZ192-AZ193</f>
        <v/>
      </c>
      <c r="BA194" s="44">
        <f>BA190+BA191-BA192-BA193</f>
        <v/>
      </c>
      <c r="BB194" s="44">
        <f>BB190+BB191-BB192-BB193</f>
        <v/>
      </c>
      <c r="BC194" s="44">
        <f>BC190+BC191-BC192-BC193</f>
        <v/>
      </c>
      <c r="BD194" s="44">
        <f>BD190+BD191-BD192-BD193</f>
        <v/>
      </c>
      <c r="BE194" s="44">
        <f>BE190+BE191-BE192-BE193</f>
        <v/>
      </c>
      <c r="BF194" s="44">
        <f>BF190+BF191-BF192-BF193</f>
        <v/>
      </c>
      <c r="BG194" s="44">
        <f>BG190+BG191-BG192-BG193</f>
        <v/>
      </c>
      <c r="BH194" s="44">
        <f>BH190+BH191-BH192-BH193</f>
        <v/>
      </c>
      <c r="BI194" s="44">
        <f>BI190+BI191-BI192-BI193</f>
        <v/>
      </c>
      <c r="BJ194" s="44">
        <f>BJ190+BJ191-BJ192-BJ193</f>
        <v/>
      </c>
    </row>
    <row r="195">
      <c r="A195" s="4" t="inlineStr">
        <is>
          <t>Kenya: SME: Scale (upgraded or direct): opening</t>
        </is>
      </c>
      <c r="B195" s="17" t="inlineStr">
        <is>
          <t>workspaces</t>
        </is>
      </c>
      <c r="C195" s="41">
        <f>0</f>
        <v/>
      </c>
      <c r="D195" s="41">
        <f>C198</f>
        <v/>
      </c>
      <c r="E195" s="41">
        <f>D198</f>
        <v/>
      </c>
      <c r="F195" s="41">
        <f>E198</f>
        <v/>
      </c>
      <c r="G195" s="41">
        <f>F198</f>
        <v/>
      </c>
      <c r="H195" s="41">
        <f>G198</f>
        <v/>
      </c>
      <c r="I195" s="41">
        <f>H198</f>
        <v/>
      </c>
      <c r="J195" s="41">
        <f>I198</f>
        <v/>
      </c>
      <c r="K195" s="41">
        <f>J198</f>
        <v/>
      </c>
      <c r="L195" s="41">
        <f>K198</f>
        <v/>
      </c>
      <c r="M195" s="41">
        <f>L198</f>
        <v/>
      </c>
      <c r="N195" s="41">
        <f>M198</f>
        <v/>
      </c>
      <c r="O195" s="41">
        <f>N198</f>
        <v/>
      </c>
      <c r="P195" s="41">
        <f>O198</f>
        <v/>
      </c>
      <c r="Q195" s="41">
        <f>P198</f>
        <v/>
      </c>
      <c r="R195" s="41">
        <f>Q198</f>
        <v/>
      </c>
      <c r="S195" s="41">
        <f>R198</f>
        <v/>
      </c>
      <c r="T195" s="41">
        <f>S198</f>
        <v/>
      </c>
      <c r="U195" s="41">
        <f>T198</f>
        <v/>
      </c>
      <c r="V195" s="41">
        <f>U198</f>
        <v/>
      </c>
      <c r="W195" s="41">
        <f>V198</f>
        <v/>
      </c>
      <c r="X195" s="41">
        <f>W198</f>
        <v/>
      </c>
      <c r="Y195" s="41">
        <f>X198</f>
        <v/>
      </c>
      <c r="Z195" s="41">
        <f>Y198</f>
        <v/>
      </c>
      <c r="AA195" s="41">
        <f>Z198</f>
        <v/>
      </c>
      <c r="AB195" s="41">
        <f>AA198</f>
        <v/>
      </c>
      <c r="AC195" s="41">
        <f>AB198</f>
        <v/>
      </c>
      <c r="AD195" s="41">
        <f>AC198</f>
        <v/>
      </c>
      <c r="AE195" s="41">
        <f>AD198</f>
        <v/>
      </c>
      <c r="AF195" s="41">
        <f>AE198</f>
        <v/>
      </c>
      <c r="AG195" s="41">
        <f>AF198</f>
        <v/>
      </c>
      <c r="AH195" s="41">
        <f>AG198</f>
        <v/>
      </c>
      <c r="AI195" s="41">
        <f>AH198</f>
        <v/>
      </c>
      <c r="AJ195" s="41">
        <f>AI198</f>
        <v/>
      </c>
      <c r="AK195" s="41">
        <f>AJ198</f>
        <v/>
      </c>
      <c r="AL195" s="41">
        <f>AK198</f>
        <v/>
      </c>
      <c r="AM195" s="41">
        <f>AL198</f>
        <v/>
      </c>
      <c r="AN195" s="41">
        <f>AM198</f>
        <v/>
      </c>
      <c r="AO195" s="41">
        <f>AN198</f>
        <v/>
      </c>
      <c r="AP195" s="41">
        <f>AO198</f>
        <v/>
      </c>
      <c r="AQ195" s="41">
        <f>AP198</f>
        <v/>
      </c>
      <c r="AR195" s="41">
        <f>AQ198</f>
        <v/>
      </c>
      <c r="AS195" s="41">
        <f>AR198</f>
        <v/>
      </c>
      <c r="AT195" s="41">
        <f>AS198</f>
        <v/>
      </c>
      <c r="AU195" s="41">
        <f>AT198</f>
        <v/>
      </c>
      <c r="AV195" s="41">
        <f>AU198</f>
        <v/>
      </c>
      <c r="AW195" s="41">
        <f>AV198</f>
        <v/>
      </c>
      <c r="AX195" s="41">
        <f>AW198</f>
        <v/>
      </c>
      <c r="AY195" s="41">
        <f>AX198</f>
        <v/>
      </c>
      <c r="AZ195" s="41">
        <f>AY198</f>
        <v/>
      </c>
      <c r="BA195" s="41">
        <f>AZ198</f>
        <v/>
      </c>
      <c r="BB195" s="41">
        <f>BA198</f>
        <v/>
      </c>
      <c r="BC195" s="41">
        <f>BB198</f>
        <v/>
      </c>
      <c r="BD195" s="41">
        <f>BC198</f>
        <v/>
      </c>
      <c r="BE195" s="41">
        <f>BD198</f>
        <v/>
      </c>
      <c r="BF195" s="41">
        <f>BE198</f>
        <v/>
      </c>
      <c r="BG195" s="41">
        <f>BF198</f>
        <v/>
      </c>
      <c r="BH195" s="41">
        <f>BG198</f>
        <v/>
      </c>
      <c r="BI195" s="41">
        <f>BH198</f>
        <v/>
      </c>
      <c r="BJ195" s="41">
        <f>BI198</f>
        <v/>
      </c>
    </row>
    <row r="196">
      <c r="A196" s="4" t="inlineStr">
        <is>
          <t>Kenya: SME: Scale (upgraded or direct): new</t>
        </is>
      </c>
      <c r="B196" s="17" t="inlineStr">
        <is>
          <t>workspaces</t>
        </is>
      </c>
      <c r="C196" s="41">
        <f>C118*Assumptions!$B$126+C193</f>
        <v/>
      </c>
      <c r="D196" s="41">
        <f>D118*Assumptions!$B$126+D193</f>
        <v/>
      </c>
      <c r="E196" s="41">
        <f>E118*Assumptions!$B$126+E193</f>
        <v/>
      </c>
      <c r="F196" s="41">
        <f>F118*Assumptions!$B$126+F193</f>
        <v/>
      </c>
      <c r="G196" s="41">
        <f>G118*Assumptions!$B$126+G193</f>
        <v/>
      </c>
      <c r="H196" s="41">
        <f>H118*Assumptions!$B$126+H193</f>
        <v/>
      </c>
      <c r="I196" s="41">
        <f>I118*Assumptions!$B$126+I193</f>
        <v/>
      </c>
      <c r="J196" s="41">
        <f>J118*Assumptions!$B$126+J193</f>
        <v/>
      </c>
      <c r="K196" s="41">
        <f>K118*Assumptions!$B$126+K193</f>
        <v/>
      </c>
      <c r="L196" s="41">
        <f>L118*Assumptions!$B$126+L193</f>
        <v/>
      </c>
      <c r="M196" s="41">
        <f>M118*Assumptions!$B$126+M193</f>
        <v/>
      </c>
      <c r="N196" s="41">
        <f>N118*Assumptions!$B$126+N193</f>
        <v/>
      </c>
      <c r="O196" s="41">
        <f>O118*Assumptions!$B$126+O193</f>
        <v/>
      </c>
      <c r="P196" s="41">
        <f>P118*Assumptions!$B$126+P193</f>
        <v/>
      </c>
      <c r="Q196" s="41">
        <f>Q118*Assumptions!$B$126+Q193</f>
        <v/>
      </c>
      <c r="R196" s="41">
        <f>R118*Assumptions!$B$126+R193</f>
        <v/>
      </c>
      <c r="S196" s="41">
        <f>S118*Assumptions!$B$126+S193</f>
        <v/>
      </c>
      <c r="T196" s="41">
        <f>T118*Assumptions!$B$126+T193</f>
        <v/>
      </c>
      <c r="U196" s="41">
        <f>U118*Assumptions!$B$126+U193</f>
        <v/>
      </c>
      <c r="V196" s="41">
        <f>V118*Assumptions!$B$126+V193</f>
        <v/>
      </c>
      <c r="W196" s="41">
        <f>W118*Assumptions!$B$126+W193</f>
        <v/>
      </c>
      <c r="X196" s="41">
        <f>X118*Assumptions!$B$126+X193</f>
        <v/>
      </c>
      <c r="Y196" s="41">
        <f>Y118*Assumptions!$B$126+Y193</f>
        <v/>
      </c>
      <c r="Z196" s="41">
        <f>Z118*Assumptions!$B$126+Z193</f>
        <v/>
      </c>
      <c r="AA196" s="41">
        <f>AA118*Assumptions!$B$126+AA193</f>
        <v/>
      </c>
      <c r="AB196" s="41">
        <f>AB118*Assumptions!$B$126+AB193</f>
        <v/>
      </c>
      <c r="AC196" s="41">
        <f>AC118*Assumptions!$B$126+AC193</f>
        <v/>
      </c>
      <c r="AD196" s="41">
        <f>AD118*Assumptions!$B$126+AD193</f>
        <v/>
      </c>
      <c r="AE196" s="41">
        <f>AE118*Assumptions!$B$126+AE193</f>
        <v/>
      </c>
      <c r="AF196" s="41">
        <f>AF118*Assumptions!$B$126+AF193</f>
        <v/>
      </c>
      <c r="AG196" s="41">
        <f>AG118*Assumptions!$B$126+AG193</f>
        <v/>
      </c>
      <c r="AH196" s="41">
        <f>AH118*Assumptions!$B$126+AH193</f>
        <v/>
      </c>
      <c r="AI196" s="41">
        <f>AI118*Assumptions!$B$126+AI193</f>
        <v/>
      </c>
      <c r="AJ196" s="41">
        <f>AJ118*Assumptions!$B$126+AJ193</f>
        <v/>
      </c>
      <c r="AK196" s="41">
        <f>AK118*Assumptions!$B$126+AK193</f>
        <v/>
      </c>
      <c r="AL196" s="41">
        <f>AL118*Assumptions!$B$126+AL193</f>
        <v/>
      </c>
      <c r="AM196" s="41">
        <f>AM118*Assumptions!$B$126+AM193</f>
        <v/>
      </c>
      <c r="AN196" s="41">
        <f>AN118*Assumptions!$B$126+AN193</f>
        <v/>
      </c>
      <c r="AO196" s="41">
        <f>AO118*Assumptions!$B$126+AO193</f>
        <v/>
      </c>
      <c r="AP196" s="41">
        <f>AP118*Assumptions!$B$126+AP193</f>
        <v/>
      </c>
      <c r="AQ196" s="41">
        <f>AQ118*Assumptions!$B$126+AQ193</f>
        <v/>
      </c>
      <c r="AR196" s="41">
        <f>AR118*Assumptions!$B$126+AR193</f>
        <v/>
      </c>
      <c r="AS196" s="41">
        <f>AS118*Assumptions!$B$126+AS193</f>
        <v/>
      </c>
      <c r="AT196" s="41">
        <f>AT118*Assumptions!$B$126+AT193</f>
        <v/>
      </c>
      <c r="AU196" s="41">
        <f>AU118*Assumptions!$B$126+AU193</f>
        <v/>
      </c>
      <c r="AV196" s="41">
        <f>AV118*Assumptions!$B$126+AV193</f>
        <v/>
      </c>
      <c r="AW196" s="41">
        <f>AW118*Assumptions!$B$126+AW193</f>
        <v/>
      </c>
      <c r="AX196" s="41">
        <f>AX118*Assumptions!$B$126+AX193</f>
        <v/>
      </c>
      <c r="AY196" s="41">
        <f>AY118*Assumptions!$B$126+AY193</f>
        <v/>
      </c>
      <c r="AZ196" s="41">
        <f>AZ118*Assumptions!$B$126+AZ193</f>
        <v/>
      </c>
      <c r="BA196" s="41">
        <f>BA118*Assumptions!$B$126+BA193</f>
        <v/>
      </c>
      <c r="BB196" s="41">
        <f>BB118*Assumptions!$B$126+BB193</f>
        <v/>
      </c>
      <c r="BC196" s="41">
        <f>BC118*Assumptions!$B$126+BC193</f>
        <v/>
      </c>
      <c r="BD196" s="41">
        <f>BD118*Assumptions!$B$126+BD193</f>
        <v/>
      </c>
      <c r="BE196" s="41">
        <f>BE118*Assumptions!$B$126+BE193</f>
        <v/>
      </c>
      <c r="BF196" s="41">
        <f>BF118*Assumptions!$B$126+BF193</f>
        <v/>
      </c>
      <c r="BG196" s="41">
        <f>BG118*Assumptions!$B$126+BG193</f>
        <v/>
      </c>
      <c r="BH196" s="41">
        <f>BH118*Assumptions!$B$126+BH193</f>
        <v/>
      </c>
      <c r="BI196" s="41">
        <f>BI118*Assumptions!$B$126+BI193</f>
        <v/>
      </c>
      <c r="BJ196" s="41">
        <f>BJ118*Assumptions!$B$126+BJ193</f>
        <v/>
      </c>
    </row>
    <row r="197">
      <c r="A197" s="4" t="inlineStr">
        <is>
          <t>Kenya: SME: Scale (upgraded or direct): churned</t>
        </is>
      </c>
      <c r="B197" s="17" t="inlineStr">
        <is>
          <t>workspaces</t>
        </is>
      </c>
      <c r="C197" s="41">
        <f>C195*Assumptions!$B$135*Assumptions!$B$50*Assumptions!$B$35*Assumptions!$B$81</f>
        <v/>
      </c>
      <c r="D197" s="41">
        <f>D195*Assumptions!$B$135*Assumptions!$B$50*Assumptions!$B$35*Assumptions!$B$81</f>
        <v/>
      </c>
      <c r="E197" s="41">
        <f>E195*Assumptions!$B$135*Assumptions!$B$50*Assumptions!$B$35*Assumptions!$B$81</f>
        <v/>
      </c>
      <c r="F197" s="41">
        <f>F195*Assumptions!$B$135*Assumptions!$B$50*Assumptions!$B$35*Assumptions!$B$81</f>
        <v/>
      </c>
      <c r="G197" s="41">
        <f>G195*Assumptions!$B$135*Assumptions!$B$50*Assumptions!$B$35*Assumptions!$B$81</f>
        <v/>
      </c>
      <c r="H197" s="41">
        <f>H195*Assumptions!$B$135*Assumptions!$B$50*Assumptions!$B$35*Assumptions!$B$81</f>
        <v/>
      </c>
      <c r="I197" s="41">
        <f>I195*Assumptions!$B$135*Assumptions!$B$50*Assumptions!$B$35*Assumptions!$B$81</f>
        <v/>
      </c>
      <c r="J197" s="41">
        <f>J195*Assumptions!$B$135*Assumptions!$B$50*Assumptions!$B$35*Assumptions!$B$81</f>
        <v/>
      </c>
      <c r="K197" s="41">
        <f>K195*Assumptions!$B$135*Assumptions!$B$50*Assumptions!$B$35*Assumptions!$B$81</f>
        <v/>
      </c>
      <c r="L197" s="41">
        <f>L195*Assumptions!$B$135*Assumptions!$B$50*Assumptions!$B$35*Assumptions!$B$81</f>
        <v/>
      </c>
      <c r="M197" s="41">
        <f>M195*Assumptions!$B$135*Assumptions!$B$50*Assumptions!$B$35*Assumptions!$B$81</f>
        <v/>
      </c>
      <c r="N197" s="41">
        <f>N195*Assumptions!$B$135*Assumptions!$B$50*Assumptions!$B$35*Assumptions!$B$81</f>
        <v/>
      </c>
      <c r="O197" s="41">
        <f>O195*Assumptions!$B$135*Assumptions!$B$50*Assumptions!$B$35*Assumptions!$B$81</f>
        <v/>
      </c>
      <c r="P197" s="41">
        <f>P195*Assumptions!$B$135*Assumptions!$B$50*Assumptions!$B$35*Assumptions!$B$81</f>
        <v/>
      </c>
      <c r="Q197" s="41">
        <f>Q195*Assumptions!$B$135*Assumptions!$B$50*Assumptions!$B$35*Assumptions!$B$81</f>
        <v/>
      </c>
      <c r="R197" s="41">
        <f>R195*Assumptions!$B$135*Assumptions!$B$50*Assumptions!$B$35*Assumptions!$B$81</f>
        <v/>
      </c>
      <c r="S197" s="41">
        <f>S195*Assumptions!$B$135*Assumptions!$B$50*Assumptions!$B$35*Assumptions!$B$81</f>
        <v/>
      </c>
      <c r="T197" s="41">
        <f>T195*Assumptions!$B$135*Assumptions!$B$50*Assumptions!$B$35*Assumptions!$B$81</f>
        <v/>
      </c>
      <c r="U197" s="41">
        <f>U195*Assumptions!$B$135*Assumptions!$B$50*Assumptions!$B$35*Assumptions!$B$81</f>
        <v/>
      </c>
      <c r="V197" s="41">
        <f>V195*Assumptions!$B$135*Assumptions!$B$50*Assumptions!$B$35*Assumptions!$B$81</f>
        <v/>
      </c>
      <c r="W197" s="41">
        <f>W195*Assumptions!$B$135*Assumptions!$B$50*Assumptions!$B$35*Assumptions!$B$81</f>
        <v/>
      </c>
      <c r="X197" s="41">
        <f>X195*Assumptions!$B$135*Assumptions!$B$50*Assumptions!$B$35*Assumptions!$B$81</f>
        <v/>
      </c>
      <c r="Y197" s="41">
        <f>Y195*Assumptions!$B$135*Assumptions!$B$50*Assumptions!$B$35*Assumptions!$B$81</f>
        <v/>
      </c>
      <c r="Z197" s="41">
        <f>Z195*Assumptions!$B$135*Assumptions!$B$50*Assumptions!$B$35*Assumptions!$B$81</f>
        <v/>
      </c>
      <c r="AA197" s="41">
        <f>AA195*Assumptions!$B$135*Assumptions!$B$50*Assumptions!$B$35*Assumptions!$B$81</f>
        <v/>
      </c>
      <c r="AB197" s="41">
        <f>AB195*Assumptions!$B$135*Assumptions!$B$50*Assumptions!$B$35*Assumptions!$B$81</f>
        <v/>
      </c>
      <c r="AC197" s="41">
        <f>AC195*Assumptions!$B$135*Assumptions!$B$50*Assumptions!$B$35*Assumptions!$B$81</f>
        <v/>
      </c>
      <c r="AD197" s="41">
        <f>AD195*Assumptions!$B$135*Assumptions!$B$50*Assumptions!$B$35*Assumptions!$B$81</f>
        <v/>
      </c>
      <c r="AE197" s="41">
        <f>AE195*Assumptions!$B$135*Assumptions!$B$50*Assumptions!$B$35*Assumptions!$B$81</f>
        <v/>
      </c>
      <c r="AF197" s="41">
        <f>AF195*Assumptions!$B$135*Assumptions!$B$50*Assumptions!$B$35*Assumptions!$B$81</f>
        <v/>
      </c>
      <c r="AG197" s="41">
        <f>AG195*Assumptions!$B$135*Assumptions!$B$50*Assumptions!$B$35*Assumptions!$B$81</f>
        <v/>
      </c>
      <c r="AH197" s="41">
        <f>AH195*Assumptions!$B$135*Assumptions!$B$50*Assumptions!$B$35*Assumptions!$B$81</f>
        <v/>
      </c>
      <c r="AI197" s="41">
        <f>AI195*Assumptions!$B$135*Assumptions!$B$50*Assumptions!$B$35*Assumptions!$B$81</f>
        <v/>
      </c>
      <c r="AJ197" s="41">
        <f>AJ195*Assumptions!$B$135*Assumptions!$B$50*Assumptions!$B$35*Assumptions!$B$81</f>
        <v/>
      </c>
      <c r="AK197" s="41">
        <f>AK195*Assumptions!$B$135*Assumptions!$B$50*Assumptions!$B$35*Assumptions!$B$81</f>
        <v/>
      </c>
      <c r="AL197" s="41">
        <f>AL195*Assumptions!$B$135*Assumptions!$B$50*Assumptions!$B$35*Assumptions!$B$81</f>
        <v/>
      </c>
      <c r="AM197" s="41">
        <f>AM195*Assumptions!$B$135*Assumptions!$B$50*Assumptions!$B$35*Assumptions!$B$81</f>
        <v/>
      </c>
      <c r="AN197" s="41">
        <f>AN195*Assumptions!$B$135*Assumptions!$B$50*Assumptions!$B$35*Assumptions!$B$81</f>
        <v/>
      </c>
      <c r="AO197" s="41">
        <f>AO195*Assumptions!$B$135*Assumptions!$B$50*Assumptions!$B$35*Assumptions!$B$81</f>
        <v/>
      </c>
      <c r="AP197" s="41">
        <f>AP195*Assumptions!$B$135*Assumptions!$B$50*Assumptions!$B$35*Assumptions!$B$81</f>
        <v/>
      </c>
      <c r="AQ197" s="41">
        <f>AQ195*Assumptions!$B$135*Assumptions!$B$50*Assumptions!$B$35*Assumptions!$B$81</f>
        <v/>
      </c>
      <c r="AR197" s="41">
        <f>AR195*Assumptions!$B$135*Assumptions!$B$50*Assumptions!$B$35*Assumptions!$B$81</f>
        <v/>
      </c>
      <c r="AS197" s="41">
        <f>AS195*Assumptions!$B$135*Assumptions!$B$50*Assumptions!$B$35*Assumptions!$B$81</f>
        <v/>
      </c>
      <c r="AT197" s="41">
        <f>AT195*Assumptions!$B$135*Assumptions!$B$50*Assumptions!$B$35*Assumptions!$B$81</f>
        <v/>
      </c>
      <c r="AU197" s="41">
        <f>AU195*Assumptions!$B$135*Assumptions!$B$50*Assumptions!$B$35*Assumptions!$B$81</f>
        <v/>
      </c>
      <c r="AV197" s="41">
        <f>AV195*Assumptions!$B$135*Assumptions!$B$50*Assumptions!$B$35*Assumptions!$B$81</f>
        <v/>
      </c>
      <c r="AW197" s="41">
        <f>AW195*Assumptions!$B$135*Assumptions!$B$50*Assumptions!$B$35*Assumptions!$B$81</f>
        <v/>
      </c>
      <c r="AX197" s="41">
        <f>AX195*Assumptions!$B$135*Assumptions!$B$50*Assumptions!$B$35*Assumptions!$B$81</f>
        <v/>
      </c>
      <c r="AY197" s="41">
        <f>AY195*Assumptions!$B$135*Assumptions!$B$50*Assumptions!$B$35*Assumptions!$B$81</f>
        <v/>
      </c>
      <c r="AZ197" s="41">
        <f>AZ195*Assumptions!$B$135*Assumptions!$B$50*Assumptions!$B$35*Assumptions!$B$81</f>
        <v/>
      </c>
      <c r="BA197" s="41">
        <f>BA195*Assumptions!$B$135*Assumptions!$B$50*Assumptions!$B$35*Assumptions!$B$81</f>
        <v/>
      </c>
      <c r="BB197" s="41">
        <f>BB195*Assumptions!$B$135*Assumptions!$B$50*Assumptions!$B$35*Assumptions!$B$81</f>
        <v/>
      </c>
      <c r="BC197" s="41">
        <f>BC195*Assumptions!$B$135*Assumptions!$B$50*Assumptions!$B$35*Assumptions!$B$81</f>
        <v/>
      </c>
      <c r="BD197" s="41">
        <f>BD195*Assumptions!$B$135*Assumptions!$B$50*Assumptions!$B$35*Assumptions!$B$81</f>
        <v/>
      </c>
      <c r="BE197" s="41">
        <f>BE195*Assumptions!$B$135*Assumptions!$B$50*Assumptions!$B$35*Assumptions!$B$81</f>
        <v/>
      </c>
      <c r="BF197" s="41">
        <f>BF195*Assumptions!$B$135*Assumptions!$B$50*Assumptions!$B$35*Assumptions!$B$81</f>
        <v/>
      </c>
      <c r="BG197" s="41">
        <f>BG195*Assumptions!$B$135*Assumptions!$B$50*Assumptions!$B$35*Assumptions!$B$81</f>
        <v/>
      </c>
      <c r="BH197" s="41">
        <f>BH195*Assumptions!$B$135*Assumptions!$B$50*Assumptions!$B$35*Assumptions!$B$81</f>
        <v/>
      </c>
      <c r="BI197" s="41">
        <f>BI195*Assumptions!$B$135*Assumptions!$B$50*Assumptions!$B$35*Assumptions!$B$81</f>
        <v/>
      </c>
      <c r="BJ197" s="41">
        <f>BJ195*Assumptions!$B$135*Assumptions!$B$50*Assumptions!$B$35*Assumptions!$B$81</f>
        <v/>
      </c>
    </row>
    <row r="198">
      <c r="A198" s="3" t="inlineStr">
        <is>
          <t>Kenya: SME: Scale (upgraded or direct): closing</t>
        </is>
      </c>
      <c r="B198" s="17" t="inlineStr">
        <is>
          <t>workspaces</t>
        </is>
      </c>
      <c r="C198" s="44">
        <f>C195+C196-C197</f>
        <v/>
      </c>
      <c r="D198" s="44">
        <f>D195+D196-D197</f>
        <v/>
      </c>
      <c r="E198" s="44">
        <f>E195+E196-E197</f>
        <v/>
      </c>
      <c r="F198" s="44">
        <f>F195+F196-F197</f>
        <v/>
      </c>
      <c r="G198" s="44">
        <f>G195+G196-G197</f>
        <v/>
      </c>
      <c r="H198" s="44">
        <f>H195+H196-H197</f>
        <v/>
      </c>
      <c r="I198" s="44">
        <f>I195+I196-I197</f>
        <v/>
      </c>
      <c r="J198" s="44">
        <f>J195+J196-J197</f>
        <v/>
      </c>
      <c r="K198" s="44">
        <f>K195+K196-K197</f>
        <v/>
      </c>
      <c r="L198" s="44">
        <f>L195+L196-L197</f>
        <v/>
      </c>
      <c r="M198" s="44">
        <f>M195+M196-M197</f>
        <v/>
      </c>
      <c r="N198" s="44">
        <f>N195+N196-N197</f>
        <v/>
      </c>
      <c r="O198" s="44">
        <f>O195+O196-O197</f>
        <v/>
      </c>
      <c r="P198" s="44">
        <f>P195+P196-P197</f>
        <v/>
      </c>
      <c r="Q198" s="44">
        <f>Q195+Q196-Q197</f>
        <v/>
      </c>
      <c r="R198" s="44">
        <f>R195+R196-R197</f>
        <v/>
      </c>
      <c r="S198" s="44">
        <f>S195+S196-S197</f>
        <v/>
      </c>
      <c r="T198" s="44">
        <f>T195+T196-T197</f>
        <v/>
      </c>
      <c r="U198" s="44">
        <f>U195+U196-U197</f>
        <v/>
      </c>
      <c r="V198" s="44">
        <f>V195+V196-V197</f>
        <v/>
      </c>
      <c r="W198" s="44">
        <f>W195+W196-W197</f>
        <v/>
      </c>
      <c r="X198" s="44">
        <f>X195+X196-X197</f>
        <v/>
      </c>
      <c r="Y198" s="44">
        <f>Y195+Y196-Y197</f>
        <v/>
      </c>
      <c r="Z198" s="44">
        <f>Z195+Z196-Z197</f>
        <v/>
      </c>
      <c r="AA198" s="44">
        <f>AA195+AA196-AA197</f>
        <v/>
      </c>
      <c r="AB198" s="44">
        <f>AB195+AB196-AB197</f>
        <v/>
      </c>
      <c r="AC198" s="44">
        <f>AC195+AC196-AC197</f>
        <v/>
      </c>
      <c r="AD198" s="44">
        <f>AD195+AD196-AD197</f>
        <v/>
      </c>
      <c r="AE198" s="44">
        <f>AE195+AE196-AE197</f>
        <v/>
      </c>
      <c r="AF198" s="44">
        <f>AF195+AF196-AF197</f>
        <v/>
      </c>
      <c r="AG198" s="44">
        <f>AG195+AG196-AG197</f>
        <v/>
      </c>
      <c r="AH198" s="44">
        <f>AH195+AH196-AH197</f>
        <v/>
      </c>
      <c r="AI198" s="44">
        <f>AI195+AI196-AI197</f>
        <v/>
      </c>
      <c r="AJ198" s="44">
        <f>AJ195+AJ196-AJ197</f>
        <v/>
      </c>
      <c r="AK198" s="44">
        <f>AK195+AK196-AK197</f>
        <v/>
      </c>
      <c r="AL198" s="44">
        <f>AL195+AL196-AL197</f>
        <v/>
      </c>
      <c r="AM198" s="44">
        <f>AM195+AM196-AM197</f>
        <v/>
      </c>
      <c r="AN198" s="44">
        <f>AN195+AN196-AN197</f>
        <v/>
      </c>
      <c r="AO198" s="44">
        <f>AO195+AO196-AO197</f>
        <v/>
      </c>
      <c r="AP198" s="44">
        <f>AP195+AP196-AP197</f>
        <v/>
      </c>
      <c r="AQ198" s="44">
        <f>AQ195+AQ196-AQ197</f>
        <v/>
      </c>
      <c r="AR198" s="44">
        <f>AR195+AR196-AR197</f>
        <v/>
      </c>
      <c r="AS198" s="44">
        <f>AS195+AS196-AS197</f>
        <v/>
      </c>
      <c r="AT198" s="44">
        <f>AT195+AT196-AT197</f>
        <v/>
      </c>
      <c r="AU198" s="44">
        <f>AU195+AU196-AU197</f>
        <v/>
      </c>
      <c r="AV198" s="44">
        <f>AV195+AV196-AV197</f>
        <v/>
      </c>
      <c r="AW198" s="44">
        <f>AW195+AW196-AW197</f>
        <v/>
      </c>
      <c r="AX198" s="44">
        <f>AX195+AX196-AX197</f>
        <v/>
      </c>
      <c r="AY198" s="44">
        <f>AY195+AY196-AY197</f>
        <v/>
      </c>
      <c r="AZ198" s="44">
        <f>AZ195+AZ196-AZ197</f>
        <v/>
      </c>
      <c r="BA198" s="44">
        <f>BA195+BA196-BA197</f>
        <v/>
      </c>
      <c r="BB198" s="44">
        <f>BB195+BB196-BB197</f>
        <v/>
      </c>
      <c r="BC198" s="44">
        <f>BC195+BC196-BC197</f>
        <v/>
      </c>
      <c r="BD198" s="44">
        <f>BD195+BD196-BD197</f>
        <v/>
      </c>
      <c r="BE198" s="44">
        <f>BE195+BE196-BE197</f>
        <v/>
      </c>
      <c r="BF198" s="44">
        <f>BF195+BF196-BF197</f>
        <v/>
      </c>
      <c r="BG198" s="44">
        <f>BG195+BG196-BG197</f>
        <v/>
      </c>
      <c r="BH198" s="44">
        <f>BH195+BH196-BH197</f>
        <v/>
      </c>
      <c r="BI198" s="44">
        <f>BI195+BI196-BI197</f>
        <v/>
      </c>
      <c r="BJ198" s="44">
        <f>BJ195+BJ196-BJ197</f>
        <v/>
      </c>
    </row>
    <row r="199">
      <c r="A199" s="4" t="inlineStr">
        <is>
          <t>Kenya: Agency / partner: Agency tier: opening</t>
        </is>
      </c>
      <c r="B199" s="17" t="inlineStr">
        <is>
          <t>workspaces</t>
        </is>
      </c>
      <c r="C199" s="41">
        <f>0</f>
        <v/>
      </c>
      <c r="D199" s="41">
        <f>C202</f>
        <v/>
      </c>
      <c r="E199" s="41">
        <f>D202</f>
        <v/>
      </c>
      <c r="F199" s="41">
        <f>E202</f>
        <v/>
      </c>
      <c r="G199" s="41">
        <f>F202</f>
        <v/>
      </c>
      <c r="H199" s="41">
        <f>G202</f>
        <v/>
      </c>
      <c r="I199" s="41">
        <f>H202</f>
        <v/>
      </c>
      <c r="J199" s="41">
        <f>I202</f>
        <v/>
      </c>
      <c r="K199" s="41">
        <f>J202</f>
        <v/>
      </c>
      <c r="L199" s="41">
        <f>K202</f>
        <v/>
      </c>
      <c r="M199" s="41">
        <f>L202</f>
        <v/>
      </c>
      <c r="N199" s="41">
        <f>M202</f>
        <v/>
      </c>
      <c r="O199" s="41">
        <f>N202</f>
        <v/>
      </c>
      <c r="P199" s="41">
        <f>O202</f>
        <v/>
      </c>
      <c r="Q199" s="41">
        <f>P202</f>
        <v/>
      </c>
      <c r="R199" s="41">
        <f>Q202</f>
        <v/>
      </c>
      <c r="S199" s="41">
        <f>R202</f>
        <v/>
      </c>
      <c r="T199" s="41">
        <f>S202</f>
        <v/>
      </c>
      <c r="U199" s="41">
        <f>T202</f>
        <v/>
      </c>
      <c r="V199" s="41">
        <f>U202</f>
        <v/>
      </c>
      <c r="W199" s="41">
        <f>V202</f>
        <v/>
      </c>
      <c r="X199" s="41">
        <f>W202</f>
        <v/>
      </c>
      <c r="Y199" s="41">
        <f>X202</f>
        <v/>
      </c>
      <c r="Z199" s="41">
        <f>Y202</f>
        <v/>
      </c>
      <c r="AA199" s="41">
        <f>Z202</f>
        <v/>
      </c>
      <c r="AB199" s="41">
        <f>AA202</f>
        <v/>
      </c>
      <c r="AC199" s="41">
        <f>AB202</f>
        <v/>
      </c>
      <c r="AD199" s="41">
        <f>AC202</f>
        <v/>
      </c>
      <c r="AE199" s="41">
        <f>AD202</f>
        <v/>
      </c>
      <c r="AF199" s="41">
        <f>AE202</f>
        <v/>
      </c>
      <c r="AG199" s="41">
        <f>AF202</f>
        <v/>
      </c>
      <c r="AH199" s="41">
        <f>AG202</f>
        <v/>
      </c>
      <c r="AI199" s="41">
        <f>AH202</f>
        <v/>
      </c>
      <c r="AJ199" s="41">
        <f>AI202</f>
        <v/>
      </c>
      <c r="AK199" s="41">
        <f>AJ202</f>
        <v/>
      </c>
      <c r="AL199" s="41">
        <f>AK202</f>
        <v/>
      </c>
      <c r="AM199" s="41">
        <f>AL202</f>
        <v/>
      </c>
      <c r="AN199" s="41">
        <f>AM202</f>
        <v/>
      </c>
      <c r="AO199" s="41">
        <f>AN202</f>
        <v/>
      </c>
      <c r="AP199" s="41">
        <f>AO202</f>
        <v/>
      </c>
      <c r="AQ199" s="41">
        <f>AP202</f>
        <v/>
      </c>
      <c r="AR199" s="41">
        <f>AQ202</f>
        <v/>
      </c>
      <c r="AS199" s="41">
        <f>AR202</f>
        <v/>
      </c>
      <c r="AT199" s="41">
        <f>AS202</f>
        <v/>
      </c>
      <c r="AU199" s="41">
        <f>AT202</f>
        <v/>
      </c>
      <c r="AV199" s="41">
        <f>AU202</f>
        <v/>
      </c>
      <c r="AW199" s="41">
        <f>AV202</f>
        <v/>
      </c>
      <c r="AX199" s="41">
        <f>AW202</f>
        <v/>
      </c>
      <c r="AY199" s="41">
        <f>AX202</f>
        <v/>
      </c>
      <c r="AZ199" s="41">
        <f>AY202</f>
        <v/>
      </c>
      <c r="BA199" s="41">
        <f>AZ202</f>
        <v/>
      </c>
      <c r="BB199" s="41">
        <f>BA202</f>
        <v/>
      </c>
      <c r="BC199" s="41">
        <f>BB202</f>
        <v/>
      </c>
      <c r="BD199" s="41">
        <f>BC202</f>
        <v/>
      </c>
      <c r="BE199" s="41">
        <f>BD202</f>
        <v/>
      </c>
      <c r="BF199" s="41">
        <f>BE202</f>
        <v/>
      </c>
      <c r="BG199" s="41">
        <f>BF202</f>
        <v/>
      </c>
      <c r="BH199" s="41">
        <f>BG202</f>
        <v/>
      </c>
      <c r="BI199" s="41">
        <f>BH202</f>
        <v/>
      </c>
      <c r="BJ199" s="41">
        <f>BI202</f>
        <v/>
      </c>
    </row>
    <row r="200">
      <c r="A200" s="4" t="inlineStr">
        <is>
          <t>Kenya: Agency / partner: Agency tier: new</t>
        </is>
      </c>
      <c r="B200" s="17" t="inlineStr">
        <is>
          <t>workspaces</t>
        </is>
      </c>
      <c r="C200" s="41">
        <f>C128</f>
        <v/>
      </c>
      <c r="D200" s="41">
        <f>D128</f>
        <v/>
      </c>
      <c r="E200" s="41">
        <f>E128</f>
        <v/>
      </c>
      <c r="F200" s="41">
        <f>F128</f>
        <v/>
      </c>
      <c r="G200" s="41">
        <f>G128</f>
        <v/>
      </c>
      <c r="H200" s="41">
        <f>H128</f>
        <v/>
      </c>
      <c r="I200" s="41">
        <f>I128</f>
        <v/>
      </c>
      <c r="J200" s="41">
        <f>J128</f>
        <v/>
      </c>
      <c r="K200" s="41">
        <f>K128</f>
        <v/>
      </c>
      <c r="L200" s="41">
        <f>L128</f>
        <v/>
      </c>
      <c r="M200" s="41">
        <f>M128</f>
        <v/>
      </c>
      <c r="N200" s="41">
        <f>N128</f>
        <v/>
      </c>
      <c r="O200" s="41">
        <f>O128</f>
        <v/>
      </c>
      <c r="P200" s="41">
        <f>P128</f>
        <v/>
      </c>
      <c r="Q200" s="41">
        <f>Q128</f>
        <v/>
      </c>
      <c r="R200" s="41">
        <f>R128</f>
        <v/>
      </c>
      <c r="S200" s="41">
        <f>S128</f>
        <v/>
      </c>
      <c r="T200" s="41">
        <f>T128</f>
        <v/>
      </c>
      <c r="U200" s="41">
        <f>U128</f>
        <v/>
      </c>
      <c r="V200" s="41">
        <f>V128</f>
        <v/>
      </c>
      <c r="W200" s="41">
        <f>W128</f>
        <v/>
      </c>
      <c r="X200" s="41">
        <f>X128</f>
        <v/>
      </c>
      <c r="Y200" s="41">
        <f>Y128</f>
        <v/>
      </c>
      <c r="Z200" s="41">
        <f>Z128</f>
        <v/>
      </c>
      <c r="AA200" s="41">
        <f>AA128</f>
        <v/>
      </c>
      <c r="AB200" s="41">
        <f>AB128</f>
        <v/>
      </c>
      <c r="AC200" s="41">
        <f>AC128</f>
        <v/>
      </c>
      <c r="AD200" s="41">
        <f>AD128</f>
        <v/>
      </c>
      <c r="AE200" s="41">
        <f>AE128</f>
        <v/>
      </c>
      <c r="AF200" s="41">
        <f>AF128</f>
        <v/>
      </c>
      <c r="AG200" s="41">
        <f>AG128</f>
        <v/>
      </c>
      <c r="AH200" s="41">
        <f>AH128</f>
        <v/>
      </c>
      <c r="AI200" s="41">
        <f>AI128</f>
        <v/>
      </c>
      <c r="AJ200" s="41">
        <f>AJ128</f>
        <v/>
      </c>
      <c r="AK200" s="41">
        <f>AK128</f>
        <v/>
      </c>
      <c r="AL200" s="41">
        <f>AL128</f>
        <v/>
      </c>
      <c r="AM200" s="41">
        <f>AM128</f>
        <v/>
      </c>
      <c r="AN200" s="41">
        <f>AN128</f>
        <v/>
      </c>
      <c r="AO200" s="41">
        <f>AO128</f>
        <v/>
      </c>
      <c r="AP200" s="41">
        <f>AP128</f>
        <v/>
      </c>
      <c r="AQ200" s="41">
        <f>AQ128</f>
        <v/>
      </c>
      <c r="AR200" s="41">
        <f>AR128</f>
        <v/>
      </c>
      <c r="AS200" s="41">
        <f>AS128</f>
        <v/>
      </c>
      <c r="AT200" s="41">
        <f>AT128</f>
        <v/>
      </c>
      <c r="AU200" s="41">
        <f>AU128</f>
        <v/>
      </c>
      <c r="AV200" s="41">
        <f>AV128</f>
        <v/>
      </c>
      <c r="AW200" s="41">
        <f>AW128</f>
        <v/>
      </c>
      <c r="AX200" s="41">
        <f>AX128</f>
        <v/>
      </c>
      <c r="AY200" s="41">
        <f>AY128</f>
        <v/>
      </c>
      <c r="AZ200" s="41">
        <f>AZ128</f>
        <v/>
      </c>
      <c r="BA200" s="41">
        <f>BA128</f>
        <v/>
      </c>
      <c r="BB200" s="41">
        <f>BB128</f>
        <v/>
      </c>
      <c r="BC200" s="41">
        <f>BC128</f>
        <v/>
      </c>
      <c r="BD200" s="41">
        <f>BD128</f>
        <v/>
      </c>
      <c r="BE200" s="41">
        <f>BE128</f>
        <v/>
      </c>
      <c r="BF200" s="41">
        <f>BF128</f>
        <v/>
      </c>
      <c r="BG200" s="41">
        <f>BG128</f>
        <v/>
      </c>
      <c r="BH200" s="41">
        <f>BH128</f>
        <v/>
      </c>
      <c r="BI200" s="41">
        <f>BI128</f>
        <v/>
      </c>
      <c r="BJ200" s="41">
        <f>BJ128</f>
        <v/>
      </c>
    </row>
    <row r="201">
      <c r="A201" s="4" t="inlineStr">
        <is>
          <t>Kenya: Agency / partner: Agency tier: churned</t>
        </is>
      </c>
      <c r="B201" s="17" t="inlineStr">
        <is>
          <t>workspaces</t>
        </is>
      </c>
      <c r="C201" s="41">
        <f>C199*Assumptions!$B$136*Assumptions!$B$50*Assumptions!$B$35*Assumptions!$B$81</f>
        <v/>
      </c>
      <c r="D201" s="41">
        <f>D199*Assumptions!$B$136*Assumptions!$B$50*Assumptions!$B$35*Assumptions!$B$81</f>
        <v/>
      </c>
      <c r="E201" s="41">
        <f>E199*Assumptions!$B$136*Assumptions!$B$50*Assumptions!$B$35*Assumptions!$B$81</f>
        <v/>
      </c>
      <c r="F201" s="41">
        <f>F199*Assumptions!$B$136*Assumptions!$B$50*Assumptions!$B$35*Assumptions!$B$81</f>
        <v/>
      </c>
      <c r="G201" s="41">
        <f>G199*Assumptions!$B$136*Assumptions!$B$50*Assumptions!$B$35*Assumptions!$B$81</f>
        <v/>
      </c>
      <c r="H201" s="41">
        <f>H199*Assumptions!$B$136*Assumptions!$B$50*Assumptions!$B$35*Assumptions!$B$81</f>
        <v/>
      </c>
      <c r="I201" s="41">
        <f>I199*Assumptions!$B$136*Assumptions!$B$50*Assumptions!$B$35*Assumptions!$B$81</f>
        <v/>
      </c>
      <c r="J201" s="41">
        <f>J199*Assumptions!$B$136*Assumptions!$B$50*Assumptions!$B$35*Assumptions!$B$81</f>
        <v/>
      </c>
      <c r="K201" s="41">
        <f>K199*Assumptions!$B$136*Assumptions!$B$50*Assumptions!$B$35*Assumptions!$B$81</f>
        <v/>
      </c>
      <c r="L201" s="41">
        <f>L199*Assumptions!$B$136*Assumptions!$B$50*Assumptions!$B$35*Assumptions!$B$81</f>
        <v/>
      </c>
      <c r="M201" s="41">
        <f>M199*Assumptions!$B$136*Assumptions!$B$50*Assumptions!$B$35*Assumptions!$B$81</f>
        <v/>
      </c>
      <c r="N201" s="41">
        <f>N199*Assumptions!$B$136*Assumptions!$B$50*Assumptions!$B$35*Assumptions!$B$81</f>
        <v/>
      </c>
      <c r="O201" s="41">
        <f>O199*Assumptions!$B$136*Assumptions!$B$50*Assumptions!$B$35*Assumptions!$B$81</f>
        <v/>
      </c>
      <c r="P201" s="41">
        <f>P199*Assumptions!$B$136*Assumptions!$B$50*Assumptions!$B$35*Assumptions!$B$81</f>
        <v/>
      </c>
      <c r="Q201" s="41">
        <f>Q199*Assumptions!$B$136*Assumptions!$B$50*Assumptions!$B$35*Assumptions!$B$81</f>
        <v/>
      </c>
      <c r="R201" s="41">
        <f>R199*Assumptions!$B$136*Assumptions!$B$50*Assumptions!$B$35*Assumptions!$B$81</f>
        <v/>
      </c>
      <c r="S201" s="41">
        <f>S199*Assumptions!$B$136*Assumptions!$B$50*Assumptions!$B$35*Assumptions!$B$81</f>
        <v/>
      </c>
      <c r="T201" s="41">
        <f>T199*Assumptions!$B$136*Assumptions!$B$50*Assumptions!$B$35*Assumptions!$B$81</f>
        <v/>
      </c>
      <c r="U201" s="41">
        <f>U199*Assumptions!$B$136*Assumptions!$B$50*Assumptions!$B$35*Assumptions!$B$81</f>
        <v/>
      </c>
      <c r="V201" s="41">
        <f>V199*Assumptions!$B$136*Assumptions!$B$50*Assumptions!$B$35*Assumptions!$B$81</f>
        <v/>
      </c>
      <c r="W201" s="41">
        <f>W199*Assumptions!$B$136*Assumptions!$B$50*Assumptions!$B$35*Assumptions!$B$81</f>
        <v/>
      </c>
      <c r="X201" s="41">
        <f>X199*Assumptions!$B$136*Assumptions!$B$50*Assumptions!$B$35*Assumptions!$B$81</f>
        <v/>
      </c>
      <c r="Y201" s="41">
        <f>Y199*Assumptions!$B$136*Assumptions!$B$50*Assumptions!$B$35*Assumptions!$B$81</f>
        <v/>
      </c>
      <c r="Z201" s="41">
        <f>Z199*Assumptions!$B$136*Assumptions!$B$50*Assumptions!$B$35*Assumptions!$B$81</f>
        <v/>
      </c>
      <c r="AA201" s="41">
        <f>AA199*Assumptions!$B$136*Assumptions!$B$50*Assumptions!$B$35*Assumptions!$B$81</f>
        <v/>
      </c>
      <c r="AB201" s="41">
        <f>AB199*Assumptions!$B$136*Assumptions!$B$50*Assumptions!$B$35*Assumptions!$B$81</f>
        <v/>
      </c>
      <c r="AC201" s="41">
        <f>AC199*Assumptions!$B$136*Assumptions!$B$50*Assumptions!$B$35*Assumptions!$B$81</f>
        <v/>
      </c>
      <c r="AD201" s="41">
        <f>AD199*Assumptions!$B$136*Assumptions!$B$50*Assumptions!$B$35*Assumptions!$B$81</f>
        <v/>
      </c>
      <c r="AE201" s="41">
        <f>AE199*Assumptions!$B$136*Assumptions!$B$50*Assumptions!$B$35*Assumptions!$B$81</f>
        <v/>
      </c>
      <c r="AF201" s="41">
        <f>AF199*Assumptions!$B$136*Assumptions!$B$50*Assumptions!$B$35*Assumptions!$B$81</f>
        <v/>
      </c>
      <c r="AG201" s="41">
        <f>AG199*Assumptions!$B$136*Assumptions!$B$50*Assumptions!$B$35*Assumptions!$B$81</f>
        <v/>
      </c>
      <c r="AH201" s="41">
        <f>AH199*Assumptions!$B$136*Assumptions!$B$50*Assumptions!$B$35*Assumptions!$B$81</f>
        <v/>
      </c>
      <c r="AI201" s="41">
        <f>AI199*Assumptions!$B$136*Assumptions!$B$50*Assumptions!$B$35*Assumptions!$B$81</f>
        <v/>
      </c>
      <c r="AJ201" s="41">
        <f>AJ199*Assumptions!$B$136*Assumptions!$B$50*Assumptions!$B$35*Assumptions!$B$81</f>
        <v/>
      </c>
      <c r="AK201" s="41">
        <f>AK199*Assumptions!$B$136*Assumptions!$B$50*Assumptions!$B$35*Assumptions!$B$81</f>
        <v/>
      </c>
      <c r="AL201" s="41">
        <f>AL199*Assumptions!$B$136*Assumptions!$B$50*Assumptions!$B$35*Assumptions!$B$81</f>
        <v/>
      </c>
      <c r="AM201" s="41">
        <f>AM199*Assumptions!$B$136*Assumptions!$B$50*Assumptions!$B$35*Assumptions!$B$81</f>
        <v/>
      </c>
      <c r="AN201" s="41">
        <f>AN199*Assumptions!$B$136*Assumptions!$B$50*Assumptions!$B$35*Assumptions!$B$81</f>
        <v/>
      </c>
      <c r="AO201" s="41">
        <f>AO199*Assumptions!$B$136*Assumptions!$B$50*Assumptions!$B$35*Assumptions!$B$81</f>
        <v/>
      </c>
      <c r="AP201" s="41">
        <f>AP199*Assumptions!$B$136*Assumptions!$B$50*Assumptions!$B$35*Assumptions!$B$81</f>
        <v/>
      </c>
      <c r="AQ201" s="41">
        <f>AQ199*Assumptions!$B$136*Assumptions!$B$50*Assumptions!$B$35*Assumptions!$B$81</f>
        <v/>
      </c>
      <c r="AR201" s="41">
        <f>AR199*Assumptions!$B$136*Assumptions!$B$50*Assumptions!$B$35*Assumptions!$B$81</f>
        <v/>
      </c>
      <c r="AS201" s="41">
        <f>AS199*Assumptions!$B$136*Assumptions!$B$50*Assumptions!$B$35*Assumptions!$B$81</f>
        <v/>
      </c>
      <c r="AT201" s="41">
        <f>AT199*Assumptions!$B$136*Assumptions!$B$50*Assumptions!$B$35*Assumptions!$B$81</f>
        <v/>
      </c>
      <c r="AU201" s="41">
        <f>AU199*Assumptions!$B$136*Assumptions!$B$50*Assumptions!$B$35*Assumptions!$B$81</f>
        <v/>
      </c>
      <c r="AV201" s="41">
        <f>AV199*Assumptions!$B$136*Assumptions!$B$50*Assumptions!$B$35*Assumptions!$B$81</f>
        <v/>
      </c>
      <c r="AW201" s="41">
        <f>AW199*Assumptions!$B$136*Assumptions!$B$50*Assumptions!$B$35*Assumptions!$B$81</f>
        <v/>
      </c>
      <c r="AX201" s="41">
        <f>AX199*Assumptions!$B$136*Assumptions!$B$50*Assumptions!$B$35*Assumptions!$B$81</f>
        <v/>
      </c>
      <c r="AY201" s="41">
        <f>AY199*Assumptions!$B$136*Assumptions!$B$50*Assumptions!$B$35*Assumptions!$B$81</f>
        <v/>
      </c>
      <c r="AZ201" s="41">
        <f>AZ199*Assumptions!$B$136*Assumptions!$B$50*Assumptions!$B$35*Assumptions!$B$81</f>
        <v/>
      </c>
      <c r="BA201" s="41">
        <f>BA199*Assumptions!$B$136*Assumptions!$B$50*Assumptions!$B$35*Assumptions!$B$81</f>
        <v/>
      </c>
      <c r="BB201" s="41">
        <f>BB199*Assumptions!$B$136*Assumptions!$B$50*Assumptions!$B$35*Assumptions!$B$81</f>
        <v/>
      </c>
      <c r="BC201" s="41">
        <f>BC199*Assumptions!$B$136*Assumptions!$B$50*Assumptions!$B$35*Assumptions!$B$81</f>
        <v/>
      </c>
      <c r="BD201" s="41">
        <f>BD199*Assumptions!$B$136*Assumptions!$B$50*Assumptions!$B$35*Assumptions!$B$81</f>
        <v/>
      </c>
      <c r="BE201" s="41">
        <f>BE199*Assumptions!$B$136*Assumptions!$B$50*Assumptions!$B$35*Assumptions!$B$81</f>
        <v/>
      </c>
      <c r="BF201" s="41">
        <f>BF199*Assumptions!$B$136*Assumptions!$B$50*Assumptions!$B$35*Assumptions!$B$81</f>
        <v/>
      </c>
      <c r="BG201" s="41">
        <f>BG199*Assumptions!$B$136*Assumptions!$B$50*Assumptions!$B$35*Assumptions!$B$81</f>
        <v/>
      </c>
      <c r="BH201" s="41">
        <f>BH199*Assumptions!$B$136*Assumptions!$B$50*Assumptions!$B$35*Assumptions!$B$81</f>
        <v/>
      </c>
      <c r="BI201" s="41">
        <f>BI199*Assumptions!$B$136*Assumptions!$B$50*Assumptions!$B$35*Assumptions!$B$81</f>
        <v/>
      </c>
      <c r="BJ201" s="41">
        <f>BJ199*Assumptions!$B$136*Assumptions!$B$50*Assumptions!$B$35*Assumptions!$B$81</f>
        <v/>
      </c>
    </row>
    <row r="202">
      <c r="A202" s="3" t="inlineStr">
        <is>
          <t>Kenya: Agency / partner: Agency tier: closing</t>
        </is>
      </c>
      <c r="B202" s="17" t="inlineStr">
        <is>
          <t>workspaces</t>
        </is>
      </c>
      <c r="C202" s="44">
        <f>C199+C200-C201</f>
        <v/>
      </c>
      <c r="D202" s="44">
        <f>D199+D200-D201</f>
        <v/>
      </c>
      <c r="E202" s="44">
        <f>E199+E200-E201</f>
        <v/>
      </c>
      <c r="F202" s="44">
        <f>F199+F200-F201</f>
        <v/>
      </c>
      <c r="G202" s="44">
        <f>G199+G200-G201</f>
        <v/>
      </c>
      <c r="H202" s="44">
        <f>H199+H200-H201</f>
        <v/>
      </c>
      <c r="I202" s="44">
        <f>I199+I200-I201</f>
        <v/>
      </c>
      <c r="J202" s="44">
        <f>J199+J200-J201</f>
        <v/>
      </c>
      <c r="K202" s="44">
        <f>K199+K200-K201</f>
        <v/>
      </c>
      <c r="L202" s="44">
        <f>L199+L200-L201</f>
        <v/>
      </c>
      <c r="M202" s="44">
        <f>M199+M200-M201</f>
        <v/>
      </c>
      <c r="N202" s="44">
        <f>N199+N200-N201</f>
        <v/>
      </c>
      <c r="O202" s="44">
        <f>O199+O200-O201</f>
        <v/>
      </c>
      <c r="P202" s="44">
        <f>P199+P200-P201</f>
        <v/>
      </c>
      <c r="Q202" s="44">
        <f>Q199+Q200-Q201</f>
        <v/>
      </c>
      <c r="R202" s="44">
        <f>R199+R200-R201</f>
        <v/>
      </c>
      <c r="S202" s="44">
        <f>S199+S200-S201</f>
        <v/>
      </c>
      <c r="T202" s="44">
        <f>T199+T200-T201</f>
        <v/>
      </c>
      <c r="U202" s="44">
        <f>U199+U200-U201</f>
        <v/>
      </c>
      <c r="V202" s="44">
        <f>V199+V200-V201</f>
        <v/>
      </c>
      <c r="W202" s="44">
        <f>W199+W200-W201</f>
        <v/>
      </c>
      <c r="X202" s="44">
        <f>X199+X200-X201</f>
        <v/>
      </c>
      <c r="Y202" s="44">
        <f>Y199+Y200-Y201</f>
        <v/>
      </c>
      <c r="Z202" s="44">
        <f>Z199+Z200-Z201</f>
        <v/>
      </c>
      <c r="AA202" s="44">
        <f>AA199+AA200-AA201</f>
        <v/>
      </c>
      <c r="AB202" s="44">
        <f>AB199+AB200-AB201</f>
        <v/>
      </c>
      <c r="AC202" s="44">
        <f>AC199+AC200-AC201</f>
        <v/>
      </c>
      <c r="AD202" s="44">
        <f>AD199+AD200-AD201</f>
        <v/>
      </c>
      <c r="AE202" s="44">
        <f>AE199+AE200-AE201</f>
        <v/>
      </c>
      <c r="AF202" s="44">
        <f>AF199+AF200-AF201</f>
        <v/>
      </c>
      <c r="AG202" s="44">
        <f>AG199+AG200-AG201</f>
        <v/>
      </c>
      <c r="AH202" s="44">
        <f>AH199+AH200-AH201</f>
        <v/>
      </c>
      <c r="AI202" s="44">
        <f>AI199+AI200-AI201</f>
        <v/>
      </c>
      <c r="AJ202" s="44">
        <f>AJ199+AJ200-AJ201</f>
        <v/>
      </c>
      <c r="AK202" s="44">
        <f>AK199+AK200-AK201</f>
        <v/>
      </c>
      <c r="AL202" s="44">
        <f>AL199+AL200-AL201</f>
        <v/>
      </c>
      <c r="AM202" s="44">
        <f>AM199+AM200-AM201</f>
        <v/>
      </c>
      <c r="AN202" s="44">
        <f>AN199+AN200-AN201</f>
        <v/>
      </c>
      <c r="AO202" s="44">
        <f>AO199+AO200-AO201</f>
        <v/>
      </c>
      <c r="AP202" s="44">
        <f>AP199+AP200-AP201</f>
        <v/>
      </c>
      <c r="AQ202" s="44">
        <f>AQ199+AQ200-AQ201</f>
        <v/>
      </c>
      <c r="AR202" s="44">
        <f>AR199+AR200-AR201</f>
        <v/>
      </c>
      <c r="AS202" s="44">
        <f>AS199+AS200-AS201</f>
        <v/>
      </c>
      <c r="AT202" s="44">
        <f>AT199+AT200-AT201</f>
        <v/>
      </c>
      <c r="AU202" s="44">
        <f>AU199+AU200-AU201</f>
        <v/>
      </c>
      <c r="AV202" s="44">
        <f>AV199+AV200-AV201</f>
        <v/>
      </c>
      <c r="AW202" s="44">
        <f>AW199+AW200-AW201</f>
        <v/>
      </c>
      <c r="AX202" s="44">
        <f>AX199+AX200-AX201</f>
        <v/>
      </c>
      <c r="AY202" s="44">
        <f>AY199+AY200-AY201</f>
        <v/>
      </c>
      <c r="AZ202" s="44">
        <f>AZ199+AZ200-AZ201</f>
        <v/>
      </c>
      <c r="BA202" s="44">
        <f>BA199+BA200-BA201</f>
        <v/>
      </c>
      <c r="BB202" s="44">
        <f>BB199+BB200-BB201</f>
        <v/>
      </c>
      <c r="BC202" s="44">
        <f>BC199+BC200-BC201</f>
        <v/>
      </c>
      <c r="BD202" s="44">
        <f>BD199+BD200-BD201</f>
        <v/>
      </c>
      <c r="BE202" s="44">
        <f>BE199+BE200-BE201</f>
        <v/>
      </c>
      <c r="BF202" s="44">
        <f>BF199+BF200-BF201</f>
        <v/>
      </c>
      <c r="BG202" s="44">
        <f>BG199+BG200-BG201</f>
        <v/>
      </c>
      <c r="BH202" s="44">
        <f>BH199+BH200-BH201</f>
        <v/>
      </c>
      <c r="BI202" s="44">
        <f>BI199+BI200-BI201</f>
        <v/>
      </c>
      <c r="BJ202" s="44">
        <f>BJ199+BJ200-BJ201</f>
        <v/>
      </c>
    </row>
    <row r="203">
      <c r="A203" s="4" t="inlineStr">
        <is>
          <t>Ghana: Solo: Starter: opening</t>
        </is>
      </c>
      <c r="B203" s="17" t="inlineStr">
        <is>
          <t>workspaces</t>
        </is>
      </c>
      <c r="C203" s="41">
        <f>0</f>
        <v/>
      </c>
      <c r="D203" s="41">
        <f>C207</f>
        <v/>
      </c>
      <c r="E203" s="41">
        <f>D207</f>
        <v/>
      </c>
      <c r="F203" s="41">
        <f>E207</f>
        <v/>
      </c>
      <c r="G203" s="41">
        <f>F207</f>
        <v/>
      </c>
      <c r="H203" s="41">
        <f>G207</f>
        <v/>
      </c>
      <c r="I203" s="41">
        <f>H207</f>
        <v/>
      </c>
      <c r="J203" s="41">
        <f>I207</f>
        <v/>
      </c>
      <c r="K203" s="41">
        <f>J207</f>
        <v/>
      </c>
      <c r="L203" s="41">
        <f>K207</f>
        <v/>
      </c>
      <c r="M203" s="41">
        <f>L207</f>
        <v/>
      </c>
      <c r="N203" s="41">
        <f>M207</f>
        <v/>
      </c>
      <c r="O203" s="41">
        <f>N207</f>
        <v/>
      </c>
      <c r="P203" s="41">
        <f>O207</f>
        <v/>
      </c>
      <c r="Q203" s="41">
        <f>P207</f>
        <v/>
      </c>
      <c r="R203" s="41">
        <f>Q207</f>
        <v/>
      </c>
      <c r="S203" s="41">
        <f>R207</f>
        <v/>
      </c>
      <c r="T203" s="41">
        <f>S207</f>
        <v/>
      </c>
      <c r="U203" s="41">
        <f>T207</f>
        <v/>
      </c>
      <c r="V203" s="41">
        <f>U207</f>
        <v/>
      </c>
      <c r="W203" s="41">
        <f>V207</f>
        <v/>
      </c>
      <c r="X203" s="41">
        <f>W207</f>
        <v/>
      </c>
      <c r="Y203" s="41">
        <f>X207</f>
        <v/>
      </c>
      <c r="Z203" s="41">
        <f>Y207</f>
        <v/>
      </c>
      <c r="AA203" s="41">
        <f>Z207</f>
        <v/>
      </c>
      <c r="AB203" s="41">
        <f>AA207</f>
        <v/>
      </c>
      <c r="AC203" s="41">
        <f>AB207</f>
        <v/>
      </c>
      <c r="AD203" s="41">
        <f>AC207</f>
        <v/>
      </c>
      <c r="AE203" s="41">
        <f>AD207</f>
        <v/>
      </c>
      <c r="AF203" s="41">
        <f>AE207</f>
        <v/>
      </c>
      <c r="AG203" s="41">
        <f>AF207</f>
        <v/>
      </c>
      <c r="AH203" s="41">
        <f>AG207</f>
        <v/>
      </c>
      <c r="AI203" s="41">
        <f>AH207</f>
        <v/>
      </c>
      <c r="AJ203" s="41">
        <f>AI207</f>
        <v/>
      </c>
      <c r="AK203" s="41">
        <f>AJ207</f>
        <v/>
      </c>
      <c r="AL203" s="41">
        <f>AK207</f>
        <v/>
      </c>
      <c r="AM203" s="41">
        <f>AL207</f>
        <v/>
      </c>
      <c r="AN203" s="41">
        <f>AM207</f>
        <v/>
      </c>
      <c r="AO203" s="41">
        <f>AN207</f>
        <v/>
      </c>
      <c r="AP203" s="41">
        <f>AO207</f>
        <v/>
      </c>
      <c r="AQ203" s="41">
        <f>AP207</f>
        <v/>
      </c>
      <c r="AR203" s="41">
        <f>AQ207</f>
        <v/>
      </c>
      <c r="AS203" s="41">
        <f>AR207</f>
        <v/>
      </c>
      <c r="AT203" s="41">
        <f>AS207</f>
        <v/>
      </c>
      <c r="AU203" s="41">
        <f>AT207</f>
        <v/>
      </c>
      <c r="AV203" s="41">
        <f>AU207</f>
        <v/>
      </c>
      <c r="AW203" s="41">
        <f>AV207</f>
        <v/>
      </c>
      <c r="AX203" s="41">
        <f>AW207</f>
        <v/>
      </c>
      <c r="AY203" s="41">
        <f>AX207</f>
        <v/>
      </c>
      <c r="AZ203" s="41">
        <f>AY207</f>
        <v/>
      </c>
      <c r="BA203" s="41">
        <f>AZ207</f>
        <v/>
      </c>
      <c r="BB203" s="41">
        <f>BA207</f>
        <v/>
      </c>
      <c r="BC203" s="41">
        <f>BB207</f>
        <v/>
      </c>
      <c r="BD203" s="41">
        <f>BC207</f>
        <v/>
      </c>
      <c r="BE203" s="41">
        <f>BD207</f>
        <v/>
      </c>
      <c r="BF203" s="41">
        <f>BE207</f>
        <v/>
      </c>
      <c r="BG203" s="41">
        <f>BF207</f>
        <v/>
      </c>
      <c r="BH203" s="41">
        <f>BG207</f>
        <v/>
      </c>
      <c r="BI203" s="41">
        <f>BH207</f>
        <v/>
      </c>
      <c r="BJ203" s="41">
        <f>BI207</f>
        <v/>
      </c>
    </row>
    <row r="204">
      <c r="A204" s="4" t="inlineStr">
        <is>
          <t>Ghana: Solo: Starter: new</t>
        </is>
      </c>
      <c r="B204" s="17" t="inlineStr">
        <is>
          <t>workspaces</t>
        </is>
      </c>
      <c r="C204" s="41">
        <f>C119*(1-Assumptions!$B$125)</f>
        <v/>
      </c>
      <c r="D204" s="41">
        <f>D119*(1-Assumptions!$B$125)</f>
        <v/>
      </c>
      <c r="E204" s="41">
        <f>E119*(1-Assumptions!$B$125)</f>
        <v/>
      </c>
      <c r="F204" s="41">
        <f>F119*(1-Assumptions!$B$125)</f>
        <v/>
      </c>
      <c r="G204" s="41">
        <f>G119*(1-Assumptions!$B$125)</f>
        <v/>
      </c>
      <c r="H204" s="41">
        <f>H119*(1-Assumptions!$B$125)</f>
        <v/>
      </c>
      <c r="I204" s="41">
        <f>I119*(1-Assumptions!$B$125)</f>
        <v/>
      </c>
      <c r="J204" s="41">
        <f>J119*(1-Assumptions!$B$125)</f>
        <v/>
      </c>
      <c r="K204" s="41">
        <f>K119*(1-Assumptions!$B$125)</f>
        <v/>
      </c>
      <c r="L204" s="41">
        <f>L119*(1-Assumptions!$B$125)</f>
        <v/>
      </c>
      <c r="M204" s="41">
        <f>M119*(1-Assumptions!$B$125)</f>
        <v/>
      </c>
      <c r="N204" s="41">
        <f>N119*(1-Assumptions!$B$125)</f>
        <v/>
      </c>
      <c r="O204" s="41">
        <f>O119*(1-Assumptions!$B$125)</f>
        <v/>
      </c>
      <c r="P204" s="41">
        <f>P119*(1-Assumptions!$B$125)</f>
        <v/>
      </c>
      <c r="Q204" s="41">
        <f>Q119*(1-Assumptions!$B$125)</f>
        <v/>
      </c>
      <c r="R204" s="41">
        <f>R119*(1-Assumptions!$B$125)</f>
        <v/>
      </c>
      <c r="S204" s="41">
        <f>S119*(1-Assumptions!$B$125)</f>
        <v/>
      </c>
      <c r="T204" s="41">
        <f>T119*(1-Assumptions!$B$125)</f>
        <v/>
      </c>
      <c r="U204" s="41">
        <f>U119*(1-Assumptions!$B$125)</f>
        <v/>
      </c>
      <c r="V204" s="41">
        <f>V119*(1-Assumptions!$B$125)</f>
        <v/>
      </c>
      <c r="W204" s="41">
        <f>W119*(1-Assumptions!$B$125)</f>
        <v/>
      </c>
      <c r="X204" s="41">
        <f>X119*(1-Assumptions!$B$125)</f>
        <v/>
      </c>
      <c r="Y204" s="41">
        <f>Y119*(1-Assumptions!$B$125)</f>
        <v/>
      </c>
      <c r="Z204" s="41">
        <f>Z119*(1-Assumptions!$B$125)</f>
        <v/>
      </c>
      <c r="AA204" s="41">
        <f>AA119*(1-Assumptions!$B$125)</f>
        <v/>
      </c>
      <c r="AB204" s="41">
        <f>AB119*(1-Assumptions!$B$125)</f>
        <v/>
      </c>
      <c r="AC204" s="41">
        <f>AC119*(1-Assumptions!$B$125)</f>
        <v/>
      </c>
      <c r="AD204" s="41">
        <f>AD119*(1-Assumptions!$B$125)</f>
        <v/>
      </c>
      <c r="AE204" s="41">
        <f>AE119*(1-Assumptions!$B$125)</f>
        <v/>
      </c>
      <c r="AF204" s="41">
        <f>AF119*(1-Assumptions!$B$125)</f>
        <v/>
      </c>
      <c r="AG204" s="41">
        <f>AG119*(1-Assumptions!$B$125)</f>
        <v/>
      </c>
      <c r="AH204" s="41">
        <f>AH119*(1-Assumptions!$B$125)</f>
        <v/>
      </c>
      <c r="AI204" s="41">
        <f>AI119*(1-Assumptions!$B$125)</f>
        <v/>
      </c>
      <c r="AJ204" s="41">
        <f>AJ119*(1-Assumptions!$B$125)</f>
        <v/>
      </c>
      <c r="AK204" s="41">
        <f>AK119*(1-Assumptions!$B$125)</f>
        <v/>
      </c>
      <c r="AL204" s="41">
        <f>AL119*(1-Assumptions!$B$125)</f>
        <v/>
      </c>
      <c r="AM204" s="41">
        <f>AM119*(1-Assumptions!$B$125)</f>
        <v/>
      </c>
      <c r="AN204" s="41">
        <f>AN119*(1-Assumptions!$B$125)</f>
        <v/>
      </c>
      <c r="AO204" s="41">
        <f>AO119*(1-Assumptions!$B$125)</f>
        <v/>
      </c>
      <c r="AP204" s="41">
        <f>AP119*(1-Assumptions!$B$125)</f>
        <v/>
      </c>
      <c r="AQ204" s="41">
        <f>AQ119*(1-Assumptions!$B$125)</f>
        <v/>
      </c>
      <c r="AR204" s="41">
        <f>AR119*(1-Assumptions!$B$125)</f>
        <v/>
      </c>
      <c r="AS204" s="41">
        <f>AS119*(1-Assumptions!$B$125)</f>
        <v/>
      </c>
      <c r="AT204" s="41">
        <f>AT119*(1-Assumptions!$B$125)</f>
        <v/>
      </c>
      <c r="AU204" s="41">
        <f>AU119*(1-Assumptions!$B$125)</f>
        <v/>
      </c>
      <c r="AV204" s="41">
        <f>AV119*(1-Assumptions!$B$125)</f>
        <v/>
      </c>
      <c r="AW204" s="41">
        <f>AW119*(1-Assumptions!$B$125)</f>
        <v/>
      </c>
      <c r="AX204" s="41">
        <f>AX119*(1-Assumptions!$B$125)</f>
        <v/>
      </c>
      <c r="AY204" s="41">
        <f>AY119*(1-Assumptions!$B$125)</f>
        <v/>
      </c>
      <c r="AZ204" s="41">
        <f>AZ119*(1-Assumptions!$B$125)</f>
        <v/>
      </c>
      <c r="BA204" s="41">
        <f>BA119*(1-Assumptions!$B$125)</f>
        <v/>
      </c>
      <c r="BB204" s="41">
        <f>BB119*(1-Assumptions!$B$125)</f>
        <v/>
      </c>
      <c r="BC204" s="41">
        <f>BC119*(1-Assumptions!$B$125)</f>
        <v/>
      </c>
      <c r="BD204" s="41">
        <f>BD119*(1-Assumptions!$B$125)</f>
        <v/>
      </c>
      <c r="BE204" s="41">
        <f>BE119*(1-Assumptions!$B$125)</f>
        <v/>
      </c>
      <c r="BF204" s="41">
        <f>BF119*(1-Assumptions!$B$125)</f>
        <v/>
      </c>
      <c r="BG204" s="41">
        <f>BG119*(1-Assumptions!$B$125)</f>
        <v/>
      </c>
      <c r="BH204" s="41">
        <f>BH119*(1-Assumptions!$B$125)</f>
        <v/>
      </c>
      <c r="BI204" s="41">
        <f>BI119*(1-Assumptions!$B$125)</f>
        <v/>
      </c>
      <c r="BJ204" s="41">
        <f>BJ119*(1-Assumptions!$B$125)</f>
        <v/>
      </c>
    </row>
    <row r="205">
      <c r="A205" s="4" t="inlineStr">
        <is>
          <t>Ghana: Solo: Starter: churned</t>
        </is>
      </c>
      <c r="B205" s="17" t="inlineStr">
        <is>
          <t>workspaces</t>
        </is>
      </c>
      <c r="C205" s="41">
        <f>C203*Assumptions!$B$132*Assumptions!$B$50*Assumptions!$B$35*Assumptions!$B$91</f>
        <v/>
      </c>
      <c r="D205" s="41">
        <f>D203*Assumptions!$B$132*Assumptions!$B$50*Assumptions!$B$35*Assumptions!$B$91</f>
        <v/>
      </c>
      <c r="E205" s="41">
        <f>E203*Assumptions!$B$132*Assumptions!$B$50*Assumptions!$B$35*Assumptions!$B$91</f>
        <v/>
      </c>
      <c r="F205" s="41">
        <f>F203*Assumptions!$B$132*Assumptions!$B$50*Assumptions!$B$35*Assumptions!$B$91</f>
        <v/>
      </c>
      <c r="G205" s="41">
        <f>G203*Assumptions!$B$132*Assumptions!$B$50*Assumptions!$B$35*Assumptions!$B$91</f>
        <v/>
      </c>
      <c r="H205" s="41">
        <f>H203*Assumptions!$B$132*Assumptions!$B$50*Assumptions!$B$35*Assumptions!$B$91</f>
        <v/>
      </c>
      <c r="I205" s="41">
        <f>I203*Assumptions!$B$132*Assumptions!$B$50*Assumptions!$B$35*Assumptions!$B$91</f>
        <v/>
      </c>
      <c r="J205" s="41">
        <f>J203*Assumptions!$B$132*Assumptions!$B$50*Assumptions!$B$35*Assumptions!$B$91</f>
        <v/>
      </c>
      <c r="K205" s="41">
        <f>K203*Assumptions!$B$132*Assumptions!$B$50*Assumptions!$B$35*Assumptions!$B$91</f>
        <v/>
      </c>
      <c r="L205" s="41">
        <f>L203*Assumptions!$B$132*Assumptions!$B$50*Assumptions!$B$35*Assumptions!$B$91</f>
        <v/>
      </c>
      <c r="M205" s="41">
        <f>M203*Assumptions!$B$132*Assumptions!$B$50*Assumptions!$B$35*Assumptions!$B$91</f>
        <v/>
      </c>
      <c r="N205" s="41">
        <f>N203*Assumptions!$B$132*Assumptions!$B$50*Assumptions!$B$35*Assumptions!$B$91</f>
        <v/>
      </c>
      <c r="O205" s="41">
        <f>O203*Assumptions!$B$132*Assumptions!$B$50*Assumptions!$B$35*Assumptions!$B$91</f>
        <v/>
      </c>
      <c r="P205" s="41">
        <f>P203*Assumptions!$B$132*Assumptions!$B$50*Assumptions!$B$35*Assumptions!$B$91</f>
        <v/>
      </c>
      <c r="Q205" s="41">
        <f>Q203*Assumptions!$B$132*Assumptions!$B$50*Assumptions!$B$35*Assumptions!$B$91</f>
        <v/>
      </c>
      <c r="R205" s="41">
        <f>R203*Assumptions!$B$132*Assumptions!$B$50*Assumptions!$B$35*Assumptions!$B$91</f>
        <v/>
      </c>
      <c r="S205" s="41">
        <f>S203*Assumptions!$B$132*Assumptions!$B$50*Assumptions!$B$35*Assumptions!$B$91</f>
        <v/>
      </c>
      <c r="T205" s="41">
        <f>T203*Assumptions!$B$132*Assumptions!$B$50*Assumptions!$B$35*Assumptions!$B$91</f>
        <v/>
      </c>
      <c r="U205" s="41">
        <f>U203*Assumptions!$B$132*Assumptions!$B$50*Assumptions!$B$35*Assumptions!$B$91</f>
        <v/>
      </c>
      <c r="V205" s="41">
        <f>V203*Assumptions!$B$132*Assumptions!$B$50*Assumptions!$B$35*Assumptions!$B$91</f>
        <v/>
      </c>
      <c r="W205" s="41">
        <f>W203*Assumptions!$B$132*Assumptions!$B$50*Assumptions!$B$35*Assumptions!$B$91</f>
        <v/>
      </c>
      <c r="X205" s="41">
        <f>X203*Assumptions!$B$132*Assumptions!$B$50*Assumptions!$B$35*Assumptions!$B$91</f>
        <v/>
      </c>
      <c r="Y205" s="41">
        <f>Y203*Assumptions!$B$132*Assumptions!$B$50*Assumptions!$B$35*Assumptions!$B$91</f>
        <v/>
      </c>
      <c r="Z205" s="41">
        <f>Z203*Assumptions!$B$132*Assumptions!$B$50*Assumptions!$B$35*Assumptions!$B$91</f>
        <v/>
      </c>
      <c r="AA205" s="41">
        <f>AA203*Assumptions!$B$132*Assumptions!$B$50*Assumptions!$B$35*Assumptions!$B$91</f>
        <v/>
      </c>
      <c r="AB205" s="41">
        <f>AB203*Assumptions!$B$132*Assumptions!$B$50*Assumptions!$B$35*Assumptions!$B$91</f>
        <v/>
      </c>
      <c r="AC205" s="41">
        <f>AC203*Assumptions!$B$132*Assumptions!$B$50*Assumptions!$B$35*Assumptions!$B$91</f>
        <v/>
      </c>
      <c r="AD205" s="41">
        <f>AD203*Assumptions!$B$132*Assumptions!$B$50*Assumptions!$B$35*Assumptions!$B$91</f>
        <v/>
      </c>
      <c r="AE205" s="41">
        <f>AE203*Assumptions!$B$132*Assumptions!$B$50*Assumptions!$B$35*Assumptions!$B$91</f>
        <v/>
      </c>
      <c r="AF205" s="41">
        <f>AF203*Assumptions!$B$132*Assumptions!$B$50*Assumptions!$B$35*Assumptions!$B$91</f>
        <v/>
      </c>
      <c r="AG205" s="41">
        <f>AG203*Assumptions!$B$132*Assumptions!$B$50*Assumptions!$B$35*Assumptions!$B$91</f>
        <v/>
      </c>
      <c r="AH205" s="41">
        <f>AH203*Assumptions!$B$132*Assumptions!$B$50*Assumptions!$B$35*Assumptions!$B$91</f>
        <v/>
      </c>
      <c r="AI205" s="41">
        <f>AI203*Assumptions!$B$132*Assumptions!$B$50*Assumptions!$B$35*Assumptions!$B$91</f>
        <v/>
      </c>
      <c r="AJ205" s="41">
        <f>AJ203*Assumptions!$B$132*Assumptions!$B$50*Assumptions!$B$35*Assumptions!$B$91</f>
        <v/>
      </c>
      <c r="AK205" s="41">
        <f>AK203*Assumptions!$B$132*Assumptions!$B$50*Assumptions!$B$35*Assumptions!$B$91</f>
        <v/>
      </c>
      <c r="AL205" s="41">
        <f>AL203*Assumptions!$B$132*Assumptions!$B$50*Assumptions!$B$35*Assumptions!$B$91</f>
        <v/>
      </c>
      <c r="AM205" s="41">
        <f>AM203*Assumptions!$B$132*Assumptions!$B$50*Assumptions!$B$35*Assumptions!$B$91</f>
        <v/>
      </c>
      <c r="AN205" s="41">
        <f>AN203*Assumptions!$B$132*Assumptions!$B$50*Assumptions!$B$35*Assumptions!$B$91</f>
        <v/>
      </c>
      <c r="AO205" s="41">
        <f>AO203*Assumptions!$B$132*Assumptions!$B$50*Assumptions!$B$35*Assumptions!$B$91</f>
        <v/>
      </c>
      <c r="AP205" s="41">
        <f>AP203*Assumptions!$B$132*Assumptions!$B$50*Assumptions!$B$35*Assumptions!$B$91</f>
        <v/>
      </c>
      <c r="AQ205" s="41">
        <f>AQ203*Assumptions!$B$132*Assumptions!$B$50*Assumptions!$B$35*Assumptions!$B$91</f>
        <v/>
      </c>
      <c r="AR205" s="41">
        <f>AR203*Assumptions!$B$132*Assumptions!$B$50*Assumptions!$B$35*Assumptions!$B$91</f>
        <v/>
      </c>
      <c r="AS205" s="41">
        <f>AS203*Assumptions!$B$132*Assumptions!$B$50*Assumptions!$B$35*Assumptions!$B$91</f>
        <v/>
      </c>
      <c r="AT205" s="41">
        <f>AT203*Assumptions!$B$132*Assumptions!$B$50*Assumptions!$B$35*Assumptions!$B$91</f>
        <v/>
      </c>
      <c r="AU205" s="41">
        <f>AU203*Assumptions!$B$132*Assumptions!$B$50*Assumptions!$B$35*Assumptions!$B$91</f>
        <v/>
      </c>
      <c r="AV205" s="41">
        <f>AV203*Assumptions!$B$132*Assumptions!$B$50*Assumptions!$B$35*Assumptions!$B$91</f>
        <v/>
      </c>
      <c r="AW205" s="41">
        <f>AW203*Assumptions!$B$132*Assumptions!$B$50*Assumptions!$B$35*Assumptions!$B$91</f>
        <v/>
      </c>
      <c r="AX205" s="41">
        <f>AX203*Assumptions!$B$132*Assumptions!$B$50*Assumptions!$B$35*Assumptions!$B$91</f>
        <v/>
      </c>
      <c r="AY205" s="41">
        <f>AY203*Assumptions!$B$132*Assumptions!$B$50*Assumptions!$B$35*Assumptions!$B$91</f>
        <v/>
      </c>
      <c r="AZ205" s="41">
        <f>AZ203*Assumptions!$B$132*Assumptions!$B$50*Assumptions!$B$35*Assumptions!$B$91</f>
        <v/>
      </c>
      <c r="BA205" s="41">
        <f>BA203*Assumptions!$B$132*Assumptions!$B$50*Assumptions!$B$35*Assumptions!$B$91</f>
        <v/>
      </c>
      <c r="BB205" s="41">
        <f>BB203*Assumptions!$B$132*Assumptions!$B$50*Assumptions!$B$35*Assumptions!$B$91</f>
        <v/>
      </c>
      <c r="BC205" s="41">
        <f>BC203*Assumptions!$B$132*Assumptions!$B$50*Assumptions!$B$35*Assumptions!$B$91</f>
        <v/>
      </c>
      <c r="BD205" s="41">
        <f>BD203*Assumptions!$B$132*Assumptions!$B$50*Assumptions!$B$35*Assumptions!$B$91</f>
        <v/>
      </c>
      <c r="BE205" s="41">
        <f>BE203*Assumptions!$B$132*Assumptions!$B$50*Assumptions!$B$35*Assumptions!$B$91</f>
        <v/>
      </c>
      <c r="BF205" s="41">
        <f>BF203*Assumptions!$B$132*Assumptions!$B$50*Assumptions!$B$35*Assumptions!$B$91</f>
        <v/>
      </c>
      <c r="BG205" s="41">
        <f>BG203*Assumptions!$B$132*Assumptions!$B$50*Assumptions!$B$35*Assumptions!$B$91</f>
        <v/>
      </c>
      <c r="BH205" s="41">
        <f>BH203*Assumptions!$B$132*Assumptions!$B$50*Assumptions!$B$35*Assumptions!$B$91</f>
        <v/>
      </c>
      <c r="BI205" s="41">
        <f>BI203*Assumptions!$B$132*Assumptions!$B$50*Assumptions!$B$35*Assumptions!$B$91</f>
        <v/>
      </c>
      <c r="BJ205" s="41">
        <f>BJ203*Assumptions!$B$132*Assumptions!$B$50*Assumptions!$B$35*Assumptions!$B$91</f>
        <v/>
      </c>
    </row>
    <row r="206">
      <c r="A206" s="4" t="inlineStr">
        <is>
          <t>Ghana: Solo: Starter: upgraded out</t>
        </is>
      </c>
      <c r="B206" s="17" t="inlineStr">
        <is>
          <t>workspaces</t>
        </is>
      </c>
      <c r="C206" s="41">
        <f>C203*Assumptions!$B$127</f>
        <v/>
      </c>
      <c r="D206" s="41">
        <f>D203*Assumptions!$B$127</f>
        <v/>
      </c>
      <c r="E206" s="41">
        <f>E203*Assumptions!$B$127</f>
        <v/>
      </c>
      <c r="F206" s="41">
        <f>F203*Assumptions!$B$127</f>
        <v/>
      </c>
      <c r="G206" s="41">
        <f>G203*Assumptions!$B$127</f>
        <v/>
      </c>
      <c r="H206" s="41">
        <f>H203*Assumptions!$B$127</f>
        <v/>
      </c>
      <c r="I206" s="41">
        <f>I203*Assumptions!$B$127</f>
        <v/>
      </c>
      <c r="J206" s="41">
        <f>J203*Assumptions!$B$127</f>
        <v/>
      </c>
      <c r="K206" s="41">
        <f>K203*Assumptions!$B$127</f>
        <v/>
      </c>
      <c r="L206" s="41">
        <f>L203*Assumptions!$B$127</f>
        <v/>
      </c>
      <c r="M206" s="41">
        <f>M203*Assumptions!$B$127</f>
        <v/>
      </c>
      <c r="N206" s="41">
        <f>N203*Assumptions!$B$127</f>
        <v/>
      </c>
      <c r="O206" s="41">
        <f>O203*Assumptions!$B$127</f>
        <v/>
      </c>
      <c r="P206" s="41">
        <f>P203*Assumptions!$B$127</f>
        <v/>
      </c>
      <c r="Q206" s="41">
        <f>Q203*Assumptions!$B$127</f>
        <v/>
      </c>
      <c r="R206" s="41">
        <f>R203*Assumptions!$B$127</f>
        <v/>
      </c>
      <c r="S206" s="41">
        <f>S203*Assumptions!$B$127</f>
        <v/>
      </c>
      <c r="T206" s="41">
        <f>T203*Assumptions!$B$127</f>
        <v/>
      </c>
      <c r="U206" s="41">
        <f>U203*Assumptions!$B$127</f>
        <v/>
      </c>
      <c r="V206" s="41">
        <f>V203*Assumptions!$B$127</f>
        <v/>
      </c>
      <c r="W206" s="41">
        <f>W203*Assumptions!$B$127</f>
        <v/>
      </c>
      <c r="X206" s="41">
        <f>X203*Assumptions!$B$127</f>
        <v/>
      </c>
      <c r="Y206" s="41">
        <f>Y203*Assumptions!$B$127</f>
        <v/>
      </c>
      <c r="Z206" s="41">
        <f>Z203*Assumptions!$B$127</f>
        <v/>
      </c>
      <c r="AA206" s="41">
        <f>AA203*Assumptions!$B$127</f>
        <v/>
      </c>
      <c r="AB206" s="41">
        <f>AB203*Assumptions!$B$127</f>
        <v/>
      </c>
      <c r="AC206" s="41">
        <f>AC203*Assumptions!$B$127</f>
        <v/>
      </c>
      <c r="AD206" s="41">
        <f>AD203*Assumptions!$B$127</f>
        <v/>
      </c>
      <c r="AE206" s="41">
        <f>AE203*Assumptions!$B$127</f>
        <v/>
      </c>
      <c r="AF206" s="41">
        <f>AF203*Assumptions!$B$127</f>
        <v/>
      </c>
      <c r="AG206" s="41">
        <f>AG203*Assumptions!$B$127</f>
        <v/>
      </c>
      <c r="AH206" s="41">
        <f>AH203*Assumptions!$B$127</f>
        <v/>
      </c>
      <c r="AI206" s="41">
        <f>AI203*Assumptions!$B$127</f>
        <v/>
      </c>
      <c r="AJ206" s="41">
        <f>AJ203*Assumptions!$B$127</f>
        <v/>
      </c>
      <c r="AK206" s="41">
        <f>AK203*Assumptions!$B$127</f>
        <v/>
      </c>
      <c r="AL206" s="41">
        <f>AL203*Assumptions!$B$127</f>
        <v/>
      </c>
      <c r="AM206" s="41">
        <f>AM203*Assumptions!$B$127</f>
        <v/>
      </c>
      <c r="AN206" s="41">
        <f>AN203*Assumptions!$B$127</f>
        <v/>
      </c>
      <c r="AO206" s="41">
        <f>AO203*Assumptions!$B$127</f>
        <v/>
      </c>
      <c r="AP206" s="41">
        <f>AP203*Assumptions!$B$127</f>
        <v/>
      </c>
      <c r="AQ206" s="41">
        <f>AQ203*Assumptions!$B$127</f>
        <v/>
      </c>
      <c r="AR206" s="41">
        <f>AR203*Assumptions!$B$127</f>
        <v/>
      </c>
      <c r="AS206" s="41">
        <f>AS203*Assumptions!$B$127</f>
        <v/>
      </c>
      <c r="AT206" s="41">
        <f>AT203*Assumptions!$B$127</f>
        <v/>
      </c>
      <c r="AU206" s="41">
        <f>AU203*Assumptions!$B$127</f>
        <v/>
      </c>
      <c r="AV206" s="41">
        <f>AV203*Assumptions!$B$127</f>
        <v/>
      </c>
      <c r="AW206" s="41">
        <f>AW203*Assumptions!$B$127</f>
        <v/>
      </c>
      <c r="AX206" s="41">
        <f>AX203*Assumptions!$B$127</f>
        <v/>
      </c>
      <c r="AY206" s="41">
        <f>AY203*Assumptions!$B$127</f>
        <v/>
      </c>
      <c r="AZ206" s="41">
        <f>AZ203*Assumptions!$B$127</f>
        <v/>
      </c>
      <c r="BA206" s="41">
        <f>BA203*Assumptions!$B$127</f>
        <v/>
      </c>
      <c r="BB206" s="41">
        <f>BB203*Assumptions!$B$127</f>
        <v/>
      </c>
      <c r="BC206" s="41">
        <f>BC203*Assumptions!$B$127</f>
        <v/>
      </c>
      <c r="BD206" s="41">
        <f>BD203*Assumptions!$B$127</f>
        <v/>
      </c>
      <c r="BE206" s="41">
        <f>BE203*Assumptions!$B$127</f>
        <v/>
      </c>
      <c r="BF206" s="41">
        <f>BF203*Assumptions!$B$127</f>
        <v/>
      </c>
      <c r="BG206" s="41">
        <f>BG203*Assumptions!$B$127</f>
        <v/>
      </c>
      <c r="BH206" s="41">
        <f>BH203*Assumptions!$B$127</f>
        <v/>
      </c>
      <c r="BI206" s="41">
        <f>BI203*Assumptions!$B$127</f>
        <v/>
      </c>
      <c r="BJ206" s="41">
        <f>BJ203*Assumptions!$B$127</f>
        <v/>
      </c>
    </row>
    <row r="207">
      <c r="A207" s="3" t="inlineStr">
        <is>
          <t>Ghana: Solo: Starter: closing</t>
        </is>
      </c>
      <c r="B207" s="17" t="inlineStr">
        <is>
          <t>workspaces</t>
        </is>
      </c>
      <c r="C207" s="44">
        <f>C203+C204-C205-C206</f>
        <v/>
      </c>
      <c r="D207" s="44">
        <f>D203+D204-D205-D206</f>
        <v/>
      </c>
      <c r="E207" s="44">
        <f>E203+E204-E205-E206</f>
        <v/>
      </c>
      <c r="F207" s="44">
        <f>F203+F204-F205-F206</f>
        <v/>
      </c>
      <c r="G207" s="44">
        <f>G203+G204-G205-G206</f>
        <v/>
      </c>
      <c r="H207" s="44">
        <f>H203+H204-H205-H206</f>
        <v/>
      </c>
      <c r="I207" s="44">
        <f>I203+I204-I205-I206</f>
        <v/>
      </c>
      <c r="J207" s="44">
        <f>J203+J204-J205-J206</f>
        <v/>
      </c>
      <c r="K207" s="44">
        <f>K203+K204-K205-K206</f>
        <v/>
      </c>
      <c r="L207" s="44">
        <f>L203+L204-L205-L206</f>
        <v/>
      </c>
      <c r="M207" s="44">
        <f>M203+M204-M205-M206</f>
        <v/>
      </c>
      <c r="N207" s="44">
        <f>N203+N204-N205-N206</f>
        <v/>
      </c>
      <c r="O207" s="44">
        <f>O203+O204-O205-O206</f>
        <v/>
      </c>
      <c r="P207" s="44">
        <f>P203+P204-P205-P206</f>
        <v/>
      </c>
      <c r="Q207" s="44">
        <f>Q203+Q204-Q205-Q206</f>
        <v/>
      </c>
      <c r="R207" s="44">
        <f>R203+R204-R205-R206</f>
        <v/>
      </c>
      <c r="S207" s="44">
        <f>S203+S204-S205-S206</f>
        <v/>
      </c>
      <c r="T207" s="44">
        <f>T203+T204-T205-T206</f>
        <v/>
      </c>
      <c r="U207" s="44">
        <f>U203+U204-U205-U206</f>
        <v/>
      </c>
      <c r="V207" s="44">
        <f>V203+V204-V205-V206</f>
        <v/>
      </c>
      <c r="W207" s="44">
        <f>W203+W204-W205-W206</f>
        <v/>
      </c>
      <c r="X207" s="44">
        <f>X203+X204-X205-X206</f>
        <v/>
      </c>
      <c r="Y207" s="44">
        <f>Y203+Y204-Y205-Y206</f>
        <v/>
      </c>
      <c r="Z207" s="44">
        <f>Z203+Z204-Z205-Z206</f>
        <v/>
      </c>
      <c r="AA207" s="44">
        <f>AA203+AA204-AA205-AA206</f>
        <v/>
      </c>
      <c r="AB207" s="44">
        <f>AB203+AB204-AB205-AB206</f>
        <v/>
      </c>
      <c r="AC207" s="44">
        <f>AC203+AC204-AC205-AC206</f>
        <v/>
      </c>
      <c r="AD207" s="44">
        <f>AD203+AD204-AD205-AD206</f>
        <v/>
      </c>
      <c r="AE207" s="44">
        <f>AE203+AE204-AE205-AE206</f>
        <v/>
      </c>
      <c r="AF207" s="44">
        <f>AF203+AF204-AF205-AF206</f>
        <v/>
      </c>
      <c r="AG207" s="44">
        <f>AG203+AG204-AG205-AG206</f>
        <v/>
      </c>
      <c r="AH207" s="44">
        <f>AH203+AH204-AH205-AH206</f>
        <v/>
      </c>
      <c r="AI207" s="44">
        <f>AI203+AI204-AI205-AI206</f>
        <v/>
      </c>
      <c r="AJ207" s="44">
        <f>AJ203+AJ204-AJ205-AJ206</f>
        <v/>
      </c>
      <c r="AK207" s="44">
        <f>AK203+AK204-AK205-AK206</f>
        <v/>
      </c>
      <c r="AL207" s="44">
        <f>AL203+AL204-AL205-AL206</f>
        <v/>
      </c>
      <c r="AM207" s="44">
        <f>AM203+AM204-AM205-AM206</f>
        <v/>
      </c>
      <c r="AN207" s="44">
        <f>AN203+AN204-AN205-AN206</f>
        <v/>
      </c>
      <c r="AO207" s="44">
        <f>AO203+AO204-AO205-AO206</f>
        <v/>
      </c>
      <c r="AP207" s="44">
        <f>AP203+AP204-AP205-AP206</f>
        <v/>
      </c>
      <c r="AQ207" s="44">
        <f>AQ203+AQ204-AQ205-AQ206</f>
        <v/>
      </c>
      <c r="AR207" s="44">
        <f>AR203+AR204-AR205-AR206</f>
        <v/>
      </c>
      <c r="AS207" s="44">
        <f>AS203+AS204-AS205-AS206</f>
        <v/>
      </c>
      <c r="AT207" s="44">
        <f>AT203+AT204-AT205-AT206</f>
        <v/>
      </c>
      <c r="AU207" s="44">
        <f>AU203+AU204-AU205-AU206</f>
        <v/>
      </c>
      <c r="AV207" s="44">
        <f>AV203+AV204-AV205-AV206</f>
        <v/>
      </c>
      <c r="AW207" s="44">
        <f>AW203+AW204-AW205-AW206</f>
        <v/>
      </c>
      <c r="AX207" s="44">
        <f>AX203+AX204-AX205-AX206</f>
        <v/>
      </c>
      <c r="AY207" s="44">
        <f>AY203+AY204-AY205-AY206</f>
        <v/>
      </c>
      <c r="AZ207" s="44">
        <f>AZ203+AZ204-AZ205-AZ206</f>
        <v/>
      </c>
      <c r="BA207" s="44">
        <f>BA203+BA204-BA205-BA206</f>
        <v/>
      </c>
      <c r="BB207" s="44">
        <f>BB203+BB204-BB205-BB206</f>
        <v/>
      </c>
      <c r="BC207" s="44">
        <f>BC203+BC204-BC205-BC206</f>
        <v/>
      </c>
      <c r="BD207" s="44">
        <f>BD203+BD204-BD205-BD206</f>
        <v/>
      </c>
      <c r="BE207" s="44">
        <f>BE203+BE204-BE205-BE206</f>
        <v/>
      </c>
      <c r="BF207" s="44">
        <f>BF203+BF204-BF205-BF206</f>
        <v/>
      </c>
      <c r="BG207" s="44">
        <f>BG203+BG204-BG205-BG206</f>
        <v/>
      </c>
      <c r="BH207" s="44">
        <f>BH203+BH204-BH205-BH206</f>
        <v/>
      </c>
      <c r="BI207" s="44">
        <f>BI203+BI204-BI205-BI206</f>
        <v/>
      </c>
      <c r="BJ207" s="44">
        <f>BJ203+BJ204-BJ205-BJ206</f>
        <v/>
      </c>
    </row>
    <row r="208">
      <c r="A208" s="4" t="inlineStr">
        <is>
          <t>Ghana: Solo: Growth (upgraded or direct): opening</t>
        </is>
      </c>
      <c r="B208" s="17" t="inlineStr">
        <is>
          <t>workspaces</t>
        </is>
      </c>
      <c r="C208" s="41">
        <f>0</f>
        <v/>
      </c>
      <c r="D208" s="41">
        <f>C211</f>
        <v/>
      </c>
      <c r="E208" s="41">
        <f>D211</f>
        <v/>
      </c>
      <c r="F208" s="41">
        <f>E211</f>
        <v/>
      </c>
      <c r="G208" s="41">
        <f>F211</f>
        <v/>
      </c>
      <c r="H208" s="41">
        <f>G211</f>
        <v/>
      </c>
      <c r="I208" s="41">
        <f>H211</f>
        <v/>
      </c>
      <c r="J208" s="41">
        <f>I211</f>
        <v/>
      </c>
      <c r="K208" s="41">
        <f>J211</f>
        <v/>
      </c>
      <c r="L208" s="41">
        <f>K211</f>
        <v/>
      </c>
      <c r="M208" s="41">
        <f>L211</f>
        <v/>
      </c>
      <c r="N208" s="41">
        <f>M211</f>
        <v/>
      </c>
      <c r="O208" s="41">
        <f>N211</f>
        <v/>
      </c>
      <c r="P208" s="41">
        <f>O211</f>
        <v/>
      </c>
      <c r="Q208" s="41">
        <f>P211</f>
        <v/>
      </c>
      <c r="R208" s="41">
        <f>Q211</f>
        <v/>
      </c>
      <c r="S208" s="41">
        <f>R211</f>
        <v/>
      </c>
      <c r="T208" s="41">
        <f>S211</f>
        <v/>
      </c>
      <c r="U208" s="41">
        <f>T211</f>
        <v/>
      </c>
      <c r="V208" s="41">
        <f>U211</f>
        <v/>
      </c>
      <c r="W208" s="41">
        <f>V211</f>
        <v/>
      </c>
      <c r="X208" s="41">
        <f>W211</f>
        <v/>
      </c>
      <c r="Y208" s="41">
        <f>X211</f>
        <v/>
      </c>
      <c r="Z208" s="41">
        <f>Y211</f>
        <v/>
      </c>
      <c r="AA208" s="41">
        <f>Z211</f>
        <v/>
      </c>
      <c r="AB208" s="41">
        <f>AA211</f>
        <v/>
      </c>
      <c r="AC208" s="41">
        <f>AB211</f>
        <v/>
      </c>
      <c r="AD208" s="41">
        <f>AC211</f>
        <v/>
      </c>
      <c r="AE208" s="41">
        <f>AD211</f>
        <v/>
      </c>
      <c r="AF208" s="41">
        <f>AE211</f>
        <v/>
      </c>
      <c r="AG208" s="41">
        <f>AF211</f>
        <v/>
      </c>
      <c r="AH208" s="41">
        <f>AG211</f>
        <v/>
      </c>
      <c r="AI208" s="41">
        <f>AH211</f>
        <v/>
      </c>
      <c r="AJ208" s="41">
        <f>AI211</f>
        <v/>
      </c>
      <c r="AK208" s="41">
        <f>AJ211</f>
        <v/>
      </c>
      <c r="AL208" s="41">
        <f>AK211</f>
        <v/>
      </c>
      <c r="AM208" s="41">
        <f>AL211</f>
        <v/>
      </c>
      <c r="AN208" s="41">
        <f>AM211</f>
        <v/>
      </c>
      <c r="AO208" s="41">
        <f>AN211</f>
        <v/>
      </c>
      <c r="AP208" s="41">
        <f>AO211</f>
        <v/>
      </c>
      <c r="AQ208" s="41">
        <f>AP211</f>
        <v/>
      </c>
      <c r="AR208" s="41">
        <f>AQ211</f>
        <v/>
      </c>
      <c r="AS208" s="41">
        <f>AR211</f>
        <v/>
      </c>
      <c r="AT208" s="41">
        <f>AS211</f>
        <v/>
      </c>
      <c r="AU208" s="41">
        <f>AT211</f>
        <v/>
      </c>
      <c r="AV208" s="41">
        <f>AU211</f>
        <v/>
      </c>
      <c r="AW208" s="41">
        <f>AV211</f>
        <v/>
      </c>
      <c r="AX208" s="41">
        <f>AW211</f>
        <v/>
      </c>
      <c r="AY208" s="41">
        <f>AX211</f>
        <v/>
      </c>
      <c r="AZ208" s="41">
        <f>AY211</f>
        <v/>
      </c>
      <c r="BA208" s="41">
        <f>AZ211</f>
        <v/>
      </c>
      <c r="BB208" s="41">
        <f>BA211</f>
        <v/>
      </c>
      <c r="BC208" s="41">
        <f>BB211</f>
        <v/>
      </c>
      <c r="BD208" s="41">
        <f>BC211</f>
        <v/>
      </c>
      <c r="BE208" s="41">
        <f>BD211</f>
        <v/>
      </c>
      <c r="BF208" s="41">
        <f>BE211</f>
        <v/>
      </c>
      <c r="BG208" s="41">
        <f>BF211</f>
        <v/>
      </c>
      <c r="BH208" s="41">
        <f>BG211</f>
        <v/>
      </c>
      <c r="BI208" s="41">
        <f>BH211</f>
        <v/>
      </c>
      <c r="BJ208" s="41">
        <f>BI211</f>
        <v/>
      </c>
    </row>
    <row r="209">
      <c r="A209" s="4" t="inlineStr">
        <is>
          <t>Ghana: Solo: Growth (upgraded or direct): new</t>
        </is>
      </c>
      <c r="B209" s="17" t="inlineStr">
        <is>
          <t>workspaces</t>
        </is>
      </c>
      <c r="C209" s="41">
        <f>C119*Assumptions!$B$125+C206</f>
        <v/>
      </c>
      <c r="D209" s="41">
        <f>D119*Assumptions!$B$125+D206</f>
        <v/>
      </c>
      <c r="E209" s="41">
        <f>E119*Assumptions!$B$125+E206</f>
        <v/>
      </c>
      <c r="F209" s="41">
        <f>F119*Assumptions!$B$125+F206</f>
        <v/>
      </c>
      <c r="G209" s="41">
        <f>G119*Assumptions!$B$125+G206</f>
        <v/>
      </c>
      <c r="H209" s="41">
        <f>H119*Assumptions!$B$125+H206</f>
        <v/>
      </c>
      <c r="I209" s="41">
        <f>I119*Assumptions!$B$125+I206</f>
        <v/>
      </c>
      <c r="J209" s="41">
        <f>J119*Assumptions!$B$125+J206</f>
        <v/>
      </c>
      <c r="K209" s="41">
        <f>K119*Assumptions!$B$125+K206</f>
        <v/>
      </c>
      <c r="L209" s="41">
        <f>L119*Assumptions!$B$125+L206</f>
        <v/>
      </c>
      <c r="M209" s="41">
        <f>M119*Assumptions!$B$125+M206</f>
        <v/>
      </c>
      <c r="N209" s="41">
        <f>N119*Assumptions!$B$125+N206</f>
        <v/>
      </c>
      <c r="O209" s="41">
        <f>O119*Assumptions!$B$125+O206</f>
        <v/>
      </c>
      <c r="P209" s="41">
        <f>P119*Assumptions!$B$125+P206</f>
        <v/>
      </c>
      <c r="Q209" s="41">
        <f>Q119*Assumptions!$B$125+Q206</f>
        <v/>
      </c>
      <c r="R209" s="41">
        <f>R119*Assumptions!$B$125+R206</f>
        <v/>
      </c>
      <c r="S209" s="41">
        <f>S119*Assumptions!$B$125+S206</f>
        <v/>
      </c>
      <c r="T209" s="41">
        <f>T119*Assumptions!$B$125+T206</f>
        <v/>
      </c>
      <c r="U209" s="41">
        <f>U119*Assumptions!$B$125+U206</f>
        <v/>
      </c>
      <c r="V209" s="41">
        <f>V119*Assumptions!$B$125+V206</f>
        <v/>
      </c>
      <c r="W209" s="41">
        <f>W119*Assumptions!$B$125+W206</f>
        <v/>
      </c>
      <c r="X209" s="41">
        <f>X119*Assumptions!$B$125+X206</f>
        <v/>
      </c>
      <c r="Y209" s="41">
        <f>Y119*Assumptions!$B$125+Y206</f>
        <v/>
      </c>
      <c r="Z209" s="41">
        <f>Z119*Assumptions!$B$125+Z206</f>
        <v/>
      </c>
      <c r="AA209" s="41">
        <f>AA119*Assumptions!$B$125+AA206</f>
        <v/>
      </c>
      <c r="AB209" s="41">
        <f>AB119*Assumptions!$B$125+AB206</f>
        <v/>
      </c>
      <c r="AC209" s="41">
        <f>AC119*Assumptions!$B$125+AC206</f>
        <v/>
      </c>
      <c r="AD209" s="41">
        <f>AD119*Assumptions!$B$125+AD206</f>
        <v/>
      </c>
      <c r="AE209" s="41">
        <f>AE119*Assumptions!$B$125+AE206</f>
        <v/>
      </c>
      <c r="AF209" s="41">
        <f>AF119*Assumptions!$B$125+AF206</f>
        <v/>
      </c>
      <c r="AG209" s="41">
        <f>AG119*Assumptions!$B$125+AG206</f>
        <v/>
      </c>
      <c r="AH209" s="41">
        <f>AH119*Assumptions!$B$125+AH206</f>
        <v/>
      </c>
      <c r="AI209" s="41">
        <f>AI119*Assumptions!$B$125+AI206</f>
        <v/>
      </c>
      <c r="AJ209" s="41">
        <f>AJ119*Assumptions!$B$125+AJ206</f>
        <v/>
      </c>
      <c r="AK209" s="41">
        <f>AK119*Assumptions!$B$125+AK206</f>
        <v/>
      </c>
      <c r="AL209" s="41">
        <f>AL119*Assumptions!$B$125+AL206</f>
        <v/>
      </c>
      <c r="AM209" s="41">
        <f>AM119*Assumptions!$B$125+AM206</f>
        <v/>
      </c>
      <c r="AN209" s="41">
        <f>AN119*Assumptions!$B$125+AN206</f>
        <v/>
      </c>
      <c r="AO209" s="41">
        <f>AO119*Assumptions!$B$125+AO206</f>
        <v/>
      </c>
      <c r="AP209" s="41">
        <f>AP119*Assumptions!$B$125+AP206</f>
        <v/>
      </c>
      <c r="AQ209" s="41">
        <f>AQ119*Assumptions!$B$125+AQ206</f>
        <v/>
      </c>
      <c r="AR209" s="41">
        <f>AR119*Assumptions!$B$125+AR206</f>
        <v/>
      </c>
      <c r="AS209" s="41">
        <f>AS119*Assumptions!$B$125+AS206</f>
        <v/>
      </c>
      <c r="AT209" s="41">
        <f>AT119*Assumptions!$B$125+AT206</f>
        <v/>
      </c>
      <c r="AU209" s="41">
        <f>AU119*Assumptions!$B$125+AU206</f>
        <v/>
      </c>
      <c r="AV209" s="41">
        <f>AV119*Assumptions!$B$125+AV206</f>
        <v/>
      </c>
      <c r="AW209" s="41">
        <f>AW119*Assumptions!$B$125+AW206</f>
        <v/>
      </c>
      <c r="AX209" s="41">
        <f>AX119*Assumptions!$B$125+AX206</f>
        <v/>
      </c>
      <c r="AY209" s="41">
        <f>AY119*Assumptions!$B$125+AY206</f>
        <v/>
      </c>
      <c r="AZ209" s="41">
        <f>AZ119*Assumptions!$B$125+AZ206</f>
        <v/>
      </c>
      <c r="BA209" s="41">
        <f>BA119*Assumptions!$B$125+BA206</f>
        <v/>
      </c>
      <c r="BB209" s="41">
        <f>BB119*Assumptions!$B$125+BB206</f>
        <v/>
      </c>
      <c r="BC209" s="41">
        <f>BC119*Assumptions!$B$125+BC206</f>
        <v/>
      </c>
      <c r="BD209" s="41">
        <f>BD119*Assumptions!$B$125+BD206</f>
        <v/>
      </c>
      <c r="BE209" s="41">
        <f>BE119*Assumptions!$B$125+BE206</f>
        <v/>
      </c>
      <c r="BF209" s="41">
        <f>BF119*Assumptions!$B$125+BF206</f>
        <v/>
      </c>
      <c r="BG209" s="41">
        <f>BG119*Assumptions!$B$125+BG206</f>
        <v/>
      </c>
      <c r="BH209" s="41">
        <f>BH119*Assumptions!$B$125+BH206</f>
        <v/>
      </c>
      <c r="BI209" s="41">
        <f>BI119*Assumptions!$B$125+BI206</f>
        <v/>
      </c>
      <c r="BJ209" s="41">
        <f>BJ119*Assumptions!$B$125+BJ206</f>
        <v/>
      </c>
    </row>
    <row r="210">
      <c r="A210" s="4" t="inlineStr">
        <is>
          <t>Ghana: Solo: Growth (upgraded or direct): churned</t>
        </is>
      </c>
      <c r="B210" s="17" t="inlineStr">
        <is>
          <t>workspaces</t>
        </is>
      </c>
      <c r="C210" s="41">
        <f>C208*Assumptions!$B$133*Assumptions!$B$50*Assumptions!$B$35*Assumptions!$B$91</f>
        <v/>
      </c>
      <c r="D210" s="41">
        <f>D208*Assumptions!$B$133*Assumptions!$B$50*Assumptions!$B$35*Assumptions!$B$91</f>
        <v/>
      </c>
      <c r="E210" s="41">
        <f>E208*Assumptions!$B$133*Assumptions!$B$50*Assumptions!$B$35*Assumptions!$B$91</f>
        <v/>
      </c>
      <c r="F210" s="41">
        <f>F208*Assumptions!$B$133*Assumptions!$B$50*Assumptions!$B$35*Assumptions!$B$91</f>
        <v/>
      </c>
      <c r="G210" s="41">
        <f>G208*Assumptions!$B$133*Assumptions!$B$50*Assumptions!$B$35*Assumptions!$B$91</f>
        <v/>
      </c>
      <c r="H210" s="41">
        <f>H208*Assumptions!$B$133*Assumptions!$B$50*Assumptions!$B$35*Assumptions!$B$91</f>
        <v/>
      </c>
      <c r="I210" s="41">
        <f>I208*Assumptions!$B$133*Assumptions!$B$50*Assumptions!$B$35*Assumptions!$B$91</f>
        <v/>
      </c>
      <c r="J210" s="41">
        <f>J208*Assumptions!$B$133*Assumptions!$B$50*Assumptions!$B$35*Assumptions!$B$91</f>
        <v/>
      </c>
      <c r="K210" s="41">
        <f>K208*Assumptions!$B$133*Assumptions!$B$50*Assumptions!$B$35*Assumptions!$B$91</f>
        <v/>
      </c>
      <c r="L210" s="41">
        <f>L208*Assumptions!$B$133*Assumptions!$B$50*Assumptions!$B$35*Assumptions!$B$91</f>
        <v/>
      </c>
      <c r="M210" s="41">
        <f>M208*Assumptions!$B$133*Assumptions!$B$50*Assumptions!$B$35*Assumptions!$B$91</f>
        <v/>
      </c>
      <c r="N210" s="41">
        <f>N208*Assumptions!$B$133*Assumptions!$B$50*Assumptions!$B$35*Assumptions!$B$91</f>
        <v/>
      </c>
      <c r="O210" s="41">
        <f>O208*Assumptions!$B$133*Assumptions!$B$50*Assumptions!$B$35*Assumptions!$B$91</f>
        <v/>
      </c>
      <c r="P210" s="41">
        <f>P208*Assumptions!$B$133*Assumptions!$B$50*Assumptions!$B$35*Assumptions!$B$91</f>
        <v/>
      </c>
      <c r="Q210" s="41">
        <f>Q208*Assumptions!$B$133*Assumptions!$B$50*Assumptions!$B$35*Assumptions!$B$91</f>
        <v/>
      </c>
      <c r="R210" s="41">
        <f>R208*Assumptions!$B$133*Assumptions!$B$50*Assumptions!$B$35*Assumptions!$B$91</f>
        <v/>
      </c>
      <c r="S210" s="41">
        <f>S208*Assumptions!$B$133*Assumptions!$B$50*Assumptions!$B$35*Assumptions!$B$91</f>
        <v/>
      </c>
      <c r="T210" s="41">
        <f>T208*Assumptions!$B$133*Assumptions!$B$50*Assumptions!$B$35*Assumptions!$B$91</f>
        <v/>
      </c>
      <c r="U210" s="41">
        <f>U208*Assumptions!$B$133*Assumptions!$B$50*Assumptions!$B$35*Assumptions!$B$91</f>
        <v/>
      </c>
      <c r="V210" s="41">
        <f>V208*Assumptions!$B$133*Assumptions!$B$50*Assumptions!$B$35*Assumptions!$B$91</f>
        <v/>
      </c>
      <c r="W210" s="41">
        <f>W208*Assumptions!$B$133*Assumptions!$B$50*Assumptions!$B$35*Assumptions!$B$91</f>
        <v/>
      </c>
      <c r="X210" s="41">
        <f>X208*Assumptions!$B$133*Assumptions!$B$50*Assumptions!$B$35*Assumptions!$B$91</f>
        <v/>
      </c>
      <c r="Y210" s="41">
        <f>Y208*Assumptions!$B$133*Assumptions!$B$50*Assumptions!$B$35*Assumptions!$B$91</f>
        <v/>
      </c>
      <c r="Z210" s="41">
        <f>Z208*Assumptions!$B$133*Assumptions!$B$50*Assumptions!$B$35*Assumptions!$B$91</f>
        <v/>
      </c>
      <c r="AA210" s="41">
        <f>AA208*Assumptions!$B$133*Assumptions!$B$50*Assumptions!$B$35*Assumptions!$B$91</f>
        <v/>
      </c>
      <c r="AB210" s="41">
        <f>AB208*Assumptions!$B$133*Assumptions!$B$50*Assumptions!$B$35*Assumptions!$B$91</f>
        <v/>
      </c>
      <c r="AC210" s="41">
        <f>AC208*Assumptions!$B$133*Assumptions!$B$50*Assumptions!$B$35*Assumptions!$B$91</f>
        <v/>
      </c>
      <c r="AD210" s="41">
        <f>AD208*Assumptions!$B$133*Assumptions!$B$50*Assumptions!$B$35*Assumptions!$B$91</f>
        <v/>
      </c>
      <c r="AE210" s="41">
        <f>AE208*Assumptions!$B$133*Assumptions!$B$50*Assumptions!$B$35*Assumptions!$B$91</f>
        <v/>
      </c>
      <c r="AF210" s="41">
        <f>AF208*Assumptions!$B$133*Assumptions!$B$50*Assumptions!$B$35*Assumptions!$B$91</f>
        <v/>
      </c>
      <c r="AG210" s="41">
        <f>AG208*Assumptions!$B$133*Assumptions!$B$50*Assumptions!$B$35*Assumptions!$B$91</f>
        <v/>
      </c>
      <c r="AH210" s="41">
        <f>AH208*Assumptions!$B$133*Assumptions!$B$50*Assumptions!$B$35*Assumptions!$B$91</f>
        <v/>
      </c>
      <c r="AI210" s="41">
        <f>AI208*Assumptions!$B$133*Assumptions!$B$50*Assumptions!$B$35*Assumptions!$B$91</f>
        <v/>
      </c>
      <c r="AJ210" s="41">
        <f>AJ208*Assumptions!$B$133*Assumptions!$B$50*Assumptions!$B$35*Assumptions!$B$91</f>
        <v/>
      </c>
      <c r="AK210" s="41">
        <f>AK208*Assumptions!$B$133*Assumptions!$B$50*Assumptions!$B$35*Assumptions!$B$91</f>
        <v/>
      </c>
      <c r="AL210" s="41">
        <f>AL208*Assumptions!$B$133*Assumptions!$B$50*Assumptions!$B$35*Assumptions!$B$91</f>
        <v/>
      </c>
      <c r="AM210" s="41">
        <f>AM208*Assumptions!$B$133*Assumptions!$B$50*Assumptions!$B$35*Assumptions!$B$91</f>
        <v/>
      </c>
      <c r="AN210" s="41">
        <f>AN208*Assumptions!$B$133*Assumptions!$B$50*Assumptions!$B$35*Assumptions!$B$91</f>
        <v/>
      </c>
      <c r="AO210" s="41">
        <f>AO208*Assumptions!$B$133*Assumptions!$B$50*Assumptions!$B$35*Assumptions!$B$91</f>
        <v/>
      </c>
      <c r="AP210" s="41">
        <f>AP208*Assumptions!$B$133*Assumptions!$B$50*Assumptions!$B$35*Assumptions!$B$91</f>
        <v/>
      </c>
      <c r="AQ210" s="41">
        <f>AQ208*Assumptions!$B$133*Assumptions!$B$50*Assumptions!$B$35*Assumptions!$B$91</f>
        <v/>
      </c>
      <c r="AR210" s="41">
        <f>AR208*Assumptions!$B$133*Assumptions!$B$50*Assumptions!$B$35*Assumptions!$B$91</f>
        <v/>
      </c>
      <c r="AS210" s="41">
        <f>AS208*Assumptions!$B$133*Assumptions!$B$50*Assumptions!$B$35*Assumptions!$B$91</f>
        <v/>
      </c>
      <c r="AT210" s="41">
        <f>AT208*Assumptions!$B$133*Assumptions!$B$50*Assumptions!$B$35*Assumptions!$B$91</f>
        <v/>
      </c>
      <c r="AU210" s="41">
        <f>AU208*Assumptions!$B$133*Assumptions!$B$50*Assumptions!$B$35*Assumptions!$B$91</f>
        <v/>
      </c>
      <c r="AV210" s="41">
        <f>AV208*Assumptions!$B$133*Assumptions!$B$50*Assumptions!$B$35*Assumptions!$B$91</f>
        <v/>
      </c>
      <c r="AW210" s="41">
        <f>AW208*Assumptions!$B$133*Assumptions!$B$50*Assumptions!$B$35*Assumptions!$B$91</f>
        <v/>
      </c>
      <c r="AX210" s="41">
        <f>AX208*Assumptions!$B$133*Assumptions!$B$50*Assumptions!$B$35*Assumptions!$B$91</f>
        <v/>
      </c>
      <c r="AY210" s="41">
        <f>AY208*Assumptions!$B$133*Assumptions!$B$50*Assumptions!$B$35*Assumptions!$B$91</f>
        <v/>
      </c>
      <c r="AZ210" s="41">
        <f>AZ208*Assumptions!$B$133*Assumptions!$B$50*Assumptions!$B$35*Assumptions!$B$91</f>
        <v/>
      </c>
      <c r="BA210" s="41">
        <f>BA208*Assumptions!$B$133*Assumptions!$B$50*Assumptions!$B$35*Assumptions!$B$91</f>
        <v/>
      </c>
      <c r="BB210" s="41">
        <f>BB208*Assumptions!$B$133*Assumptions!$B$50*Assumptions!$B$35*Assumptions!$B$91</f>
        <v/>
      </c>
      <c r="BC210" s="41">
        <f>BC208*Assumptions!$B$133*Assumptions!$B$50*Assumptions!$B$35*Assumptions!$B$91</f>
        <v/>
      </c>
      <c r="BD210" s="41">
        <f>BD208*Assumptions!$B$133*Assumptions!$B$50*Assumptions!$B$35*Assumptions!$B$91</f>
        <v/>
      </c>
      <c r="BE210" s="41">
        <f>BE208*Assumptions!$B$133*Assumptions!$B$50*Assumptions!$B$35*Assumptions!$B$91</f>
        <v/>
      </c>
      <c r="BF210" s="41">
        <f>BF208*Assumptions!$B$133*Assumptions!$B$50*Assumptions!$B$35*Assumptions!$B$91</f>
        <v/>
      </c>
      <c r="BG210" s="41">
        <f>BG208*Assumptions!$B$133*Assumptions!$B$50*Assumptions!$B$35*Assumptions!$B$91</f>
        <v/>
      </c>
      <c r="BH210" s="41">
        <f>BH208*Assumptions!$B$133*Assumptions!$B$50*Assumptions!$B$35*Assumptions!$B$91</f>
        <v/>
      </c>
      <c r="BI210" s="41">
        <f>BI208*Assumptions!$B$133*Assumptions!$B$50*Assumptions!$B$35*Assumptions!$B$91</f>
        <v/>
      </c>
      <c r="BJ210" s="41">
        <f>BJ208*Assumptions!$B$133*Assumptions!$B$50*Assumptions!$B$35*Assumptions!$B$91</f>
        <v/>
      </c>
    </row>
    <row r="211">
      <c r="A211" s="3" t="inlineStr">
        <is>
          <t>Ghana: Solo: Growth (upgraded or direct): closing</t>
        </is>
      </c>
      <c r="B211" s="17" t="inlineStr">
        <is>
          <t>workspaces</t>
        </is>
      </c>
      <c r="C211" s="44">
        <f>C208+C209-C210</f>
        <v/>
      </c>
      <c r="D211" s="44">
        <f>D208+D209-D210</f>
        <v/>
      </c>
      <c r="E211" s="44">
        <f>E208+E209-E210</f>
        <v/>
      </c>
      <c r="F211" s="44">
        <f>F208+F209-F210</f>
        <v/>
      </c>
      <c r="G211" s="44">
        <f>G208+G209-G210</f>
        <v/>
      </c>
      <c r="H211" s="44">
        <f>H208+H209-H210</f>
        <v/>
      </c>
      <c r="I211" s="44">
        <f>I208+I209-I210</f>
        <v/>
      </c>
      <c r="J211" s="44">
        <f>J208+J209-J210</f>
        <v/>
      </c>
      <c r="K211" s="44">
        <f>K208+K209-K210</f>
        <v/>
      </c>
      <c r="L211" s="44">
        <f>L208+L209-L210</f>
        <v/>
      </c>
      <c r="M211" s="44">
        <f>M208+M209-M210</f>
        <v/>
      </c>
      <c r="N211" s="44">
        <f>N208+N209-N210</f>
        <v/>
      </c>
      <c r="O211" s="44">
        <f>O208+O209-O210</f>
        <v/>
      </c>
      <c r="P211" s="44">
        <f>P208+P209-P210</f>
        <v/>
      </c>
      <c r="Q211" s="44">
        <f>Q208+Q209-Q210</f>
        <v/>
      </c>
      <c r="R211" s="44">
        <f>R208+R209-R210</f>
        <v/>
      </c>
      <c r="S211" s="44">
        <f>S208+S209-S210</f>
        <v/>
      </c>
      <c r="T211" s="44">
        <f>T208+T209-T210</f>
        <v/>
      </c>
      <c r="U211" s="44">
        <f>U208+U209-U210</f>
        <v/>
      </c>
      <c r="V211" s="44">
        <f>V208+V209-V210</f>
        <v/>
      </c>
      <c r="W211" s="44">
        <f>W208+W209-W210</f>
        <v/>
      </c>
      <c r="X211" s="44">
        <f>X208+X209-X210</f>
        <v/>
      </c>
      <c r="Y211" s="44">
        <f>Y208+Y209-Y210</f>
        <v/>
      </c>
      <c r="Z211" s="44">
        <f>Z208+Z209-Z210</f>
        <v/>
      </c>
      <c r="AA211" s="44">
        <f>AA208+AA209-AA210</f>
        <v/>
      </c>
      <c r="AB211" s="44">
        <f>AB208+AB209-AB210</f>
        <v/>
      </c>
      <c r="AC211" s="44">
        <f>AC208+AC209-AC210</f>
        <v/>
      </c>
      <c r="AD211" s="44">
        <f>AD208+AD209-AD210</f>
        <v/>
      </c>
      <c r="AE211" s="44">
        <f>AE208+AE209-AE210</f>
        <v/>
      </c>
      <c r="AF211" s="44">
        <f>AF208+AF209-AF210</f>
        <v/>
      </c>
      <c r="AG211" s="44">
        <f>AG208+AG209-AG210</f>
        <v/>
      </c>
      <c r="AH211" s="44">
        <f>AH208+AH209-AH210</f>
        <v/>
      </c>
      <c r="AI211" s="44">
        <f>AI208+AI209-AI210</f>
        <v/>
      </c>
      <c r="AJ211" s="44">
        <f>AJ208+AJ209-AJ210</f>
        <v/>
      </c>
      <c r="AK211" s="44">
        <f>AK208+AK209-AK210</f>
        <v/>
      </c>
      <c r="AL211" s="44">
        <f>AL208+AL209-AL210</f>
        <v/>
      </c>
      <c r="AM211" s="44">
        <f>AM208+AM209-AM210</f>
        <v/>
      </c>
      <c r="AN211" s="44">
        <f>AN208+AN209-AN210</f>
        <v/>
      </c>
      <c r="AO211" s="44">
        <f>AO208+AO209-AO210</f>
        <v/>
      </c>
      <c r="AP211" s="44">
        <f>AP208+AP209-AP210</f>
        <v/>
      </c>
      <c r="AQ211" s="44">
        <f>AQ208+AQ209-AQ210</f>
        <v/>
      </c>
      <c r="AR211" s="44">
        <f>AR208+AR209-AR210</f>
        <v/>
      </c>
      <c r="AS211" s="44">
        <f>AS208+AS209-AS210</f>
        <v/>
      </c>
      <c r="AT211" s="44">
        <f>AT208+AT209-AT210</f>
        <v/>
      </c>
      <c r="AU211" s="44">
        <f>AU208+AU209-AU210</f>
        <v/>
      </c>
      <c r="AV211" s="44">
        <f>AV208+AV209-AV210</f>
        <v/>
      </c>
      <c r="AW211" s="44">
        <f>AW208+AW209-AW210</f>
        <v/>
      </c>
      <c r="AX211" s="44">
        <f>AX208+AX209-AX210</f>
        <v/>
      </c>
      <c r="AY211" s="44">
        <f>AY208+AY209-AY210</f>
        <v/>
      </c>
      <c r="AZ211" s="44">
        <f>AZ208+AZ209-AZ210</f>
        <v/>
      </c>
      <c r="BA211" s="44">
        <f>BA208+BA209-BA210</f>
        <v/>
      </c>
      <c r="BB211" s="44">
        <f>BB208+BB209-BB210</f>
        <v/>
      </c>
      <c r="BC211" s="44">
        <f>BC208+BC209-BC210</f>
        <v/>
      </c>
      <c r="BD211" s="44">
        <f>BD208+BD209-BD210</f>
        <v/>
      </c>
      <c r="BE211" s="44">
        <f>BE208+BE209-BE210</f>
        <v/>
      </c>
      <c r="BF211" s="44">
        <f>BF208+BF209-BF210</f>
        <v/>
      </c>
      <c r="BG211" s="44">
        <f>BG208+BG209-BG210</f>
        <v/>
      </c>
      <c r="BH211" s="44">
        <f>BH208+BH209-BH210</f>
        <v/>
      </c>
      <c r="BI211" s="44">
        <f>BI208+BI209-BI210</f>
        <v/>
      </c>
      <c r="BJ211" s="44">
        <f>BJ208+BJ209-BJ210</f>
        <v/>
      </c>
    </row>
    <row r="212">
      <c r="A212" s="4" t="inlineStr">
        <is>
          <t>Ghana: SME: Growth: opening</t>
        </is>
      </c>
      <c r="B212" s="17" t="inlineStr">
        <is>
          <t>workspaces</t>
        </is>
      </c>
      <c r="C212" s="41">
        <f>0</f>
        <v/>
      </c>
      <c r="D212" s="41">
        <f>C216</f>
        <v/>
      </c>
      <c r="E212" s="41">
        <f>D216</f>
        <v/>
      </c>
      <c r="F212" s="41">
        <f>E216</f>
        <v/>
      </c>
      <c r="G212" s="41">
        <f>F216</f>
        <v/>
      </c>
      <c r="H212" s="41">
        <f>G216</f>
        <v/>
      </c>
      <c r="I212" s="41">
        <f>H216</f>
        <v/>
      </c>
      <c r="J212" s="41">
        <f>I216</f>
        <v/>
      </c>
      <c r="K212" s="41">
        <f>J216</f>
        <v/>
      </c>
      <c r="L212" s="41">
        <f>K216</f>
        <v/>
      </c>
      <c r="M212" s="41">
        <f>L216</f>
        <v/>
      </c>
      <c r="N212" s="41">
        <f>M216</f>
        <v/>
      </c>
      <c r="O212" s="41">
        <f>N216</f>
        <v/>
      </c>
      <c r="P212" s="41">
        <f>O216</f>
        <v/>
      </c>
      <c r="Q212" s="41">
        <f>P216</f>
        <v/>
      </c>
      <c r="R212" s="41">
        <f>Q216</f>
        <v/>
      </c>
      <c r="S212" s="41">
        <f>R216</f>
        <v/>
      </c>
      <c r="T212" s="41">
        <f>S216</f>
        <v/>
      </c>
      <c r="U212" s="41">
        <f>T216</f>
        <v/>
      </c>
      <c r="V212" s="41">
        <f>U216</f>
        <v/>
      </c>
      <c r="W212" s="41">
        <f>V216</f>
        <v/>
      </c>
      <c r="X212" s="41">
        <f>W216</f>
        <v/>
      </c>
      <c r="Y212" s="41">
        <f>X216</f>
        <v/>
      </c>
      <c r="Z212" s="41">
        <f>Y216</f>
        <v/>
      </c>
      <c r="AA212" s="41">
        <f>Z216</f>
        <v/>
      </c>
      <c r="AB212" s="41">
        <f>AA216</f>
        <v/>
      </c>
      <c r="AC212" s="41">
        <f>AB216</f>
        <v/>
      </c>
      <c r="AD212" s="41">
        <f>AC216</f>
        <v/>
      </c>
      <c r="AE212" s="41">
        <f>AD216</f>
        <v/>
      </c>
      <c r="AF212" s="41">
        <f>AE216</f>
        <v/>
      </c>
      <c r="AG212" s="41">
        <f>AF216</f>
        <v/>
      </c>
      <c r="AH212" s="41">
        <f>AG216</f>
        <v/>
      </c>
      <c r="AI212" s="41">
        <f>AH216</f>
        <v/>
      </c>
      <c r="AJ212" s="41">
        <f>AI216</f>
        <v/>
      </c>
      <c r="AK212" s="41">
        <f>AJ216</f>
        <v/>
      </c>
      <c r="AL212" s="41">
        <f>AK216</f>
        <v/>
      </c>
      <c r="AM212" s="41">
        <f>AL216</f>
        <v/>
      </c>
      <c r="AN212" s="41">
        <f>AM216</f>
        <v/>
      </c>
      <c r="AO212" s="41">
        <f>AN216</f>
        <v/>
      </c>
      <c r="AP212" s="41">
        <f>AO216</f>
        <v/>
      </c>
      <c r="AQ212" s="41">
        <f>AP216</f>
        <v/>
      </c>
      <c r="AR212" s="41">
        <f>AQ216</f>
        <v/>
      </c>
      <c r="AS212" s="41">
        <f>AR216</f>
        <v/>
      </c>
      <c r="AT212" s="41">
        <f>AS216</f>
        <v/>
      </c>
      <c r="AU212" s="41">
        <f>AT216</f>
        <v/>
      </c>
      <c r="AV212" s="41">
        <f>AU216</f>
        <v/>
      </c>
      <c r="AW212" s="41">
        <f>AV216</f>
        <v/>
      </c>
      <c r="AX212" s="41">
        <f>AW216</f>
        <v/>
      </c>
      <c r="AY212" s="41">
        <f>AX216</f>
        <v/>
      </c>
      <c r="AZ212" s="41">
        <f>AY216</f>
        <v/>
      </c>
      <c r="BA212" s="41">
        <f>AZ216</f>
        <v/>
      </c>
      <c r="BB212" s="41">
        <f>BA216</f>
        <v/>
      </c>
      <c r="BC212" s="41">
        <f>BB216</f>
        <v/>
      </c>
      <c r="BD212" s="41">
        <f>BC216</f>
        <v/>
      </c>
      <c r="BE212" s="41">
        <f>BD216</f>
        <v/>
      </c>
      <c r="BF212" s="41">
        <f>BE216</f>
        <v/>
      </c>
      <c r="BG212" s="41">
        <f>BF216</f>
        <v/>
      </c>
      <c r="BH212" s="41">
        <f>BG216</f>
        <v/>
      </c>
      <c r="BI212" s="41">
        <f>BH216</f>
        <v/>
      </c>
      <c r="BJ212" s="41">
        <f>BI216</f>
        <v/>
      </c>
    </row>
    <row r="213">
      <c r="A213" s="4" t="inlineStr">
        <is>
          <t>Ghana: SME: Growth: new</t>
        </is>
      </c>
      <c r="B213" s="17" t="inlineStr">
        <is>
          <t>workspaces</t>
        </is>
      </c>
      <c r="C213" s="41">
        <f>C120*(1-Assumptions!$B$126)</f>
        <v/>
      </c>
      <c r="D213" s="41">
        <f>D120*(1-Assumptions!$B$126)</f>
        <v/>
      </c>
      <c r="E213" s="41">
        <f>E120*(1-Assumptions!$B$126)</f>
        <v/>
      </c>
      <c r="F213" s="41">
        <f>F120*(1-Assumptions!$B$126)</f>
        <v/>
      </c>
      <c r="G213" s="41">
        <f>G120*(1-Assumptions!$B$126)</f>
        <v/>
      </c>
      <c r="H213" s="41">
        <f>H120*(1-Assumptions!$B$126)</f>
        <v/>
      </c>
      <c r="I213" s="41">
        <f>I120*(1-Assumptions!$B$126)</f>
        <v/>
      </c>
      <c r="J213" s="41">
        <f>J120*(1-Assumptions!$B$126)</f>
        <v/>
      </c>
      <c r="K213" s="41">
        <f>K120*(1-Assumptions!$B$126)</f>
        <v/>
      </c>
      <c r="L213" s="41">
        <f>L120*(1-Assumptions!$B$126)</f>
        <v/>
      </c>
      <c r="M213" s="41">
        <f>M120*(1-Assumptions!$B$126)</f>
        <v/>
      </c>
      <c r="N213" s="41">
        <f>N120*(1-Assumptions!$B$126)</f>
        <v/>
      </c>
      <c r="O213" s="41">
        <f>O120*(1-Assumptions!$B$126)</f>
        <v/>
      </c>
      <c r="P213" s="41">
        <f>P120*(1-Assumptions!$B$126)</f>
        <v/>
      </c>
      <c r="Q213" s="41">
        <f>Q120*(1-Assumptions!$B$126)</f>
        <v/>
      </c>
      <c r="R213" s="41">
        <f>R120*(1-Assumptions!$B$126)</f>
        <v/>
      </c>
      <c r="S213" s="41">
        <f>S120*(1-Assumptions!$B$126)</f>
        <v/>
      </c>
      <c r="T213" s="41">
        <f>T120*(1-Assumptions!$B$126)</f>
        <v/>
      </c>
      <c r="U213" s="41">
        <f>U120*(1-Assumptions!$B$126)</f>
        <v/>
      </c>
      <c r="V213" s="41">
        <f>V120*(1-Assumptions!$B$126)</f>
        <v/>
      </c>
      <c r="W213" s="41">
        <f>W120*(1-Assumptions!$B$126)</f>
        <v/>
      </c>
      <c r="X213" s="41">
        <f>X120*(1-Assumptions!$B$126)</f>
        <v/>
      </c>
      <c r="Y213" s="41">
        <f>Y120*(1-Assumptions!$B$126)</f>
        <v/>
      </c>
      <c r="Z213" s="41">
        <f>Z120*(1-Assumptions!$B$126)</f>
        <v/>
      </c>
      <c r="AA213" s="41">
        <f>AA120*(1-Assumptions!$B$126)</f>
        <v/>
      </c>
      <c r="AB213" s="41">
        <f>AB120*(1-Assumptions!$B$126)</f>
        <v/>
      </c>
      <c r="AC213" s="41">
        <f>AC120*(1-Assumptions!$B$126)</f>
        <v/>
      </c>
      <c r="AD213" s="41">
        <f>AD120*(1-Assumptions!$B$126)</f>
        <v/>
      </c>
      <c r="AE213" s="41">
        <f>AE120*(1-Assumptions!$B$126)</f>
        <v/>
      </c>
      <c r="AF213" s="41">
        <f>AF120*(1-Assumptions!$B$126)</f>
        <v/>
      </c>
      <c r="AG213" s="41">
        <f>AG120*(1-Assumptions!$B$126)</f>
        <v/>
      </c>
      <c r="AH213" s="41">
        <f>AH120*(1-Assumptions!$B$126)</f>
        <v/>
      </c>
      <c r="AI213" s="41">
        <f>AI120*(1-Assumptions!$B$126)</f>
        <v/>
      </c>
      <c r="AJ213" s="41">
        <f>AJ120*(1-Assumptions!$B$126)</f>
        <v/>
      </c>
      <c r="AK213" s="41">
        <f>AK120*(1-Assumptions!$B$126)</f>
        <v/>
      </c>
      <c r="AL213" s="41">
        <f>AL120*(1-Assumptions!$B$126)</f>
        <v/>
      </c>
      <c r="AM213" s="41">
        <f>AM120*(1-Assumptions!$B$126)</f>
        <v/>
      </c>
      <c r="AN213" s="41">
        <f>AN120*(1-Assumptions!$B$126)</f>
        <v/>
      </c>
      <c r="AO213" s="41">
        <f>AO120*(1-Assumptions!$B$126)</f>
        <v/>
      </c>
      <c r="AP213" s="41">
        <f>AP120*(1-Assumptions!$B$126)</f>
        <v/>
      </c>
      <c r="AQ213" s="41">
        <f>AQ120*(1-Assumptions!$B$126)</f>
        <v/>
      </c>
      <c r="AR213" s="41">
        <f>AR120*(1-Assumptions!$B$126)</f>
        <v/>
      </c>
      <c r="AS213" s="41">
        <f>AS120*(1-Assumptions!$B$126)</f>
        <v/>
      </c>
      <c r="AT213" s="41">
        <f>AT120*(1-Assumptions!$B$126)</f>
        <v/>
      </c>
      <c r="AU213" s="41">
        <f>AU120*(1-Assumptions!$B$126)</f>
        <v/>
      </c>
      <c r="AV213" s="41">
        <f>AV120*(1-Assumptions!$B$126)</f>
        <v/>
      </c>
      <c r="AW213" s="41">
        <f>AW120*(1-Assumptions!$B$126)</f>
        <v/>
      </c>
      <c r="AX213" s="41">
        <f>AX120*(1-Assumptions!$B$126)</f>
        <v/>
      </c>
      <c r="AY213" s="41">
        <f>AY120*(1-Assumptions!$B$126)</f>
        <v/>
      </c>
      <c r="AZ213" s="41">
        <f>AZ120*(1-Assumptions!$B$126)</f>
        <v/>
      </c>
      <c r="BA213" s="41">
        <f>BA120*(1-Assumptions!$B$126)</f>
        <v/>
      </c>
      <c r="BB213" s="41">
        <f>BB120*(1-Assumptions!$B$126)</f>
        <v/>
      </c>
      <c r="BC213" s="41">
        <f>BC120*(1-Assumptions!$B$126)</f>
        <v/>
      </c>
      <c r="BD213" s="41">
        <f>BD120*(1-Assumptions!$B$126)</f>
        <v/>
      </c>
      <c r="BE213" s="41">
        <f>BE120*(1-Assumptions!$B$126)</f>
        <v/>
      </c>
      <c r="BF213" s="41">
        <f>BF120*(1-Assumptions!$B$126)</f>
        <v/>
      </c>
      <c r="BG213" s="41">
        <f>BG120*(1-Assumptions!$B$126)</f>
        <v/>
      </c>
      <c r="BH213" s="41">
        <f>BH120*(1-Assumptions!$B$126)</f>
        <v/>
      </c>
      <c r="BI213" s="41">
        <f>BI120*(1-Assumptions!$B$126)</f>
        <v/>
      </c>
      <c r="BJ213" s="41">
        <f>BJ120*(1-Assumptions!$B$126)</f>
        <v/>
      </c>
    </row>
    <row r="214">
      <c r="A214" s="4" t="inlineStr">
        <is>
          <t>Ghana: SME: Growth: churned</t>
        </is>
      </c>
      <c r="B214" s="17" t="inlineStr">
        <is>
          <t>workspaces</t>
        </is>
      </c>
      <c r="C214" s="41">
        <f>C212*Assumptions!$B$134*Assumptions!$B$50*Assumptions!$B$35*Assumptions!$B$91</f>
        <v/>
      </c>
      <c r="D214" s="41">
        <f>D212*Assumptions!$B$134*Assumptions!$B$50*Assumptions!$B$35*Assumptions!$B$91</f>
        <v/>
      </c>
      <c r="E214" s="41">
        <f>E212*Assumptions!$B$134*Assumptions!$B$50*Assumptions!$B$35*Assumptions!$B$91</f>
        <v/>
      </c>
      <c r="F214" s="41">
        <f>F212*Assumptions!$B$134*Assumptions!$B$50*Assumptions!$B$35*Assumptions!$B$91</f>
        <v/>
      </c>
      <c r="G214" s="41">
        <f>G212*Assumptions!$B$134*Assumptions!$B$50*Assumptions!$B$35*Assumptions!$B$91</f>
        <v/>
      </c>
      <c r="H214" s="41">
        <f>H212*Assumptions!$B$134*Assumptions!$B$50*Assumptions!$B$35*Assumptions!$B$91</f>
        <v/>
      </c>
      <c r="I214" s="41">
        <f>I212*Assumptions!$B$134*Assumptions!$B$50*Assumptions!$B$35*Assumptions!$B$91</f>
        <v/>
      </c>
      <c r="J214" s="41">
        <f>J212*Assumptions!$B$134*Assumptions!$B$50*Assumptions!$B$35*Assumptions!$B$91</f>
        <v/>
      </c>
      <c r="K214" s="41">
        <f>K212*Assumptions!$B$134*Assumptions!$B$50*Assumptions!$B$35*Assumptions!$B$91</f>
        <v/>
      </c>
      <c r="L214" s="41">
        <f>L212*Assumptions!$B$134*Assumptions!$B$50*Assumptions!$B$35*Assumptions!$B$91</f>
        <v/>
      </c>
      <c r="M214" s="41">
        <f>M212*Assumptions!$B$134*Assumptions!$B$50*Assumptions!$B$35*Assumptions!$B$91</f>
        <v/>
      </c>
      <c r="N214" s="41">
        <f>N212*Assumptions!$B$134*Assumptions!$B$50*Assumptions!$B$35*Assumptions!$B$91</f>
        <v/>
      </c>
      <c r="O214" s="41">
        <f>O212*Assumptions!$B$134*Assumptions!$B$50*Assumptions!$B$35*Assumptions!$B$91</f>
        <v/>
      </c>
      <c r="P214" s="41">
        <f>P212*Assumptions!$B$134*Assumptions!$B$50*Assumptions!$B$35*Assumptions!$B$91</f>
        <v/>
      </c>
      <c r="Q214" s="41">
        <f>Q212*Assumptions!$B$134*Assumptions!$B$50*Assumptions!$B$35*Assumptions!$B$91</f>
        <v/>
      </c>
      <c r="R214" s="41">
        <f>R212*Assumptions!$B$134*Assumptions!$B$50*Assumptions!$B$35*Assumptions!$B$91</f>
        <v/>
      </c>
      <c r="S214" s="41">
        <f>S212*Assumptions!$B$134*Assumptions!$B$50*Assumptions!$B$35*Assumptions!$B$91</f>
        <v/>
      </c>
      <c r="T214" s="41">
        <f>T212*Assumptions!$B$134*Assumptions!$B$50*Assumptions!$B$35*Assumptions!$B$91</f>
        <v/>
      </c>
      <c r="U214" s="41">
        <f>U212*Assumptions!$B$134*Assumptions!$B$50*Assumptions!$B$35*Assumptions!$B$91</f>
        <v/>
      </c>
      <c r="V214" s="41">
        <f>V212*Assumptions!$B$134*Assumptions!$B$50*Assumptions!$B$35*Assumptions!$B$91</f>
        <v/>
      </c>
      <c r="W214" s="41">
        <f>W212*Assumptions!$B$134*Assumptions!$B$50*Assumptions!$B$35*Assumptions!$B$91</f>
        <v/>
      </c>
      <c r="X214" s="41">
        <f>X212*Assumptions!$B$134*Assumptions!$B$50*Assumptions!$B$35*Assumptions!$B$91</f>
        <v/>
      </c>
      <c r="Y214" s="41">
        <f>Y212*Assumptions!$B$134*Assumptions!$B$50*Assumptions!$B$35*Assumptions!$B$91</f>
        <v/>
      </c>
      <c r="Z214" s="41">
        <f>Z212*Assumptions!$B$134*Assumptions!$B$50*Assumptions!$B$35*Assumptions!$B$91</f>
        <v/>
      </c>
      <c r="AA214" s="41">
        <f>AA212*Assumptions!$B$134*Assumptions!$B$50*Assumptions!$B$35*Assumptions!$B$91</f>
        <v/>
      </c>
      <c r="AB214" s="41">
        <f>AB212*Assumptions!$B$134*Assumptions!$B$50*Assumptions!$B$35*Assumptions!$B$91</f>
        <v/>
      </c>
      <c r="AC214" s="41">
        <f>AC212*Assumptions!$B$134*Assumptions!$B$50*Assumptions!$B$35*Assumptions!$B$91</f>
        <v/>
      </c>
      <c r="AD214" s="41">
        <f>AD212*Assumptions!$B$134*Assumptions!$B$50*Assumptions!$B$35*Assumptions!$B$91</f>
        <v/>
      </c>
      <c r="AE214" s="41">
        <f>AE212*Assumptions!$B$134*Assumptions!$B$50*Assumptions!$B$35*Assumptions!$B$91</f>
        <v/>
      </c>
      <c r="AF214" s="41">
        <f>AF212*Assumptions!$B$134*Assumptions!$B$50*Assumptions!$B$35*Assumptions!$B$91</f>
        <v/>
      </c>
      <c r="AG214" s="41">
        <f>AG212*Assumptions!$B$134*Assumptions!$B$50*Assumptions!$B$35*Assumptions!$B$91</f>
        <v/>
      </c>
      <c r="AH214" s="41">
        <f>AH212*Assumptions!$B$134*Assumptions!$B$50*Assumptions!$B$35*Assumptions!$B$91</f>
        <v/>
      </c>
      <c r="AI214" s="41">
        <f>AI212*Assumptions!$B$134*Assumptions!$B$50*Assumptions!$B$35*Assumptions!$B$91</f>
        <v/>
      </c>
      <c r="AJ214" s="41">
        <f>AJ212*Assumptions!$B$134*Assumptions!$B$50*Assumptions!$B$35*Assumptions!$B$91</f>
        <v/>
      </c>
      <c r="AK214" s="41">
        <f>AK212*Assumptions!$B$134*Assumptions!$B$50*Assumptions!$B$35*Assumptions!$B$91</f>
        <v/>
      </c>
      <c r="AL214" s="41">
        <f>AL212*Assumptions!$B$134*Assumptions!$B$50*Assumptions!$B$35*Assumptions!$B$91</f>
        <v/>
      </c>
      <c r="AM214" s="41">
        <f>AM212*Assumptions!$B$134*Assumptions!$B$50*Assumptions!$B$35*Assumptions!$B$91</f>
        <v/>
      </c>
      <c r="AN214" s="41">
        <f>AN212*Assumptions!$B$134*Assumptions!$B$50*Assumptions!$B$35*Assumptions!$B$91</f>
        <v/>
      </c>
      <c r="AO214" s="41">
        <f>AO212*Assumptions!$B$134*Assumptions!$B$50*Assumptions!$B$35*Assumptions!$B$91</f>
        <v/>
      </c>
      <c r="AP214" s="41">
        <f>AP212*Assumptions!$B$134*Assumptions!$B$50*Assumptions!$B$35*Assumptions!$B$91</f>
        <v/>
      </c>
      <c r="AQ214" s="41">
        <f>AQ212*Assumptions!$B$134*Assumptions!$B$50*Assumptions!$B$35*Assumptions!$B$91</f>
        <v/>
      </c>
      <c r="AR214" s="41">
        <f>AR212*Assumptions!$B$134*Assumptions!$B$50*Assumptions!$B$35*Assumptions!$B$91</f>
        <v/>
      </c>
      <c r="AS214" s="41">
        <f>AS212*Assumptions!$B$134*Assumptions!$B$50*Assumptions!$B$35*Assumptions!$B$91</f>
        <v/>
      </c>
      <c r="AT214" s="41">
        <f>AT212*Assumptions!$B$134*Assumptions!$B$50*Assumptions!$B$35*Assumptions!$B$91</f>
        <v/>
      </c>
      <c r="AU214" s="41">
        <f>AU212*Assumptions!$B$134*Assumptions!$B$50*Assumptions!$B$35*Assumptions!$B$91</f>
        <v/>
      </c>
      <c r="AV214" s="41">
        <f>AV212*Assumptions!$B$134*Assumptions!$B$50*Assumptions!$B$35*Assumptions!$B$91</f>
        <v/>
      </c>
      <c r="AW214" s="41">
        <f>AW212*Assumptions!$B$134*Assumptions!$B$50*Assumptions!$B$35*Assumptions!$B$91</f>
        <v/>
      </c>
      <c r="AX214" s="41">
        <f>AX212*Assumptions!$B$134*Assumptions!$B$50*Assumptions!$B$35*Assumptions!$B$91</f>
        <v/>
      </c>
      <c r="AY214" s="41">
        <f>AY212*Assumptions!$B$134*Assumptions!$B$50*Assumptions!$B$35*Assumptions!$B$91</f>
        <v/>
      </c>
      <c r="AZ214" s="41">
        <f>AZ212*Assumptions!$B$134*Assumptions!$B$50*Assumptions!$B$35*Assumptions!$B$91</f>
        <v/>
      </c>
      <c r="BA214" s="41">
        <f>BA212*Assumptions!$B$134*Assumptions!$B$50*Assumptions!$B$35*Assumptions!$B$91</f>
        <v/>
      </c>
      <c r="BB214" s="41">
        <f>BB212*Assumptions!$B$134*Assumptions!$B$50*Assumptions!$B$35*Assumptions!$B$91</f>
        <v/>
      </c>
      <c r="BC214" s="41">
        <f>BC212*Assumptions!$B$134*Assumptions!$B$50*Assumptions!$B$35*Assumptions!$B$91</f>
        <v/>
      </c>
      <c r="BD214" s="41">
        <f>BD212*Assumptions!$B$134*Assumptions!$B$50*Assumptions!$B$35*Assumptions!$B$91</f>
        <v/>
      </c>
      <c r="BE214" s="41">
        <f>BE212*Assumptions!$B$134*Assumptions!$B$50*Assumptions!$B$35*Assumptions!$B$91</f>
        <v/>
      </c>
      <c r="BF214" s="41">
        <f>BF212*Assumptions!$B$134*Assumptions!$B$50*Assumptions!$B$35*Assumptions!$B$91</f>
        <v/>
      </c>
      <c r="BG214" s="41">
        <f>BG212*Assumptions!$B$134*Assumptions!$B$50*Assumptions!$B$35*Assumptions!$B$91</f>
        <v/>
      </c>
      <c r="BH214" s="41">
        <f>BH212*Assumptions!$B$134*Assumptions!$B$50*Assumptions!$B$35*Assumptions!$B$91</f>
        <v/>
      </c>
      <c r="BI214" s="41">
        <f>BI212*Assumptions!$B$134*Assumptions!$B$50*Assumptions!$B$35*Assumptions!$B$91</f>
        <v/>
      </c>
      <c r="BJ214" s="41">
        <f>BJ212*Assumptions!$B$134*Assumptions!$B$50*Assumptions!$B$35*Assumptions!$B$91</f>
        <v/>
      </c>
    </row>
    <row r="215">
      <c r="A215" s="4" t="inlineStr">
        <is>
          <t>Ghana: SME: Growth: upgraded out</t>
        </is>
      </c>
      <c r="B215" s="17" t="inlineStr">
        <is>
          <t>workspaces</t>
        </is>
      </c>
      <c r="C215" s="41">
        <f>C212*Assumptions!$B$128</f>
        <v/>
      </c>
      <c r="D215" s="41">
        <f>D212*Assumptions!$B$128</f>
        <v/>
      </c>
      <c r="E215" s="41">
        <f>E212*Assumptions!$B$128</f>
        <v/>
      </c>
      <c r="F215" s="41">
        <f>F212*Assumptions!$B$128</f>
        <v/>
      </c>
      <c r="G215" s="41">
        <f>G212*Assumptions!$B$128</f>
        <v/>
      </c>
      <c r="H215" s="41">
        <f>H212*Assumptions!$B$128</f>
        <v/>
      </c>
      <c r="I215" s="41">
        <f>I212*Assumptions!$B$128</f>
        <v/>
      </c>
      <c r="J215" s="41">
        <f>J212*Assumptions!$B$128</f>
        <v/>
      </c>
      <c r="K215" s="41">
        <f>K212*Assumptions!$B$128</f>
        <v/>
      </c>
      <c r="L215" s="41">
        <f>L212*Assumptions!$B$128</f>
        <v/>
      </c>
      <c r="M215" s="41">
        <f>M212*Assumptions!$B$128</f>
        <v/>
      </c>
      <c r="N215" s="41">
        <f>N212*Assumptions!$B$128</f>
        <v/>
      </c>
      <c r="O215" s="41">
        <f>O212*Assumptions!$B$128</f>
        <v/>
      </c>
      <c r="P215" s="41">
        <f>P212*Assumptions!$B$128</f>
        <v/>
      </c>
      <c r="Q215" s="41">
        <f>Q212*Assumptions!$B$128</f>
        <v/>
      </c>
      <c r="R215" s="41">
        <f>R212*Assumptions!$B$128</f>
        <v/>
      </c>
      <c r="S215" s="41">
        <f>S212*Assumptions!$B$128</f>
        <v/>
      </c>
      <c r="T215" s="41">
        <f>T212*Assumptions!$B$128</f>
        <v/>
      </c>
      <c r="U215" s="41">
        <f>U212*Assumptions!$B$128</f>
        <v/>
      </c>
      <c r="V215" s="41">
        <f>V212*Assumptions!$B$128</f>
        <v/>
      </c>
      <c r="W215" s="41">
        <f>W212*Assumptions!$B$128</f>
        <v/>
      </c>
      <c r="X215" s="41">
        <f>X212*Assumptions!$B$128</f>
        <v/>
      </c>
      <c r="Y215" s="41">
        <f>Y212*Assumptions!$B$128</f>
        <v/>
      </c>
      <c r="Z215" s="41">
        <f>Z212*Assumptions!$B$128</f>
        <v/>
      </c>
      <c r="AA215" s="41">
        <f>AA212*Assumptions!$B$128</f>
        <v/>
      </c>
      <c r="AB215" s="41">
        <f>AB212*Assumptions!$B$128</f>
        <v/>
      </c>
      <c r="AC215" s="41">
        <f>AC212*Assumptions!$B$128</f>
        <v/>
      </c>
      <c r="AD215" s="41">
        <f>AD212*Assumptions!$B$128</f>
        <v/>
      </c>
      <c r="AE215" s="41">
        <f>AE212*Assumptions!$B$128</f>
        <v/>
      </c>
      <c r="AF215" s="41">
        <f>AF212*Assumptions!$B$128</f>
        <v/>
      </c>
      <c r="AG215" s="41">
        <f>AG212*Assumptions!$B$128</f>
        <v/>
      </c>
      <c r="AH215" s="41">
        <f>AH212*Assumptions!$B$128</f>
        <v/>
      </c>
      <c r="AI215" s="41">
        <f>AI212*Assumptions!$B$128</f>
        <v/>
      </c>
      <c r="AJ215" s="41">
        <f>AJ212*Assumptions!$B$128</f>
        <v/>
      </c>
      <c r="AK215" s="41">
        <f>AK212*Assumptions!$B$128</f>
        <v/>
      </c>
      <c r="AL215" s="41">
        <f>AL212*Assumptions!$B$128</f>
        <v/>
      </c>
      <c r="AM215" s="41">
        <f>AM212*Assumptions!$B$128</f>
        <v/>
      </c>
      <c r="AN215" s="41">
        <f>AN212*Assumptions!$B$128</f>
        <v/>
      </c>
      <c r="AO215" s="41">
        <f>AO212*Assumptions!$B$128</f>
        <v/>
      </c>
      <c r="AP215" s="41">
        <f>AP212*Assumptions!$B$128</f>
        <v/>
      </c>
      <c r="AQ215" s="41">
        <f>AQ212*Assumptions!$B$128</f>
        <v/>
      </c>
      <c r="AR215" s="41">
        <f>AR212*Assumptions!$B$128</f>
        <v/>
      </c>
      <c r="AS215" s="41">
        <f>AS212*Assumptions!$B$128</f>
        <v/>
      </c>
      <c r="AT215" s="41">
        <f>AT212*Assumptions!$B$128</f>
        <v/>
      </c>
      <c r="AU215" s="41">
        <f>AU212*Assumptions!$B$128</f>
        <v/>
      </c>
      <c r="AV215" s="41">
        <f>AV212*Assumptions!$B$128</f>
        <v/>
      </c>
      <c r="AW215" s="41">
        <f>AW212*Assumptions!$B$128</f>
        <v/>
      </c>
      <c r="AX215" s="41">
        <f>AX212*Assumptions!$B$128</f>
        <v/>
      </c>
      <c r="AY215" s="41">
        <f>AY212*Assumptions!$B$128</f>
        <v/>
      </c>
      <c r="AZ215" s="41">
        <f>AZ212*Assumptions!$B$128</f>
        <v/>
      </c>
      <c r="BA215" s="41">
        <f>BA212*Assumptions!$B$128</f>
        <v/>
      </c>
      <c r="BB215" s="41">
        <f>BB212*Assumptions!$B$128</f>
        <v/>
      </c>
      <c r="BC215" s="41">
        <f>BC212*Assumptions!$B$128</f>
        <v/>
      </c>
      <c r="BD215" s="41">
        <f>BD212*Assumptions!$B$128</f>
        <v/>
      </c>
      <c r="BE215" s="41">
        <f>BE212*Assumptions!$B$128</f>
        <v/>
      </c>
      <c r="BF215" s="41">
        <f>BF212*Assumptions!$B$128</f>
        <v/>
      </c>
      <c r="BG215" s="41">
        <f>BG212*Assumptions!$B$128</f>
        <v/>
      </c>
      <c r="BH215" s="41">
        <f>BH212*Assumptions!$B$128</f>
        <v/>
      </c>
      <c r="BI215" s="41">
        <f>BI212*Assumptions!$B$128</f>
        <v/>
      </c>
      <c r="BJ215" s="41">
        <f>BJ212*Assumptions!$B$128</f>
        <v/>
      </c>
    </row>
    <row r="216">
      <c r="A216" s="3" t="inlineStr">
        <is>
          <t>Ghana: SME: Growth: closing</t>
        </is>
      </c>
      <c r="B216" s="17" t="inlineStr">
        <is>
          <t>workspaces</t>
        </is>
      </c>
      <c r="C216" s="44">
        <f>C212+C213-C214-C215</f>
        <v/>
      </c>
      <c r="D216" s="44">
        <f>D212+D213-D214-D215</f>
        <v/>
      </c>
      <c r="E216" s="44">
        <f>E212+E213-E214-E215</f>
        <v/>
      </c>
      <c r="F216" s="44">
        <f>F212+F213-F214-F215</f>
        <v/>
      </c>
      <c r="G216" s="44">
        <f>G212+G213-G214-G215</f>
        <v/>
      </c>
      <c r="H216" s="44">
        <f>H212+H213-H214-H215</f>
        <v/>
      </c>
      <c r="I216" s="44">
        <f>I212+I213-I214-I215</f>
        <v/>
      </c>
      <c r="J216" s="44">
        <f>J212+J213-J214-J215</f>
        <v/>
      </c>
      <c r="K216" s="44">
        <f>K212+K213-K214-K215</f>
        <v/>
      </c>
      <c r="L216" s="44">
        <f>L212+L213-L214-L215</f>
        <v/>
      </c>
      <c r="M216" s="44">
        <f>M212+M213-M214-M215</f>
        <v/>
      </c>
      <c r="N216" s="44">
        <f>N212+N213-N214-N215</f>
        <v/>
      </c>
      <c r="O216" s="44">
        <f>O212+O213-O214-O215</f>
        <v/>
      </c>
      <c r="P216" s="44">
        <f>P212+P213-P214-P215</f>
        <v/>
      </c>
      <c r="Q216" s="44">
        <f>Q212+Q213-Q214-Q215</f>
        <v/>
      </c>
      <c r="R216" s="44">
        <f>R212+R213-R214-R215</f>
        <v/>
      </c>
      <c r="S216" s="44">
        <f>S212+S213-S214-S215</f>
        <v/>
      </c>
      <c r="T216" s="44">
        <f>T212+T213-T214-T215</f>
        <v/>
      </c>
      <c r="U216" s="44">
        <f>U212+U213-U214-U215</f>
        <v/>
      </c>
      <c r="V216" s="44">
        <f>V212+V213-V214-V215</f>
        <v/>
      </c>
      <c r="W216" s="44">
        <f>W212+W213-W214-W215</f>
        <v/>
      </c>
      <c r="X216" s="44">
        <f>X212+X213-X214-X215</f>
        <v/>
      </c>
      <c r="Y216" s="44">
        <f>Y212+Y213-Y214-Y215</f>
        <v/>
      </c>
      <c r="Z216" s="44">
        <f>Z212+Z213-Z214-Z215</f>
        <v/>
      </c>
      <c r="AA216" s="44">
        <f>AA212+AA213-AA214-AA215</f>
        <v/>
      </c>
      <c r="AB216" s="44">
        <f>AB212+AB213-AB214-AB215</f>
        <v/>
      </c>
      <c r="AC216" s="44">
        <f>AC212+AC213-AC214-AC215</f>
        <v/>
      </c>
      <c r="AD216" s="44">
        <f>AD212+AD213-AD214-AD215</f>
        <v/>
      </c>
      <c r="AE216" s="44">
        <f>AE212+AE213-AE214-AE215</f>
        <v/>
      </c>
      <c r="AF216" s="44">
        <f>AF212+AF213-AF214-AF215</f>
        <v/>
      </c>
      <c r="AG216" s="44">
        <f>AG212+AG213-AG214-AG215</f>
        <v/>
      </c>
      <c r="AH216" s="44">
        <f>AH212+AH213-AH214-AH215</f>
        <v/>
      </c>
      <c r="AI216" s="44">
        <f>AI212+AI213-AI214-AI215</f>
        <v/>
      </c>
      <c r="AJ216" s="44">
        <f>AJ212+AJ213-AJ214-AJ215</f>
        <v/>
      </c>
      <c r="AK216" s="44">
        <f>AK212+AK213-AK214-AK215</f>
        <v/>
      </c>
      <c r="AL216" s="44">
        <f>AL212+AL213-AL214-AL215</f>
        <v/>
      </c>
      <c r="AM216" s="44">
        <f>AM212+AM213-AM214-AM215</f>
        <v/>
      </c>
      <c r="AN216" s="44">
        <f>AN212+AN213-AN214-AN215</f>
        <v/>
      </c>
      <c r="AO216" s="44">
        <f>AO212+AO213-AO214-AO215</f>
        <v/>
      </c>
      <c r="AP216" s="44">
        <f>AP212+AP213-AP214-AP215</f>
        <v/>
      </c>
      <c r="AQ216" s="44">
        <f>AQ212+AQ213-AQ214-AQ215</f>
        <v/>
      </c>
      <c r="AR216" s="44">
        <f>AR212+AR213-AR214-AR215</f>
        <v/>
      </c>
      <c r="AS216" s="44">
        <f>AS212+AS213-AS214-AS215</f>
        <v/>
      </c>
      <c r="AT216" s="44">
        <f>AT212+AT213-AT214-AT215</f>
        <v/>
      </c>
      <c r="AU216" s="44">
        <f>AU212+AU213-AU214-AU215</f>
        <v/>
      </c>
      <c r="AV216" s="44">
        <f>AV212+AV213-AV214-AV215</f>
        <v/>
      </c>
      <c r="AW216" s="44">
        <f>AW212+AW213-AW214-AW215</f>
        <v/>
      </c>
      <c r="AX216" s="44">
        <f>AX212+AX213-AX214-AX215</f>
        <v/>
      </c>
      <c r="AY216" s="44">
        <f>AY212+AY213-AY214-AY215</f>
        <v/>
      </c>
      <c r="AZ216" s="44">
        <f>AZ212+AZ213-AZ214-AZ215</f>
        <v/>
      </c>
      <c r="BA216" s="44">
        <f>BA212+BA213-BA214-BA215</f>
        <v/>
      </c>
      <c r="BB216" s="44">
        <f>BB212+BB213-BB214-BB215</f>
        <v/>
      </c>
      <c r="BC216" s="44">
        <f>BC212+BC213-BC214-BC215</f>
        <v/>
      </c>
      <c r="BD216" s="44">
        <f>BD212+BD213-BD214-BD215</f>
        <v/>
      </c>
      <c r="BE216" s="44">
        <f>BE212+BE213-BE214-BE215</f>
        <v/>
      </c>
      <c r="BF216" s="44">
        <f>BF212+BF213-BF214-BF215</f>
        <v/>
      </c>
      <c r="BG216" s="44">
        <f>BG212+BG213-BG214-BG215</f>
        <v/>
      </c>
      <c r="BH216" s="44">
        <f>BH212+BH213-BH214-BH215</f>
        <v/>
      </c>
      <c r="BI216" s="44">
        <f>BI212+BI213-BI214-BI215</f>
        <v/>
      </c>
      <c r="BJ216" s="44">
        <f>BJ212+BJ213-BJ214-BJ215</f>
        <v/>
      </c>
    </row>
    <row r="217">
      <c r="A217" s="4" t="inlineStr">
        <is>
          <t>Ghana: SME: Scale (upgraded or direct): opening</t>
        </is>
      </c>
      <c r="B217" s="17" t="inlineStr">
        <is>
          <t>workspaces</t>
        </is>
      </c>
      <c r="C217" s="41">
        <f>0</f>
        <v/>
      </c>
      <c r="D217" s="41">
        <f>C220</f>
        <v/>
      </c>
      <c r="E217" s="41">
        <f>D220</f>
        <v/>
      </c>
      <c r="F217" s="41">
        <f>E220</f>
        <v/>
      </c>
      <c r="G217" s="41">
        <f>F220</f>
        <v/>
      </c>
      <c r="H217" s="41">
        <f>G220</f>
        <v/>
      </c>
      <c r="I217" s="41">
        <f>H220</f>
        <v/>
      </c>
      <c r="J217" s="41">
        <f>I220</f>
        <v/>
      </c>
      <c r="K217" s="41">
        <f>J220</f>
        <v/>
      </c>
      <c r="L217" s="41">
        <f>K220</f>
        <v/>
      </c>
      <c r="M217" s="41">
        <f>L220</f>
        <v/>
      </c>
      <c r="N217" s="41">
        <f>M220</f>
        <v/>
      </c>
      <c r="O217" s="41">
        <f>N220</f>
        <v/>
      </c>
      <c r="P217" s="41">
        <f>O220</f>
        <v/>
      </c>
      <c r="Q217" s="41">
        <f>P220</f>
        <v/>
      </c>
      <c r="R217" s="41">
        <f>Q220</f>
        <v/>
      </c>
      <c r="S217" s="41">
        <f>R220</f>
        <v/>
      </c>
      <c r="T217" s="41">
        <f>S220</f>
        <v/>
      </c>
      <c r="U217" s="41">
        <f>T220</f>
        <v/>
      </c>
      <c r="V217" s="41">
        <f>U220</f>
        <v/>
      </c>
      <c r="W217" s="41">
        <f>V220</f>
        <v/>
      </c>
      <c r="X217" s="41">
        <f>W220</f>
        <v/>
      </c>
      <c r="Y217" s="41">
        <f>X220</f>
        <v/>
      </c>
      <c r="Z217" s="41">
        <f>Y220</f>
        <v/>
      </c>
      <c r="AA217" s="41">
        <f>Z220</f>
        <v/>
      </c>
      <c r="AB217" s="41">
        <f>AA220</f>
        <v/>
      </c>
      <c r="AC217" s="41">
        <f>AB220</f>
        <v/>
      </c>
      <c r="AD217" s="41">
        <f>AC220</f>
        <v/>
      </c>
      <c r="AE217" s="41">
        <f>AD220</f>
        <v/>
      </c>
      <c r="AF217" s="41">
        <f>AE220</f>
        <v/>
      </c>
      <c r="AG217" s="41">
        <f>AF220</f>
        <v/>
      </c>
      <c r="AH217" s="41">
        <f>AG220</f>
        <v/>
      </c>
      <c r="AI217" s="41">
        <f>AH220</f>
        <v/>
      </c>
      <c r="AJ217" s="41">
        <f>AI220</f>
        <v/>
      </c>
      <c r="AK217" s="41">
        <f>AJ220</f>
        <v/>
      </c>
      <c r="AL217" s="41">
        <f>AK220</f>
        <v/>
      </c>
      <c r="AM217" s="41">
        <f>AL220</f>
        <v/>
      </c>
      <c r="AN217" s="41">
        <f>AM220</f>
        <v/>
      </c>
      <c r="AO217" s="41">
        <f>AN220</f>
        <v/>
      </c>
      <c r="AP217" s="41">
        <f>AO220</f>
        <v/>
      </c>
      <c r="AQ217" s="41">
        <f>AP220</f>
        <v/>
      </c>
      <c r="AR217" s="41">
        <f>AQ220</f>
        <v/>
      </c>
      <c r="AS217" s="41">
        <f>AR220</f>
        <v/>
      </c>
      <c r="AT217" s="41">
        <f>AS220</f>
        <v/>
      </c>
      <c r="AU217" s="41">
        <f>AT220</f>
        <v/>
      </c>
      <c r="AV217" s="41">
        <f>AU220</f>
        <v/>
      </c>
      <c r="AW217" s="41">
        <f>AV220</f>
        <v/>
      </c>
      <c r="AX217" s="41">
        <f>AW220</f>
        <v/>
      </c>
      <c r="AY217" s="41">
        <f>AX220</f>
        <v/>
      </c>
      <c r="AZ217" s="41">
        <f>AY220</f>
        <v/>
      </c>
      <c r="BA217" s="41">
        <f>AZ220</f>
        <v/>
      </c>
      <c r="BB217" s="41">
        <f>BA220</f>
        <v/>
      </c>
      <c r="BC217" s="41">
        <f>BB220</f>
        <v/>
      </c>
      <c r="BD217" s="41">
        <f>BC220</f>
        <v/>
      </c>
      <c r="BE217" s="41">
        <f>BD220</f>
        <v/>
      </c>
      <c r="BF217" s="41">
        <f>BE220</f>
        <v/>
      </c>
      <c r="BG217" s="41">
        <f>BF220</f>
        <v/>
      </c>
      <c r="BH217" s="41">
        <f>BG220</f>
        <v/>
      </c>
      <c r="BI217" s="41">
        <f>BH220</f>
        <v/>
      </c>
      <c r="BJ217" s="41">
        <f>BI220</f>
        <v/>
      </c>
    </row>
    <row r="218">
      <c r="A218" s="4" t="inlineStr">
        <is>
          <t>Ghana: SME: Scale (upgraded or direct): new</t>
        </is>
      </c>
      <c r="B218" s="17" t="inlineStr">
        <is>
          <t>workspaces</t>
        </is>
      </c>
      <c r="C218" s="41">
        <f>C120*Assumptions!$B$126+C215</f>
        <v/>
      </c>
      <c r="D218" s="41">
        <f>D120*Assumptions!$B$126+D215</f>
        <v/>
      </c>
      <c r="E218" s="41">
        <f>E120*Assumptions!$B$126+E215</f>
        <v/>
      </c>
      <c r="F218" s="41">
        <f>F120*Assumptions!$B$126+F215</f>
        <v/>
      </c>
      <c r="G218" s="41">
        <f>G120*Assumptions!$B$126+G215</f>
        <v/>
      </c>
      <c r="H218" s="41">
        <f>H120*Assumptions!$B$126+H215</f>
        <v/>
      </c>
      <c r="I218" s="41">
        <f>I120*Assumptions!$B$126+I215</f>
        <v/>
      </c>
      <c r="J218" s="41">
        <f>J120*Assumptions!$B$126+J215</f>
        <v/>
      </c>
      <c r="K218" s="41">
        <f>K120*Assumptions!$B$126+K215</f>
        <v/>
      </c>
      <c r="L218" s="41">
        <f>L120*Assumptions!$B$126+L215</f>
        <v/>
      </c>
      <c r="M218" s="41">
        <f>M120*Assumptions!$B$126+M215</f>
        <v/>
      </c>
      <c r="N218" s="41">
        <f>N120*Assumptions!$B$126+N215</f>
        <v/>
      </c>
      <c r="O218" s="41">
        <f>O120*Assumptions!$B$126+O215</f>
        <v/>
      </c>
      <c r="P218" s="41">
        <f>P120*Assumptions!$B$126+P215</f>
        <v/>
      </c>
      <c r="Q218" s="41">
        <f>Q120*Assumptions!$B$126+Q215</f>
        <v/>
      </c>
      <c r="R218" s="41">
        <f>R120*Assumptions!$B$126+R215</f>
        <v/>
      </c>
      <c r="S218" s="41">
        <f>S120*Assumptions!$B$126+S215</f>
        <v/>
      </c>
      <c r="T218" s="41">
        <f>T120*Assumptions!$B$126+T215</f>
        <v/>
      </c>
      <c r="U218" s="41">
        <f>U120*Assumptions!$B$126+U215</f>
        <v/>
      </c>
      <c r="V218" s="41">
        <f>V120*Assumptions!$B$126+V215</f>
        <v/>
      </c>
      <c r="W218" s="41">
        <f>W120*Assumptions!$B$126+W215</f>
        <v/>
      </c>
      <c r="X218" s="41">
        <f>X120*Assumptions!$B$126+X215</f>
        <v/>
      </c>
      <c r="Y218" s="41">
        <f>Y120*Assumptions!$B$126+Y215</f>
        <v/>
      </c>
      <c r="Z218" s="41">
        <f>Z120*Assumptions!$B$126+Z215</f>
        <v/>
      </c>
      <c r="AA218" s="41">
        <f>AA120*Assumptions!$B$126+AA215</f>
        <v/>
      </c>
      <c r="AB218" s="41">
        <f>AB120*Assumptions!$B$126+AB215</f>
        <v/>
      </c>
      <c r="AC218" s="41">
        <f>AC120*Assumptions!$B$126+AC215</f>
        <v/>
      </c>
      <c r="AD218" s="41">
        <f>AD120*Assumptions!$B$126+AD215</f>
        <v/>
      </c>
      <c r="AE218" s="41">
        <f>AE120*Assumptions!$B$126+AE215</f>
        <v/>
      </c>
      <c r="AF218" s="41">
        <f>AF120*Assumptions!$B$126+AF215</f>
        <v/>
      </c>
      <c r="AG218" s="41">
        <f>AG120*Assumptions!$B$126+AG215</f>
        <v/>
      </c>
      <c r="AH218" s="41">
        <f>AH120*Assumptions!$B$126+AH215</f>
        <v/>
      </c>
      <c r="AI218" s="41">
        <f>AI120*Assumptions!$B$126+AI215</f>
        <v/>
      </c>
      <c r="AJ218" s="41">
        <f>AJ120*Assumptions!$B$126+AJ215</f>
        <v/>
      </c>
      <c r="AK218" s="41">
        <f>AK120*Assumptions!$B$126+AK215</f>
        <v/>
      </c>
      <c r="AL218" s="41">
        <f>AL120*Assumptions!$B$126+AL215</f>
        <v/>
      </c>
      <c r="AM218" s="41">
        <f>AM120*Assumptions!$B$126+AM215</f>
        <v/>
      </c>
      <c r="AN218" s="41">
        <f>AN120*Assumptions!$B$126+AN215</f>
        <v/>
      </c>
      <c r="AO218" s="41">
        <f>AO120*Assumptions!$B$126+AO215</f>
        <v/>
      </c>
      <c r="AP218" s="41">
        <f>AP120*Assumptions!$B$126+AP215</f>
        <v/>
      </c>
      <c r="AQ218" s="41">
        <f>AQ120*Assumptions!$B$126+AQ215</f>
        <v/>
      </c>
      <c r="AR218" s="41">
        <f>AR120*Assumptions!$B$126+AR215</f>
        <v/>
      </c>
      <c r="AS218" s="41">
        <f>AS120*Assumptions!$B$126+AS215</f>
        <v/>
      </c>
      <c r="AT218" s="41">
        <f>AT120*Assumptions!$B$126+AT215</f>
        <v/>
      </c>
      <c r="AU218" s="41">
        <f>AU120*Assumptions!$B$126+AU215</f>
        <v/>
      </c>
      <c r="AV218" s="41">
        <f>AV120*Assumptions!$B$126+AV215</f>
        <v/>
      </c>
      <c r="AW218" s="41">
        <f>AW120*Assumptions!$B$126+AW215</f>
        <v/>
      </c>
      <c r="AX218" s="41">
        <f>AX120*Assumptions!$B$126+AX215</f>
        <v/>
      </c>
      <c r="AY218" s="41">
        <f>AY120*Assumptions!$B$126+AY215</f>
        <v/>
      </c>
      <c r="AZ218" s="41">
        <f>AZ120*Assumptions!$B$126+AZ215</f>
        <v/>
      </c>
      <c r="BA218" s="41">
        <f>BA120*Assumptions!$B$126+BA215</f>
        <v/>
      </c>
      <c r="BB218" s="41">
        <f>BB120*Assumptions!$B$126+BB215</f>
        <v/>
      </c>
      <c r="BC218" s="41">
        <f>BC120*Assumptions!$B$126+BC215</f>
        <v/>
      </c>
      <c r="BD218" s="41">
        <f>BD120*Assumptions!$B$126+BD215</f>
        <v/>
      </c>
      <c r="BE218" s="41">
        <f>BE120*Assumptions!$B$126+BE215</f>
        <v/>
      </c>
      <c r="BF218" s="41">
        <f>BF120*Assumptions!$B$126+BF215</f>
        <v/>
      </c>
      <c r="BG218" s="41">
        <f>BG120*Assumptions!$B$126+BG215</f>
        <v/>
      </c>
      <c r="BH218" s="41">
        <f>BH120*Assumptions!$B$126+BH215</f>
        <v/>
      </c>
      <c r="BI218" s="41">
        <f>BI120*Assumptions!$B$126+BI215</f>
        <v/>
      </c>
      <c r="BJ218" s="41">
        <f>BJ120*Assumptions!$B$126+BJ215</f>
        <v/>
      </c>
    </row>
    <row r="219">
      <c r="A219" s="4" t="inlineStr">
        <is>
          <t>Ghana: SME: Scale (upgraded or direct): churned</t>
        </is>
      </c>
      <c r="B219" s="17" t="inlineStr">
        <is>
          <t>workspaces</t>
        </is>
      </c>
      <c r="C219" s="41">
        <f>C217*Assumptions!$B$135*Assumptions!$B$50*Assumptions!$B$35*Assumptions!$B$91</f>
        <v/>
      </c>
      <c r="D219" s="41">
        <f>D217*Assumptions!$B$135*Assumptions!$B$50*Assumptions!$B$35*Assumptions!$B$91</f>
        <v/>
      </c>
      <c r="E219" s="41">
        <f>E217*Assumptions!$B$135*Assumptions!$B$50*Assumptions!$B$35*Assumptions!$B$91</f>
        <v/>
      </c>
      <c r="F219" s="41">
        <f>F217*Assumptions!$B$135*Assumptions!$B$50*Assumptions!$B$35*Assumptions!$B$91</f>
        <v/>
      </c>
      <c r="G219" s="41">
        <f>G217*Assumptions!$B$135*Assumptions!$B$50*Assumptions!$B$35*Assumptions!$B$91</f>
        <v/>
      </c>
      <c r="H219" s="41">
        <f>H217*Assumptions!$B$135*Assumptions!$B$50*Assumptions!$B$35*Assumptions!$B$91</f>
        <v/>
      </c>
      <c r="I219" s="41">
        <f>I217*Assumptions!$B$135*Assumptions!$B$50*Assumptions!$B$35*Assumptions!$B$91</f>
        <v/>
      </c>
      <c r="J219" s="41">
        <f>J217*Assumptions!$B$135*Assumptions!$B$50*Assumptions!$B$35*Assumptions!$B$91</f>
        <v/>
      </c>
      <c r="K219" s="41">
        <f>K217*Assumptions!$B$135*Assumptions!$B$50*Assumptions!$B$35*Assumptions!$B$91</f>
        <v/>
      </c>
      <c r="L219" s="41">
        <f>L217*Assumptions!$B$135*Assumptions!$B$50*Assumptions!$B$35*Assumptions!$B$91</f>
        <v/>
      </c>
      <c r="M219" s="41">
        <f>M217*Assumptions!$B$135*Assumptions!$B$50*Assumptions!$B$35*Assumptions!$B$91</f>
        <v/>
      </c>
      <c r="N219" s="41">
        <f>N217*Assumptions!$B$135*Assumptions!$B$50*Assumptions!$B$35*Assumptions!$B$91</f>
        <v/>
      </c>
      <c r="O219" s="41">
        <f>O217*Assumptions!$B$135*Assumptions!$B$50*Assumptions!$B$35*Assumptions!$B$91</f>
        <v/>
      </c>
      <c r="P219" s="41">
        <f>P217*Assumptions!$B$135*Assumptions!$B$50*Assumptions!$B$35*Assumptions!$B$91</f>
        <v/>
      </c>
      <c r="Q219" s="41">
        <f>Q217*Assumptions!$B$135*Assumptions!$B$50*Assumptions!$B$35*Assumptions!$B$91</f>
        <v/>
      </c>
      <c r="R219" s="41">
        <f>R217*Assumptions!$B$135*Assumptions!$B$50*Assumptions!$B$35*Assumptions!$B$91</f>
        <v/>
      </c>
      <c r="S219" s="41">
        <f>S217*Assumptions!$B$135*Assumptions!$B$50*Assumptions!$B$35*Assumptions!$B$91</f>
        <v/>
      </c>
      <c r="T219" s="41">
        <f>T217*Assumptions!$B$135*Assumptions!$B$50*Assumptions!$B$35*Assumptions!$B$91</f>
        <v/>
      </c>
      <c r="U219" s="41">
        <f>U217*Assumptions!$B$135*Assumptions!$B$50*Assumptions!$B$35*Assumptions!$B$91</f>
        <v/>
      </c>
      <c r="V219" s="41">
        <f>V217*Assumptions!$B$135*Assumptions!$B$50*Assumptions!$B$35*Assumptions!$B$91</f>
        <v/>
      </c>
      <c r="W219" s="41">
        <f>W217*Assumptions!$B$135*Assumptions!$B$50*Assumptions!$B$35*Assumptions!$B$91</f>
        <v/>
      </c>
      <c r="X219" s="41">
        <f>X217*Assumptions!$B$135*Assumptions!$B$50*Assumptions!$B$35*Assumptions!$B$91</f>
        <v/>
      </c>
      <c r="Y219" s="41">
        <f>Y217*Assumptions!$B$135*Assumptions!$B$50*Assumptions!$B$35*Assumptions!$B$91</f>
        <v/>
      </c>
      <c r="Z219" s="41">
        <f>Z217*Assumptions!$B$135*Assumptions!$B$50*Assumptions!$B$35*Assumptions!$B$91</f>
        <v/>
      </c>
      <c r="AA219" s="41">
        <f>AA217*Assumptions!$B$135*Assumptions!$B$50*Assumptions!$B$35*Assumptions!$B$91</f>
        <v/>
      </c>
      <c r="AB219" s="41">
        <f>AB217*Assumptions!$B$135*Assumptions!$B$50*Assumptions!$B$35*Assumptions!$B$91</f>
        <v/>
      </c>
      <c r="AC219" s="41">
        <f>AC217*Assumptions!$B$135*Assumptions!$B$50*Assumptions!$B$35*Assumptions!$B$91</f>
        <v/>
      </c>
      <c r="AD219" s="41">
        <f>AD217*Assumptions!$B$135*Assumptions!$B$50*Assumptions!$B$35*Assumptions!$B$91</f>
        <v/>
      </c>
      <c r="AE219" s="41">
        <f>AE217*Assumptions!$B$135*Assumptions!$B$50*Assumptions!$B$35*Assumptions!$B$91</f>
        <v/>
      </c>
      <c r="AF219" s="41">
        <f>AF217*Assumptions!$B$135*Assumptions!$B$50*Assumptions!$B$35*Assumptions!$B$91</f>
        <v/>
      </c>
      <c r="AG219" s="41">
        <f>AG217*Assumptions!$B$135*Assumptions!$B$50*Assumptions!$B$35*Assumptions!$B$91</f>
        <v/>
      </c>
      <c r="AH219" s="41">
        <f>AH217*Assumptions!$B$135*Assumptions!$B$50*Assumptions!$B$35*Assumptions!$B$91</f>
        <v/>
      </c>
      <c r="AI219" s="41">
        <f>AI217*Assumptions!$B$135*Assumptions!$B$50*Assumptions!$B$35*Assumptions!$B$91</f>
        <v/>
      </c>
      <c r="AJ219" s="41">
        <f>AJ217*Assumptions!$B$135*Assumptions!$B$50*Assumptions!$B$35*Assumptions!$B$91</f>
        <v/>
      </c>
      <c r="AK219" s="41">
        <f>AK217*Assumptions!$B$135*Assumptions!$B$50*Assumptions!$B$35*Assumptions!$B$91</f>
        <v/>
      </c>
      <c r="AL219" s="41">
        <f>AL217*Assumptions!$B$135*Assumptions!$B$50*Assumptions!$B$35*Assumptions!$B$91</f>
        <v/>
      </c>
      <c r="AM219" s="41">
        <f>AM217*Assumptions!$B$135*Assumptions!$B$50*Assumptions!$B$35*Assumptions!$B$91</f>
        <v/>
      </c>
      <c r="AN219" s="41">
        <f>AN217*Assumptions!$B$135*Assumptions!$B$50*Assumptions!$B$35*Assumptions!$B$91</f>
        <v/>
      </c>
      <c r="AO219" s="41">
        <f>AO217*Assumptions!$B$135*Assumptions!$B$50*Assumptions!$B$35*Assumptions!$B$91</f>
        <v/>
      </c>
      <c r="AP219" s="41">
        <f>AP217*Assumptions!$B$135*Assumptions!$B$50*Assumptions!$B$35*Assumptions!$B$91</f>
        <v/>
      </c>
      <c r="AQ219" s="41">
        <f>AQ217*Assumptions!$B$135*Assumptions!$B$50*Assumptions!$B$35*Assumptions!$B$91</f>
        <v/>
      </c>
      <c r="AR219" s="41">
        <f>AR217*Assumptions!$B$135*Assumptions!$B$50*Assumptions!$B$35*Assumptions!$B$91</f>
        <v/>
      </c>
      <c r="AS219" s="41">
        <f>AS217*Assumptions!$B$135*Assumptions!$B$50*Assumptions!$B$35*Assumptions!$B$91</f>
        <v/>
      </c>
      <c r="AT219" s="41">
        <f>AT217*Assumptions!$B$135*Assumptions!$B$50*Assumptions!$B$35*Assumptions!$B$91</f>
        <v/>
      </c>
      <c r="AU219" s="41">
        <f>AU217*Assumptions!$B$135*Assumptions!$B$50*Assumptions!$B$35*Assumptions!$B$91</f>
        <v/>
      </c>
      <c r="AV219" s="41">
        <f>AV217*Assumptions!$B$135*Assumptions!$B$50*Assumptions!$B$35*Assumptions!$B$91</f>
        <v/>
      </c>
      <c r="AW219" s="41">
        <f>AW217*Assumptions!$B$135*Assumptions!$B$50*Assumptions!$B$35*Assumptions!$B$91</f>
        <v/>
      </c>
      <c r="AX219" s="41">
        <f>AX217*Assumptions!$B$135*Assumptions!$B$50*Assumptions!$B$35*Assumptions!$B$91</f>
        <v/>
      </c>
      <c r="AY219" s="41">
        <f>AY217*Assumptions!$B$135*Assumptions!$B$50*Assumptions!$B$35*Assumptions!$B$91</f>
        <v/>
      </c>
      <c r="AZ219" s="41">
        <f>AZ217*Assumptions!$B$135*Assumptions!$B$50*Assumptions!$B$35*Assumptions!$B$91</f>
        <v/>
      </c>
      <c r="BA219" s="41">
        <f>BA217*Assumptions!$B$135*Assumptions!$B$50*Assumptions!$B$35*Assumptions!$B$91</f>
        <v/>
      </c>
      <c r="BB219" s="41">
        <f>BB217*Assumptions!$B$135*Assumptions!$B$50*Assumptions!$B$35*Assumptions!$B$91</f>
        <v/>
      </c>
      <c r="BC219" s="41">
        <f>BC217*Assumptions!$B$135*Assumptions!$B$50*Assumptions!$B$35*Assumptions!$B$91</f>
        <v/>
      </c>
      <c r="BD219" s="41">
        <f>BD217*Assumptions!$B$135*Assumptions!$B$50*Assumptions!$B$35*Assumptions!$B$91</f>
        <v/>
      </c>
      <c r="BE219" s="41">
        <f>BE217*Assumptions!$B$135*Assumptions!$B$50*Assumptions!$B$35*Assumptions!$B$91</f>
        <v/>
      </c>
      <c r="BF219" s="41">
        <f>BF217*Assumptions!$B$135*Assumptions!$B$50*Assumptions!$B$35*Assumptions!$B$91</f>
        <v/>
      </c>
      <c r="BG219" s="41">
        <f>BG217*Assumptions!$B$135*Assumptions!$B$50*Assumptions!$B$35*Assumptions!$B$91</f>
        <v/>
      </c>
      <c r="BH219" s="41">
        <f>BH217*Assumptions!$B$135*Assumptions!$B$50*Assumptions!$B$35*Assumptions!$B$91</f>
        <v/>
      </c>
      <c r="BI219" s="41">
        <f>BI217*Assumptions!$B$135*Assumptions!$B$50*Assumptions!$B$35*Assumptions!$B$91</f>
        <v/>
      </c>
      <c r="BJ219" s="41">
        <f>BJ217*Assumptions!$B$135*Assumptions!$B$50*Assumptions!$B$35*Assumptions!$B$91</f>
        <v/>
      </c>
    </row>
    <row r="220">
      <c r="A220" s="3" t="inlineStr">
        <is>
          <t>Ghana: SME: Scale (upgraded or direct): closing</t>
        </is>
      </c>
      <c r="B220" s="17" t="inlineStr">
        <is>
          <t>workspaces</t>
        </is>
      </c>
      <c r="C220" s="44">
        <f>C217+C218-C219</f>
        <v/>
      </c>
      <c r="D220" s="44">
        <f>D217+D218-D219</f>
        <v/>
      </c>
      <c r="E220" s="44">
        <f>E217+E218-E219</f>
        <v/>
      </c>
      <c r="F220" s="44">
        <f>F217+F218-F219</f>
        <v/>
      </c>
      <c r="G220" s="44">
        <f>G217+G218-G219</f>
        <v/>
      </c>
      <c r="H220" s="44">
        <f>H217+H218-H219</f>
        <v/>
      </c>
      <c r="I220" s="44">
        <f>I217+I218-I219</f>
        <v/>
      </c>
      <c r="J220" s="44">
        <f>J217+J218-J219</f>
        <v/>
      </c>
      <c r="K220" s="44">
        <f>K217+K218-K219</f>
        <v/>
      </c>
      <c r="L220" s="44">
        <f>L217+L218-L219</f>
        <v/>
      </c>
      <c r="M220" s="44">
        <f>M217+M218-M219</f>
        <v/>
      </c>
      <c r="N220" s="44">
        <f>N217+N218-N219</f>
        <v/>
      </c>
      <c r="O220" s="44">
        <f>O217+O218-O219</f>
        <v/>
      </c>
      <c r="P220" s="44">
        <f>P217+P218-P219</f>
        <v/>
      </c>
      <c r="Q220" s="44">
        <f>Q217+Q218-Q219</f>
        <v/>
      </c>
      <c r="R220" s="44">
        <f>R217+R218-R219</f>
        <v/>
      </c>
      <c r="S220" s="44">
        <f>S217+S218-S219</f>
        <v/>
      </c>
      <c r="T220" s="44">
        <f>T217+T218-T219</f>
        <v/>
      </c>
      <c r="U220" s="44">
        <f>U217+U218-U219</f>
        <v/>
      </c>
      <c r="V220" s="44">
        <f>V217+V218-V219</f>
        <v/>
      </c>
      <c r="W220" s="44">
        <f>W217+W218-W219</f>
        <v/>
      </c>
      <c r="X220" s="44">
        <f>X217+X218-X219</f>
        <v/>
      </c>
      <c r="Y220" s="44">
        <f>Y217+Y218-Y219</f>
        <v/>
      </c>
      <c r="Z220" s="44">
        <f>Z217+Z218-Z219</f>
        <v/>
      </c>
      <c r="AA220" s="44">
        <f>AA217+AA218-AA219</f>
        <v/>
      </c>
      <c r="AB220" s="44">
        <f>AB217+AB218-AB219</f>
        <v/>
      </c>
      <c r="AC220" s="44">
        <f>AC217+AC218-AC219</f>
        <v/>
      </c>
      <c r="AD220" s="44">
        <f>AD217+AD218-AD219</f>
        <v/>
      </c>
      <c r="AE220" s="44">
        <f>AE217+AE218-AE219</f>
        <v/>
      </c>
      <c r="AF220" s="44">
        <f>AF217+AF218-AF219</f>
        <v/>
      </c>
      <c r="AG220" s="44">
        <f>AG217+AG218-AG219</f>
        <v/>
      </c>
      <c r="AH220" s="44">
        <f>AH217+AH218-AH219</f>
        <v/>
      </c>
      <c r="AI220" s="44">
        <f>AI217+AI218-AI219</f>
        <v/>
      </c>
      <c r="AJ220" s="44">
        <f>AJ217+AJ218-AJ219</f>
        <v/>
      </c>
      <c r="AK220" s="44">
        <f>AK217+AK218-AK219</f>
        <v/>
      </c>
      <c r="AL220" s="44">
        <f>AL217+AL218-AL219</f>
        <v/>
      </c>
      <c r="AM220" s="44">
        <f>AM217+AM218-AM219</f>
        <v/>
      </c>
      <c r="AN220" s="44">
        <f>AN217+AN218-AN219</f>
        <v/>
      </c>
      <c r="AO220" s="44">
        <f>AO217+AO218-AO219</f>
        <v/>
      </c>
      <c r="AP220" s="44">
        <f>AP217+AP218-AP219</f>
        <v/>
      </c>
      <c r="AQ220" s="44">
        <f>AQ217+AQ218-AQ219</f>
        <v/>
      </c>
      <c r="AR220" s="44">
        <f>AR217+AR218-AR219</f>
        <v/>
      </c>
      <c r="AS220" s="44">
        <f>AS217+AS218-AS219</f>
        <v/>
      </c>
      <c r="AT220" s="44">
        <f>AT217+AT218-AT219</f>
        <v/>
      </c>
      <c r="AU220" s="44">
        <f>AU217+AU218-AU219</f>
        <v/>
      </c>
      <c r="AV220" s="44">
        <f>AV217+AV218-AV219</f>
        <v/>
      </c>
      <c r="AW220" s="44">
        <f>AW217+AW218-AW219</f>
        <v/>
      </c>
      <c r="AX220" s="44">
        <f>AX217+AX218-AX219</f>
        <v/>
      </c>
      <c r="AY220" s="44">
        <f>AY217+AY218-AY219</f>
        <v/>
      </c>
      <c r="AZ220" s="44">
        <f>AZ217+AZ218-AZ219</f>
        <v/>
      </c>
      <c r="BA220" s="44">
        <f>BA217+BA218-BA219</f>
        <v/>
      </c>
      <c r="BB220" s="44">
        <f>BB217+BB218-BB219</f>
        <v/>
      </c>
      <c r="BC220" s="44">
        <f>BC217+BC218-BC219</f>
        <v/>
      </c>
      <c r="BD220" s="44">
        <f>BD217+BD218-BD219</f>
        <v/>
      </c>
      <c r="BE220" s="44">
        <f>BE217+BE218-BE219</f>
        <v/>
      </c>
      <c r="BF220" s="44">
        <f>BF217+BF218-BF219</f>
        <v/>
      </c>
      <c r="BG220" s="44">
        <f>BG217+BG218-BG219</f>
        <v/>
      </c>
      <c r="BH220" s="44">
        <f>BH217+BH218-BH219</f>
        <v/>
      </c>
      <c r="BI220" s="44">
        <f>BI217+BI218-BI219</f>
        <v/>
      </c>
      <c r="BJ220" s="44">
        <f>BJ217+BJ218-BJ219</f>
        <v/>
      </c>
    </row>
    <row r="221">
      <c r="A221" s="4" t="inlineStr">
        <is>
          <t>Ghana: Agency / partner: Agency tier: opening</t>
        </is>
      </c>
      <c r="B221" s="17" t="inlineStr">
        <is>
          <t>workspaces</t>
        </is>
      </c>
      <c r="C221" s="41">
        <f>0</f>
        <v/>
      </c>
      <c r="D221" s="41">
        <f>C224</f>
        <v/>
      </c>
      <c r="E221" s="41">
        <f>D224</f>
        <v/>
      </c>
      <c r="F221" s="41">
        <f>E224</f>
        <v/>
      </c>
      <c r="G221" s="41">
        <f>F224</f>
        <v/>
      </c>
      <c r="H221" s="41">
        <f>G224</f>
        <v/>
      </c>
      <c r="I221" s="41">
        <f>H224</f>
        <v/>
      </c>
      <c r="J221" s="41">
        <f>I224</f>
        <v/>
      </c>
      <c r="K221" s="41">
        <f>J224</f>
        <v/>
      </c>
      <c r="L221" s="41">
        <f>K224</f>
        <v/>
      </c>
      <c r="M221" s="41">
        <f>L224</f>
        <v/>
      </c>
      <c r="N221" s="41">
        <f>M224</f>
        <v/>
      </c>
      <c r="O221" s="41">
        <f>N224</f>
        <v/>
      </c>
      <c r="P221" s="41">
        <f>O224</f>
        <v/>
      </c>
      <c r="Q221" s="41">
        <f>P224</f>
        <v/>
      </c>
      <c r="R221" s="41">
        <f>Q224</f>
        <v/>
      </c>
      <c r="S221" s="41">
        <f>R224</f>
        <v/>
      </c>
      <c r="T221" s="41">
        <f>S224</f>
        <v/>
      </c>
      <c r="U221" s="41">
        <f>T224</f>
        <v/>
      </c>
      <c r="V221" s="41">
        <f>U224</f>
        <v/>
      </c>
      <c r="W221" s="41">
        <f>V224</f>
        <v/>
      </c>
      <c r="X221" s="41">
        <f>W224</f>
        <v/>
      </c>
      <c r="Y221" s="41">
        <f>X224</f>
        <v/>
      </c>
      <c r="Z221" s="41">
        <f>Y224</f>
        <v/>
      </c>
      <c r="AA221" s="41">
        <f>Z224</f>
        <v/>
      </c>
      <c r="AB221" s="41">
        <f>AA224</f>
        <v/>
      </c>
      <c r="AC221" s="41">
        <f>AB224</f>
        <v/>
      </c>
      <c r="AD221" s="41">
        <f>AC224</f>
        <v/>
      </c>
      <c r="AE221" s="41">
        <f>AD224</f>
        <v/>
      </c>
      <c r="AF221" s="41">
        <f>AE224</f>
        <v/>
      </c>
      <c r="AG221" s="41">
        <f>AF224</f>
        <v/>
      </c>
      <c r="AH221" s="41">
        <f>AG224</f>
        <v/>
      </c>
      <c r="AI221" s="41">
        <f>AH224</f>
        <v/>
      </c>
      <c r="AJ221" s="41">
        <f>AI224</f>
        <v/>
      </c>
      <c r="AK221" s="41">
        <f>AJ224</f>
        <v/>
      </c>
      <c r="AL221" s="41">
        <f>AK224</f>
        <v/>
      </c>
      <c r="AM221" s="41">
        <f>AL224</f>
        <v/>
      </c>
      <c r="AN221" s="41">
        <f>AM224</f>
        <v/>
      </c>
      <c r="AO221" s="41">
        <f>AN224</f>
        <v/>
      </c>
      <c r="AP221" s="41">
        <f>AO224</f>
        <v/>
      </c>
      <c r="AQ221" s="41">
        <f>AP224</f>
        <v/>
      </c>
      <c r="AR221" s="41">
        <f>AQ224</f>
        <v/>
      </c>
      <c r="AS221" s="41">
        <f>AR224</f>
        <v/>
      </c>
      <c r="AT221" s="41">
        <f>AS224</f>
        <v/>
      </c>
      <c r="AU221" s="41">
        <f>AT224</f>
        <v/>
      </c>
      <c r="AV221" s="41">
        <f>AU224</f>
        <v/>
      </c>
      <c r="AW221" s="41">
        <f>AV224</f>
        <v/>
      </c>
      <c r="AX221" s="41">
        <f>AW224</f>
        <v/>
      </c>
      <c r="AY221" s="41">
        <f>AX224</f>
        <v/>
      </c>
      <c r="AZ221" s="41">
        <f>AY224</f>
        <v/>
      </c>
      <c r="BA221" s="41">
        <f>AZ224</f>
        <v/>
      </c>
      <c r="BB221" s="41">
        <f>BA224</f>
        <v/>
      </c>
      <c r="BC221" s="41">
        <f>BB224</f>
        <v/>
      </c>
      <c r="BD221" s="41">
        <f>BC224</f>
        <v/>
      </c>
      <c r="BE221" s="41">
        <f>BD224</f>
        <v/>
      </c>
      <c r="BF221" s="41">
        <f>BE224</f>
        <v/>
      </c>
      <c r="BG221" s="41">
        <f>BF224</f>
        <v/>
      </c>
      <c r="BH221" s="41">
        <f>BG224</f>
        <v/>
      </c>
      <c r="BI221" s="41">
        <f>BH224</f>
        <v/>
      </c>
      <c r="BJ221" s="41">
        <f>BI224</f>
        <v/>
      </c>
    </row>
    <row r="222">
      <c r="A222" s="4" t="inlineStr">
        <is>
          <t>Ghana: Agency / partner: Agency tier: new</t>
        </is>
      </c>
      <c r="B222" s="17" t="inlineStr">
        <is>
          <t>workspaces</t>
        </is>
      </c>
      <c r="C222" s="41">
        <f>C129</f>
        <v/>
      </c>
      <c r="D222" s="41">
        <f>D129</f>
        <v/>
      </c>
      <c r="E222" s="41">
        <f>E129</f>
        <v/>
      </c>
      <c r="F222" s="41">
        <f>F129</f>
        <v/>
      </c>
      <c r="G222" s="41">
        <f>G129</f>
        <v/>
      </c>
      <c r="H222" s="41">
        <f>H129</f>
        <v/>
      </c>
      <c r="I222" s="41">
        <f>I129</f>
        <v/>
      </c>
      <c r="J222" s="41">
        <f>J129</f>
        <v/>
      </c>
      <c r="K222" s="41">
        <f>K129</f>
        <v/>
      </c>
      <c r="L222" s="41">
        <f>L129</f>
        <v/>
      </c>
      <c r="M222" s="41">
        <f>M129</f>
        <v/>
      </c>
      <c r="N222" s="41">
        <f>N129</f>
        <v/>
      </c>
      <c r="O222" s="41">
        <f>O129</f>
        <v/>
      </c>
      <c r="P222" s="41">
        <f>P129</f>
        <v/>
      </c>
      <c r="Q222" s="41">
        <f>Q129</f>
        <v/>
      </c>
      <c r="R222" s="41">
        <f>R129</f>
        <v/>
      </c>
      <c r="S222" s="41">
        <f>S129</f>
        <v/>
      </c>
      <c r="T222" s="41">
        <f>T129</f>
        <v/>
      </c>
      <c r="U222" s="41">
        <f>U129</f>
        <v/>
      </c>
      <c r="V222" s="41">
        <f>V129</f>
        <v/>
      </c>
      <c r="W222" s="41">
        <f>W129</f>
        <v/>
      </c>
      <c r="X222" s="41">
        <f>X129</f>
        <v/>
      </c>
      <c r="Y222" s="41">
        <f>Y129</f>
        <v/>
      </c>
      <c r="Z222" s="41">
        <f>Z129</f>
        <v/>
      </c>
      <c r="AA222" s="41">
        <f>AA129</f>
        <v/>
      </c>
      <c r="AB222" s="41">
        <f>AB129</f>
        <v/>
      </c>
      <c r="AC222" s="41">
        <f>AC129</f>
        <v/>
      </c>
      <c r="AD222" s="41">
        <f>AD129</f>
        <v/>
      </c>
      <c r="AE222" s="41">
        <f>AE129</f>
        <v/>
      </c>
      <c r="AF222" s="41">
        <f>AF129</f>
        <v/>
      </c>
      <c r="AG222" s="41">
        <f>AG129</f>
        <v/>
      </c>
      <c r="AH222" s="41">
        <f>AH129</f>
        <v/>
      </c>
      <c r="AI222" s="41">
        <f>AI129</f>
        <v/>
      </c>
      <c r="AJ222" s="41">
        <f>AJ129</f>
        <v/>
      </c>
      <c r="AK222" s="41">
        <f>AK129</f>
        <v/>
      </c>
      <c r="AL222" s="41">
        <f>AL129</f>
        <v/>
      </c>
      <c r="AM222" s="41">
        <f>AM129</f>
        <v/>
      </c>
      <c r="AN222" s="41">
        <f>AN129</f>
        <v/>
      </c>
      <c r="AO222" s="41">
        <f>AO129</f>
        <v/>
      </c>
      <c r="AP222" s="41">
        <f>AP129</f>
        <v/>
      </c>
      <c r="AQ222" s="41">
        <f>AQ129</f>
        <v/>
      </c>
      <c r="AR222" s="41">
        <f>AR129</f>
        <v/>
      </c>
      <c r="AS222" s="41">
        <f>AS129</f>
        <v/>
      </c>
      <c r="AT222" s="41">
        <f>AT129</f>
        <v/>
      </c>
      <c r="AU222" s="41">
        <f>AU129</f>
        <v/>
      </c>
      <c r="AV222" s="41">
        <f>AV129</f>
        <v/>
      </c>
      <c r="AW222" s="41">
        <f>AW129</f>
        <v/>
      </c>
      <c r="AX222" s="41">
        <f>AX129</f>
        <v/>
      </c>
      <c r="AY222" s="41">
        <f>AY129</f>
        <v/>
      </c>
      <c r="AZ222" s="41">
        <f>AZ129</f>
        <v/>
      </c>
      <c r="BA222" s="41">
        <f>BA129</f>
        <v/>
      </c>
      <c r="BB222" s="41">
        <f>BB129</f>
        <v/>
      </c>
      <c r="BC222" s="41">
        <f>BC129</f>
        <v/>
      </c>
      <c r="BD222" s="41">
        <f>BD129</f>
        <v/>
      </c>
      <c r="BE222" s="41">
        <f>BE129</f>
        <v/>
      </c>
      <c r="BF222" s="41">
        <f>BF129</f>
        <v/>
      </c>
      <c r="BG222" s="41">
        <f>BG129</f>
        <v/>
      </c>
      <c r="BH222" s="41">
        <f>BH129</f>
        <v/>
      </c>
      <c r="BI222" s="41">
        <f>BI129</f>
        <v/>
      </c>
      <c r="BJ222" s="41">
        <f>BJ129</f>
        <v/>
      </c>
    </row>
    <row r="223">
      <c r="A223" s="4" t="inlineStr">
        <is>
          <t>Ghana: Agency / partner: Agency tier: churned</t>
        </is>
      </c>
      <c r="B223" s="17" t="inlineStr">
        <is>
          <t>workspaces</t>
        </is>
      </c>
      <c r="C223" s="41">
        <f>C221*Assumptions!$B$136*Assumptions!$B$50*Assumptions!$B$35*Assumptions!$B$91</f>
        <v/>
      </c>
      <c r="D223" s="41">
        <f>D221*Assumptions!$B$136*Assumptions!$B$50*Assumptions!$B$35*Assumptions!$B$91</f>
        <v/>
      </c>
      <c r="E223" s="41">
        <f>E221*Assumptions!$B$136*Assumptions!$B$50*Assumptions!$B$35*Assumptions!$B$91</f>
        <v/>
      </c>
      <c r="F223" s="41">
        <f>F221*Assumptions!$B$136*Assumptions!$B$50*Assumptions!$B$35*Assumptions!$B$91</f>
        <v/>
      </c>
      <c r="G223" s="41">
        <f>G221*Assumptions!$B$136*Assumptions!$B$50*Assumptions!$B$35*Assumptions!$B$91</f>
        <v/>
      </c>
      <c r="H223" s="41">
        <f>H221*Assumptions!$B$136*Assumptions!$B$50*Assumptions!$B$35*Assumptions!$B$91</f>
        <v/>
      </c>
      <c r="I223" s="41">
        <f>I221*Assumptions!$B$136*Assumptions!$B$50*Assumptions!$B$35*Assumptions!$B$91</f>
        <v/>
      </c>
      <c r="J223" s="41">
        <f>J221*Assumptions!$B$136*Assumptions!$B$50*Assumptions!$B$35*Assumptions!$B$91</f>
        <v/>
      </c>
      <c r="K223" s="41">
        <f>K221*Assumptions!$B$136*Assumptions!$B$50*Assumptions!$B$35*Assumptions!$B$91</f>
        <v/>
      </c>
      <c r="L223" s="41">
        <f>L221*Assumptions!$B$136*Assumptions!$B$50*Assumptions!$B$35*Assumptions!$B$91</f>
        <v/>
      </c>
      <c r="M223" s="41">
        <f>M221*Assumptions!$B$136*Assumptions!$B$50*Assumptions!$B$35*Assumptions!$B$91</f>
        <v/>
      </c>
      <c r="N223" s="41">
        <f>N221*Assumptions!$B$136*Assumptions!$B$50*Assumptions!$B$35*Assumptions!$B$91</f>
        <v/>
      </c>
      <c r="O223" s="41">
        <f>O221*Assumptions!$B$136*Assumptions!$B$50*Assumptions!$B$35*Assumptions!$B$91</f>
        <v/>
      </c>
      <c r="P223" s="41">
        <f>P221*Assumptions!$B$136*Assumptions!$B$50*Assumptions!$B$35*Assumptions!$B$91</f>
        <v/>
      </c>
      <c r="Q223" s="41">
        <f>Q221*Assumptions!$B$136*Assumptions!$B$50*Assumptions!$B$35*Assumptions!$B$91</f>
        <v/>
      </c>
      <c r="R223" s="41">
        <f>R221*Assumptions!$B$136*Assumptions!$B$50*Assumptions!$B$35*Assumptions!$B$91</f>
        <v/>
      </c>
      <c r="S223" s="41">
        <f>S221*Assumptions!$B$136*Assumptions!$B$50*Assumptions!$B$35*Assumptions!$B$91</f>
        <v/>
      </c>
      <c r="T223" s="41">
        <f>T221*Assumptions!$B$136*Assumptions!$B$50*Assumptions!$B$35*Assumptions!$B$91</f>
        <v/>
      </c>
      <c r="U223" s="41">
        <f>U221*Assumptions!$B$136*Assumptions!$B$50*Assumptions!$B$35*Assumptions!$B$91</f>
        <v/>
      </c>
      <c r="V223" s="41">
        <f>V221*Assumptions!$B$136*Assumptions!$B$50*Assumptions!$B$35*Assumptions!$B$91</f>
        <v/>
      </c>
      <c r="W223" s="41">
        <f>W221*Assumptions!$B$136*Assumptions!$B$50*Assumptions!$B$35*Assumptions!$B$91</f>
        <v/>
      </c>
      <c r="X223" s="41">
        <f>X221*Assumptions!$B$136*Assumptions!$B$50*Assumptions!$B$35*Assumptions!$B$91</f>
        <v/>
      </c>
      <c r="Y223" s="41">
        <f>Y221*Assumptions!$B$136*Assumptions!$B$50*Assumptions!$B$35*Assumptions!$B$91</f>
        <v/>
      </c>
      <c r="Z223" s="41">
        <f>Z221*Assumptions!$B$136*Assumptions!$B$50*Assumptions!$B$35*Assumptions!$B$91</f>
        <v/>
      </c>
      <c r="AA223" s="41">
        <f>AA221*Assumptions!$B$136*Assumptions!$B$50*Assumptions!$B$35*Assumptions!$B$91</f>
        <v/>
      </c>
      <c r="AB223" s="41">
        <f>AB221*Assumptions!$B$136*Assumptions!$B$50*Assumptions!$B$35*Assumptions!$B$91</f>
        <v/>
      </c>
      <c r="AC223" s="41">
        <f>AC221*Assumptions!$B$136*Assumptions!$B$50*Assumptions!$B$35*Assumptions!$B$91</f>
        <v/>
      </c>
      <c r="AD223" s="41">
        <f>AD221*Assumptions!$B$136*Assumptions!$B$50*Assumptions!$B$35*Assumptions!$B$91</f>
        <v/>
      </c>
      <c r="AE223" s="41">
        <f>AE221*Assumptions!$B$136*Assumptions!$B$50*Assumptions!$B$35*Assumptions!$B$91</f>
        <v/>
      </c>
      <c r="AF223" s="41">
        <f>AF221*Assumptions!$B$136*Assumptions!$B$50*Assumptions!$B$35*Assumptions!$B$91</f>
        <v/>
      </c>
      <c r="AG223" s="41">
        <f>AG221*Assumptions!$B$136*Assumptions!$B$50*Assumptions!$B$35*Assumptions!$B$91</f>
        <v/>
      </c>
      <c r="AH223" s="41">
        <f>AH221*Assumptions!$B$136*Assumptions!$B$50*Assumptions!$B$35*Assumptions!$B$91</f>
        <v/>
      </c>
      <c r="AI223" s="41">
        <f>AI221*Assumptions!$B$136*Assumptions!$B$50*Assumptions!$B$35*Assumptions!$B$91</f>
        <v/>
      </c>
      <c r="AJ223" s="41">
        <f>AJ221*Assumptions!$B$136*Assumptions!$B$50*Assumptions!$B$35*Assumptions!$B$91</f>
        <v/>
      </c>
      <c r="AK223" s="41">
        <f>AK221*Assumptions!$B$136*Assumptions!$B$50*Assumptions!$B$35*Assumptions!$B$91</f>
        <v/>
      </c>
      <c r="AL223" s="41">
        <f>AL221*Assumptions!$B$136*Assumptions!$B$50*Assumptions!$B$35*Assumptions!$B$91</f>
        <v/>
      </c>
      <c r="AM223" s="41">
        <f>AM221*Assumptions!$B$136*Assumptions!$B$50*Assumptions!$B$35*Assumptions!$B$91</f>
        <v/>
      </c>
      <c r="AN223" s="41">
        <f>AN221*Assumptions!$B$136*Assumptions!$B$50*Assumptions!$B$35*Assumptions!$B$91</f>
        <v/>
      </c>
      <c r="AO223" s="41">
        <f>AO221*Assumptions!$B$136*Assumptions!$B$50*Assumptions!$B$35*Assumptions!$B$91</f>
        <v/>
      </c>
      <c r="AP223" s="41">
        <f>AP221*Assumptions!$B$136*Assumptions!$B$50*Assumptions!$B$35*Assumptions!$B$91</f>
        <v/>
      </c>
      <c r="AQ223" s="41">
        <f>AQ221*Assumptions!$B$136*Assumptions!$B$50*Assumptions!$B$35*Assumptions!$B$91</f>
        <v/>
      </c>
      <c r="AR223" s="41">
        <f>AR221*Assumptions!$B$136*Assumptions!$B$50*Assumptions!$B$35*Assumptions!$B$91</f>
        <v/>
      </c>
      <c r="AS223" s="41">
        <f>AS221*Assumptions!$B$136*Assumptions!$B$50*Assumptions!$B$35*Assumptions!$B$91</f>
        <v/>
      </c>
      <c r="AT223" s="41">
        <f>AT221*Assumptions!$B$136*Assumptions!$B$50*Assumptions!$B$35*Assumptions!$B$91</f>
        <v/>
      </c>
      <c r="AU223" s="41">
        <f>AU221*Assumptions!$B$136*Assumptions!$B$50*Assumptions!$B$35*Assumptions!$B$91</f>
        <v/>
      </c>
      <c r="AV223" s="41">
        <f>AV221*Assumptions!$B$136*Assumptions!$B$50*Assumptions!$B$35*Assumptions!$B$91</f>
        <v/>
      </c>
      <c r="AW223" s="41">
        <f>AW221*Assumptions!$B$136*Assumptions!$B$50*Assumptions!$B$35*Assumptions!$B$91</f>
        <v/>
      </c>
      <c r="AX223" s="41">
        <f>AX221*Assumptions!$B$136*Assumptions!$B$50*Assumptions!$B$35*Assumptions!$B$91</f>
        <v/>
      </c>
      <c r="AY223" s="41">
        <f>AY221*Assumptions!$B$136*Assumptions!$B$50*Assumptions!$B$35*Assumptions!$B$91</f>
        <v/>
      </c>
      <c r="AZ223" s="41">
        <f>AZ221*Assumptions!$B$136*Assumptions!$B$50*Assumptions!$B$35*Assumptions!$B$91</f>
        <v/>
      </c>
      <c r="BA223" s="41">
        <f>BA221*Assumptions!$B$136*Assumptions!$B$50*Assumptions!$B$35*Assumptions!$B$91</f>
        <v/>
      </c>
      <c r="BB223" s="41">
        <f>BB221*Assumptions!$B$136*Assumptions!$B$50*Assumptions!$B$35*Assumptions!$B$91</f>
        <v/>
      </c>
      <c r="BC223" s="41">
        <f>BC221*Assumptions!$B$136*Assumptions!$B$50*Assumptions!$B$35*Assumptions!$B$91</f>
        <v/>
      </c>
      <c r="BD223" s="41">
        <f>BD221*Assumptions!$B$136*Assumptions!$B$50*Assumptions!$B$35*Assumptions!$B$91</f>
        <v/>
      </c>
      <c r="BE223" s="41">
        <f>BE221*Assumptions!$B$136*Assumptions!$B$50*Assumptions!$B$35*Assumptions!$B$91</f>
        <v/>
      </c>
      <c r="BF223" s="41">
        <f>BF221*Assumptions!$B$136*Assumptions!$B$50*Assumptions!$B$35*Assumptions!$B$91</f>
        <v/>
      </c>
      <c r="BG223" s="41">
        <f>BG221*Assumptions!$B$136*Assumptions!$B$50*Assumptions!$B$35*Assumptions!$B$91</f>
        <v/>
      </c>
      <c r="BH223" s="41">
        <f>BH221*Assumptions!$B$136*Assumptions!$B$50*Assumptions!$B$35*Assumptions!$B$91</f>
        <v/>
      </c>
      <c r="BI223" s="41">
        <f>BI221*Assumptions!$B$136*Assumptions!$B$50*Assumptions!$B$35*Assumptions!$B$91</f>
        <v/>
      </c>
      <c r="BJ223" s="41">
        <f>BJ221*Assumptions!$B$136*Assumptions!$B$50*Assumptions!$B$35*Assumptions!$B$91</f>
        <v/>
      </c>
    </row>
    <row r="224">
      <c r="A224" s="3" t="inlineStr">
        <is>
          <t>Ghana: Agency / partner: Agency tier: closing</t>
        </is>
      </c>
      <c r="B224" s="17" t="inlineStr">
        <is>
          <t>workspaces</t>
        </is>
      </c>
      <c r="C224" s="44">
        <f>C221+C222-C223</f>
        <v/>
      </c>
      <c r="D224" s="44">
        <f>D221+D222-D223</f>
        <v/>
      </c>
      <c r="E224" s="44">
        <f>E221+E222-E223</f>
        <v/>
      </c>
      <c r="F224" s="44">
        <f>F221+F222-F223</f>
        <v/>
      </c>
      <c r="G224" s="44">
        <f>G221+G222-G223</f>
        <v/>
      </c>
      <c r="H224" s="44">
        <f>H221+H222-H223</f>
        <v/>
      </c>
      <c r="I224" s="44">
        <f>I221+I222-I223</f>
        <v/>
      </c>
      <c r="J224" s="44">
        <f>J221+J222-J223</f>
        <v/>
      </c>
      <c r="K224" s="44">
        <f>K221+K222-K223</f>
        <v/>
      </c>
      <c r="L224" s="44">
        <f>L221+L222-L223</f>
        <v/>
      </c>
      <c r="M224" s="44">
        <f>M221+M222-M223</f>
        <v/>
      </c>
      <c r="N224" s="44">
        <f>N221+N222-N223</f>
        <v/>
      </c>
      <c r="O224" s="44">
        <f>O221+O222-O223</f>
        <v/>
      </c>
      <c r="P224" s="44">
        <f>P221+P222-P223</f>
        <v/>
      </c>
      <c r="Q224" s="44">
        <f>Q221+Q222-Q223</f>
        <v/>
      </c>
      <c r="R224" s="44">
        <f>R221+R222-R223</f>
        <v/>
      </c>
      <c r="S224" s="44">
        <f>S221+S222-S223</f>
        <v/>
      </c>
      <c r="T224" s="44">
        <f>T221+T222-T223</f>
        <v/>
      </c>
      <c r="U224" s="44">
        <f>U221+U222-U223</f>
        <v/>
      </c>
      <c r="V224" s="44">
        <f>V221+V222-V223</f>
        <v/>
      </c>
      <c r="W224" s="44">
        <f>W221+W222-W223</f>
        <v/>
      </c>
      <c r="X224" s="44">
        <f>X221+X222-X223</f>
        <v/>
      </c>
      <c r="Y224" s="44">
        <f>Y221+Y222-Y223</f>
        <v/>
      </c>
      <c r="Z224" s="44">
        <f>Z221+Z222-Z223</f>
        <v/>
      </c>
      <c r="AA224" s="44">
        <f>AA221+AA222-AA223</f>
        <v/>
      </c>
      <c r="AB224" s="44">
        <f>AB221+AB222-AB223</f>
        <v/>
      </c>
      <c r="AC224" s="44">
        <f>AC221+AC222-AC223</f>
        <v/>
      </c>
      <c r="AD224" s="44">
        <f>AD221+AD222-AD223</f>
        <v/>
      </c>
      <c r="AE224" s="44">
        <f>AE221+AE222-AE223</f>
        <v/>
      </c>
      <c r="AF224" s="44">
        <f>AF221+AF222-AF223</f>
        <v/>
      </c>
      <c r="AG224" s="44">
        <f>AG221+AG222-AG223</f>
        <v/>
      </c>
      <c r="AH224" s="44">
        <f>AH221+AH222-AH223</f>
        <v/>
      </c>
      <c r="AI224" s="44">
        <f>AI221+AI222-AI223</f>
        <v/>
      </c>
      <c r="AJ224" s="44">
        <f>AJ221+AJ222-AJ223</f>
        <v/>
      </c>
      <c r="AK224" s="44">
        <f>AK221+AK222-AK223</f>
        <v/>
      </c>
      <c r="AL224" s="44">
        <f>AL221+AL222-AL223</f>
        <v/>
      </c>
      <c r="AM224" s="44">
        <f>AM221+AM222-AM223</f>
        <v/>
      </c>
      <c r="AN224" s="44">
        <f>AN221+AN222-AN223</f>
        <v/>
      </c>
      <c r="AO224" s="44">
        <f>AO221+AO222-AO223</f>
        <v/>
      </c>
      <c r="AP224" s="44">
        <f>AP221+AP222-AP223</f>
        <v/>
      </c>
      <c r="AQ224" s="44">
        <f>AQ221+AQ222-AQ223</f>
        <v/>
      </c>
      <c r="AR224" s="44">
        <f>AR221+AR222-AR223</f>
        <v/>
      </c>
      <c r="AS224" s="44">
        <f>AS221+AS222-AS223</f>
        <v/>
      </c>
      <c r="AT224" s="44">
        <f>AT221+AT222-AT223</f>
        <v/>
      </c>
      <c r="AU224" s="44">
        <f>AU221+AU222-AU223</f>
        <v/>
      </c>
      <c r="AV224" s="44">
        <f>AV221+AV222-AV223</f>
        <v/>
      </c>
      <c r="AW224" s="44">
        <f>AW221+AW222-AW223</f>
        <v/>
      </c>
      <c r="AX224" s="44">
        <f>AX221+AX222-AX223</f>
        <v/>
      </c>
      <c r="AY224" s="44">
        <f>AY221+AY222-AY223</f>
        <v/>
      </c>
      <c r="AZ224" s="44">
        <f>AZ221+AZ222-AZ223</f>
        <v/>
      </c>
      <c r="BA224" s="44">
        <f>BA221+BA222-BA223</f>
        <v/>
      </c>
      <c r="BB224" s="44">
        <f>BB221+BB222-BB223</f>
        <v/>
      </c>
      <c r="BC224" s="44">
        <f>BC221+BC222-BC223</f>
        <v/>
      </c>
      <c r="BD224" s="44">
        <f>BD221+BD222-BD223</f>
        <v/>
      </c>
      <c r="BE224" s="44">
        <f>BE221+BE222-BE223</f>
        <v/>
      </c>
      <c r="BF224" s="44">
        <f>BF221+BF222-BF223</f>
        <v/>
      </c>
      <c r="BG224" s="44">
        <f>BG221+BG222-BG223</f>
        <v/>
      </c>
      <c r="BH224" s="44">
        <f>BH221+BH222-BH223</f>
        <v/>
      </c>
      <c r="BI224" s="44">
        <f>BI221+BI222-BI223</f>
        <v/>
      </c>
      <c r="BJ224" s="44">
        <f>BJ221+BJ222-BJ223</f>
        <v/>
      </c>
    </row>
    <row r="225">
      <c r="A225" s="4" t="inlineStr">
        <is>
          <t>Rest of Africa (USD): Solo: Starter: opening</t>
        </is>
      </c>
      <c r="B225" s="17" t="inlineStr">
        <is>
          <t>workspaces</t>
        </is>
      </c>
      <c r="C225" s="41">
        <f>0</f>
        <v/>
      </c>
      <c r="D225" s="41">
        <f>C229</f>
        <v/>
      </c>
      <c r="E225" s="41">
        <f>D229</f>
        <v/>
      </c>
      <c r="F225" s="41">
        <f>E229</f>
        <v/>
      </c>
      <c r="G225" s="41">
        <f>F229</f>
        <v/>
      </c>
      <c r="H225" s="41">
        <f>G229</f>
        <v/>
      </c>
      <c r="I225" s="41">
        <f>H229</f>
        <v/>
      </c>
      <c r="J225" s="41">
        <f>I229</f>
        <v/>
      </c>
      <c r="K225" s="41">
        <f>J229</f>
        <v/>
      </c>
      <c r="L225" s="41">
        <f>K229</f>
        <v/>
      </c>
      <c r="M225" s="41">
        <f>L229</f>
        <v/>
      </c>
      <c r="N225" s="41">
        <f>M229</f>
        <v/>
      </c>
      <c r="O225" s="41">
        <f>N229</f>
        <v/>
      </c>
      <c r="P225" s="41">
        <f>O229</f>
        <v/>
      </c>
      <c r="Q225" s="41">
        <f>P229</f>
        <v/>
      </c>
      <c r="R225" s="41">
        <f>Q229</f>
        <v/>
      </c>
      <c r="S225" s="41">
        <f>R229</f>
        <v/>
      </c>
      <c r="T225" s="41">
        <f>S229</f>
        <v/>
      </c>
      <c r="U225" s="41">
        <f>T229</f>
        <v/>
      </c>
      <c r="V225" s="41">
        <f>U229</f>
        <v/>
      </c>
      <c r="W225" s="41">
        <f>V229</f>
        <v/>
      </c>
      <c r="X225" s="41">
        <f>W229</f>
        <v/>
      </c>
      <c r="Y225" s="41">
        <f>X229</f>
        <v/>
      </c>
      <c r="Z225" s="41">
        <f>Y229</f>
        <v/>
      </c>
      <c r="AA225" s="41">
        <f>Z229</f>
        <v/>
      </c>
      <c r="AB225" s="41">
        <f>AA229</f>
        <v/>
      </c>
      <c r="AC225" s="41">
        <f>AB229</f>
        <v/>
      </c>
      <c r="AD225" s="41">
        <f>AC229</f>
        <v/>
      </c>
      <c r="AE225" s="41">
        <f>AD229</f>
        <v/>
      </c>
      <c r="AF225" s="41">
        <f>AE229</f>
        <v/>
      </c>
      <c r="AG225" s="41">
        <f>AF229</f>
        <v/>
      </c>
      <c r="AH225" s="41">
        <f>AG229</f>
        <v/>
      </c>
      <c r="AI225" s="41">
        <f>AH229</f>
        <v/>
      </c>
      <c r="AJ225" s="41">
        <f>AI229</f>
        <v/>
      </c>
      <c r="AK225" s="41">
        <f>AJ229</f>
        <v/>
      </c>
      <c r="AL225" s="41">
        <f>AK229</f>
        <v/>
      </c>
      <c r="AM225" s="41">
        <f>AL229</f>
        <v/>
      </c>
      <c r="AN225" s="41">
        <f>AM229</f>
        <v/>
      </c>
      <c r="AO225" s="41">
        <f>AN229</f>
        <v/>
      </c>
      <c r="AP225" s="41">
        <f>AO229</f>
        <v/>
      </c>
      <c r="AQ225" s="41">
        <f>AP229</f>
        <v/>
      </c>
      <c r="AR225" s="41">
        <f>AQ229</f>
        <v/>
      </c>
      <c r="AS225" s="41">
        <f>AR229</f>
        <v/>
      </c>
      <c r="AT225" s="41">
        <f>AS229</f>
        <v/>
      </c>
      <c r="AU225" s="41">
        <f>AT229</f>
        <v/>
      </c>
      <c r="AV225" s="41">
        <f>AU229</f>
        <v/>
      </c>
      <c r="AW225" s="41">
        <f>AV229</f>
        <v/>
      </c>
      <c r="AX225" s="41">
        <f>AW229</f>
        <v/>
      </c>
      <c r="AY225" s="41">
        <f>AX229</f>
        <v/>
      </c>
      <c r="AZ225" s="41">
        <f>AY229</f>
        <v/>
      </c>
      <c r="BA225" s="41">
        <f>AZ229</f>
        <v/>
      </c>
      <c r="BB225" s="41">
        <f>BA229</f>
        <v/>
      </c>
      <c r="BC225" s="41">
        <f>BB229</f>
        <v/>
      </c>
      <c r="BD225" s="41">
        <f>BC229</f>
        <v/>
      </c>
      <c r="BE225" s="41">
        <f>BD229</f>
        <v/>
      </c>
      <c r="BF225" s="41">
        <f>BE229</f>
        <v/>
      </c>
      <c r="BG225" s="41">
        <f>BF229</f>
        <v/>
      </c>
      <c r="BH225" s="41">
        <f>BG229</f>
        <v/>
      </c>
      <c r="BI225" s="41">
        <f>BH229</f>
        <v/>
      </c>
      <c r="BJ225" s="41">
        <f>BI229</f>
        <v/>
      </c>
    </row>
    <row r="226">
      <c r="A226" s="4" t="inlineStr">
        <is>
          <t>Rest of Africa (USD): Solo: Starter: new</t>
        </is>
      </c>
      <c r="B226" s="17" t="inlineStr">
        <is>
          <t>workspaces</t>
        </is>
      </c>
      <c r="C226" s="41">
        <f>C121*(1-Assumptions!$B$125)</f>
        <v/>
      </c>
      <c r="D226" s="41">
        <f>D121*(1-Assumptions!$B$125)</f>
        <v/>
      </c>
      <c r="E226" s="41">
        <f>E121*(1-Assumptions!$B$125)</f>
        <v/>
      </c>
      <c r="F226" s="41">
        <f>F121*(1-Assumptions!$B$125)</f>
        <v/>
      </c>
      <c r="G226" s="41">
        <f>G121*(1-Assumptions!$B$125)</f>
        <v/>
      </c>
      <c r="H226" s="41">
        <f>H121*(1-Assumptions!$B$125)</f>
        <v/>
      </c>
      <c r="I226" s="41">
        <f>I121*(1-Assumptions!$B$125)</f>
        <v/>
      </c>
      <c r="J226" s="41">
        <f>J121*(1-Assumptions!$B$125)</f>
        <v/>
      </c>
      <c r="K226" s="41">
        <f>K121*(1-Assumptions!$B$125)</f>
        <v/>
      </c>
      <c r="L226" s="41">
        <f>L121*(1-Assumptions!$B$125)</f>
        <v/>
      </c>
      <c r="M226" s="41">
        <f>M121*(1-Assumptions!$B$125)</f>
        <v/>
      </c>
      <c r="N226" s="41">
        <f>N121*(1-Assumptions!$B$125)</f>
        <v/>
      </c>
      <c r="O226" s="41">
        <f>O121*(1-Assumptions!$B$125)</f>
        <v/>
      </c>
      <c r="P226" s="41">
        <f>P121*(1-Assumptions!$B$125)</f>
        <v/>
      </c>
      <c r="Q226" s="41">
        <f>Q121*(1-Assumptions!$B$125)</f>
        <v/>
      </c>
      <c r="R226" s="41">
        <f>R121*(1-Assumptions!$B$125)</f>
        <v/>
      </c>
      <c r="S226" s="41">
        <f>S121*(1-Assumptions!$B$125)</f>
        <v/>
      </c>
      <c r="T226" s="41">
        <f>T121*(1-Assumptions!$B$125)</f>
        <v/>
      </c>
      <c r="U226" s="41">
        <f>U121*(1-Assumptions!$B$125)</f>
        <v/>
      </c>
      <c r="V226" s="41">
        <f>V121*(1-Assumptions!$B$125)</f>
        <v/>
      </c>
      <c r="W226" s="41">
        <f>W121*(1-Assumptions!$B$125)</f>
        <v/>
      </c>
      <c r="X226" s="41">
        <f>X121*(1-Assumptions!$B$125)</f>
        <v/>
      </c>
      <c r="Y226" s="41">
        <f>Y121*(1-Assumptions!$B$125)</f>
        <v/>
      </c>
      <c r="Z226" s="41">
        <f>Z121*(1-Assumptions!$B$125)</f>
        <v/>
      </c>
      <c r="AA226" s="41">
        <f>AA121*(1-Assumptions!$B$125)</f>
        <v/>
      </c>
      <c r="AB226" s="41">
        <f>AB121*(1-Assumptions!$B$125)</f>
        <v/>
      </c>
      <c r="AC226" s="41">
        <f>AC121*(1-Assumptions!$B$125)</f>
        <v/>
      </c>
      <c r="AD226" s="41">
        <f>AD121*(1-Assumptions!$B$125)</f>
        <v/>
      </c>
      <c r="AE226" s="41">
        <f>AE121*(1-Assumptions!$B$125)</f>
        <v/>
      </c>
      <c r="AF226" s="41">
        <f>AF121*(1-Assumptions!$B$125)</f>
        <v/>
      </c>
      <c r="AG226" s="41">
        <f>AG121*(1-Assumptions!$B$125)</f>
        <v/>
      </c>
      <c r="AH226" s="41">
        <f>AH121*(1-Assumptions!$B$125)</f>
        <v/>
      </c>
      <c r="AI226" s="41">
        <f>AI121*(1-Assumptions!$B$125)</f>
        <v/>
      </c>
      <c r="AJ226" s="41">
        <f>AJ121*(1-Assumptions!$B$125)</f>
        <v/>
      </c>
      <c r="AK226" s="41">
        <f>AK121*(1-Assumptions!$B$125)</f>
        <v/>
      </c>
      <c r="AL226" s="41">
        <f>AL121*(1-Assumptions!$B$125)</f>
        <v/>
      </c>
      <c r="AM226" s="41">
        <f>AM121*(1-Assumptions!$B$125)</f>
        <v/>
      </c>
      <c r="AN226" s="41">
        <f>AN121*(1-Assumptions!$B$125)</f>
        <v/>
      </c>
      <c r="AO226" s="41">
        <f>AO121*(1-Assumptions!$B$125)</f>
        <v/>
      </c>
      <c r="AP226" s="41">
        <f>AP121*(1-Assumptions!$B$125)</f>
        <v/>
      </c>
      <c r="AQ226" s="41">
        <f>AQ121*(1-Assumptions!$B$125)</f>
        <v/>
      </c>
      <c r="AR226" s="41">
        <f>AR121*(1-Assumptions!$B$125)</f>
        <v/>
      </c>
      <c r="AS226" s="41">
        <f>AS121*(1-Assumptions!$B$125)</f>
        <v/>
      </c>
      <c r="AT226" s="41">
        <f>AT121*(1-Assumptions!$B$125)</f>
        <v/>
      </c>
      <c r="AU226" s="41">
        <f>AU121*(1-Assumptions!$B$125)</f>
        <v/>
      </c>
      <c r="AV226" s="41">
        <f>AV121*(1-Assumptions!$B$125)</f>
        <v/>
      </c>
      <c r="AW226" s="41">
        <f>AW121*(1-Assumptions!$B$125)</f>
        <v/>
      </c>
      <c r="AX226" s="41">
        <f>AX121*(1-Assumptions!$B$125)</f>
        <v/>
      </c>
      <c r="AY226" s="41">
        <f>AY121*(1-Assumptions!$B$125)</f>
        <v/>
      </c>
      <c r="AZ226" s="41">
        <f>AZ121*(1-Assumptions!$B$125)</f>
        <v/>
      </c>
      <c r="BA226" s="41">
        <f>BA121*(1-Assumptions!$B$125)</f>
        <v/>
      </c>
      <c r="BB226" s="41">
        <f>BB121*(1-Assumptions!$B$125)</f>
        <v/>
      </c>
      <c r="BC226" s="41">
        <f>BC121*(1-Assumptions!$B$125)</f>
        <v/>
      </c>
      <c r="BD226" s="41">
        <f>BD121*(1-Assumptions!$B$125)</f>
        <v/>
      </c>
      <c r="BE226" s="41">
        <f>BE121*(1-Assumptions!$B$125)</f>
        <v/>
      </c>
      <c r="BF226" s="41">
        <f>BF121*(1-Assumptions!$B$125)</f>
        <v/>
      </c>
      <c r="BG226" s="41">
        <f>BG121*(1-Assumptions!$B$125)</f>
        <v/>
      </c>
      <c r="BH226" s="41">
        <f>BH121*(1-Assumptions!$B$125)</f>
        <v/>
      </c>
      <c r="BI226" s="41">
        <f>BI121*(1-Assumptions!$B$125)</f>
        <v/>
      </c>
      <c r="BJ226" s="41">
        <f>BJ121*(1-Assumptions!$B$125)</f>
        <v/>
      </c>
    </row>
    <row r="227">
      <c r="A227" s="4" t="inlineStr">
        <is>
          <t>Rest of Africa (USD): Solo: Starter: churned</t>
        </is>
      </c>
      <c r="B227" s="17" t="inlineStr">
        <is>
          <t>workspaces</t>
        </is>
      </c>
      <c r="C227" s="41">
        <f>C225*Assumptions!$B$132*Assumptions!$B$50*Assumptions!$B$35*Assumptions!$B$101</f>
        <v/>
      </c>
      <c r="D227" s="41">
        <f>D225*Assumptions!$B$132*Assumptions!$B$50*Assumptions!$B$35*Assumptions!$B$101</f>
        <v/>
      </c>
      <c r="E227" s="41">
        <f>E225*Assumptions!$B$132*Assumptions!$B$50*Assumptions!$B$35*Assumptions!$B$101</f>
        <v/>
      </c>
      <c r="F227" s="41">
        <f>F225*Assumptions!$B$132*Assumptions!$B$50*Assumptions!$B$35*Assumptions!$B$101</f>
        <v/>
      </c>
      <c r="G227" s="41">
        <f>G225*Assumptions!$B$132*Assumptions!$B$50*Assumptions!$B$35*Assumptions!$B$101</f>
        <v/>
      </c>
      <c r="H227" s="41">
        <f>H225*Assumptions!$B$132*Assumptions!$B$50*Assumptions!$B$35*Assumptions!$B$101</f>
        <v/>
      </c>
      <c r="I227" s="41">
        <f>I225*Assumptions!$B$132*Assumptions!$B$50*Assumptions!$B$35*Assumptions!$B$101</f>
        <v/>
      </c>
      <c r="J227" s="41">
        <f>J225*Assumptions!$B$132*Assumptions!$B$50*Assumptions!$B$35*Assumptions!$B$101</f>
        <v/>
      </c>
      <c r="K227" s="41">
        <f>K225*Assumptions!$B$132*Assumptions!$B$50*Assumptions!$B$35*Assumptions!$B$101</f>
        <v/>
      </c>
      <c r="L227" s="41">
        <f>L225*Assumptions!$B$132*Assumptions!$B$50*Assumptions!$B$35*Assumptions!$B$101</f>
        <v/>
      </c>
      <c r="M227" s="41">
        <f>M225*Assumptions!$B$132*Assumptions!$B$50*Assumptions!$B$35*Assumptions!$B$101</f>
        <v/>
      </c>
      <c r="N227" s="41">
        <f>N225*Assumptions!$B$132*Assumptions!$B$50*Assumptions!$B$35*Assumptions!$B$101</f>
        <v/>
      </c>
      <c r="O227" s="41">
        <f>O225*Assumptions!$B$132*Assumptions!$B$50*Assumptions!$B$35*Assumptions!$B$101</f>
        <v/>
      </c>
      <c r="P227" s="41">
        <f>P225*Assumptions!$B$132*Assumptions!$B$50*Assumptions!$B$35*Assumptions!$B$101</f>
        <v/>
      </c>
      <c r="Q227" s="41">
        <f>Q225*Assumptions!$B$132*Assumptions!$B$50*Assumptions!$B$35*Assumptions!$B$101</f>
        <v/>
      </c>
      <c r="R227" s="41">
        <f>R225*Assumptions!$B$132*Assumptions!$B$50*Assumptions!$B$35*Assumptions!$B$101</f>
        <v/>
      </c>
      <c r="S227" s="41">
        <f>S225*Assumptions!$B$132*Assumptions!$B$50*Assumptions!$B$35*Assumptions!$B$101</f>
        <v/>
      </c>
      <c r="T227" s="41">
        <f>T225*Assumptions!$B$132*Assumptions!$B$50*Assumptions!$B$35*Assumptions!$B$101</f>
        <v/>
      </c>
      <c r="U227" s="41">
        <f>U225*Assumptions!$B$132*Assumptions!$B$50*Assumptions!$B$35*Assumptions!$B$101</f>
        <v/>
      </c>
      <c r="V227" s="41">
        <f>V225*Assumptions!$B$132*Assumptions!$B$50*Assumptions!$B$35*Assumptions!$B$101</f>
        <v/>
      </c>
      <c r="W227" s="41">
        <f>W225*Assumptions!$B$132*Assumptions!$B$50*Assumptions!$B$35*Assumptions!$B$101</f>
        <v/>
      </c>
      <c r="X227" s="41">
        <f>X225*Assumptions!$B$132*Assumptions!$B$50*Assumptions!$B$35*Assumptions!$B$101</f>
        <v/>
      </c>
      <c r="Y227" s="41">
        <f>Y225*Assumptions!$B$132*Assumptions!$B$50*Assumptions!$B$35*Assumptions!$B$101</f>
        <v/>
      </c>
      <c r="Z227" s="41">
        <f>Z225*Assumptions!$B$132*Assumptions!$B$50*Assumptions!$B$35*Assumptions!$B$101</f>
        <v/>
      </c>
      <c r="AA227" s="41">
        <f>AA225*Assumptions!$B$132*Assumptions!$B$50*Assumptions!$B$35*Assumptions!$B$101</f>
        <v/>
      </c>
      <c r="AB227" s="41">
        <f>AB225*Assumptions!$B$132*Assumptions!$B$50*Assumptions!$B$35*Assumptions!$B$101</f>
        <v/>
      </c>
      <c r="AC227" s="41">
        <f>AC225*Assumptions!$B$132*Assumptions!$B$50*Assumptions!$B$35*Assumptions!$B$101</f>
        <v/>
      </c>
      <c r="AD227" s="41">
        <f>AD225*Assumptions!$B$132*Assumptions!$B$50*Assumptions!$B$35*Assumptions!$B$101</f>
        <v/>
      </c>
      <c r="AE227" s="41">
        <f>AE225*Assumptions!$B$132*Assumptions!$B$50*Assumptions!$B$35*Assumptions!$B$101</f>
        <v/>
      </c>
      <c r="AF227" s="41">
        <f>AF225*Assumptions!$B$132*Assumptions!$B$50*Assumptions!$B$35*Assumptions!$B$101</f>
        <v/>
      </c>
      <c r="AG227" s="41">
        <f>AG225*Assumptions!$B$132*Assumptions!$B$50*Assumptions!$B$35*Assumptions!$B$101</f>
        <v/>
      </c>
      <c r="AH227" s="41">
        <f>AH225*Assumptions!$B$132*Assumptions!$B$50*Assumptions!$B$35*Assumptions!$B$101</f>
        <v/>
      </c>
      <c r="AI227" s="41">
        <f>AI225*Assumptions!$B$132*Assumptions!$B$50*Assumptions!$B$35*Assumptions!$B$101</f>
        <v/>
      </c>
      <c r="AJ227" s="41">
        <f>AJ225*Assumptions!$B$132*Assumptions!$B$50*Assumptions!$B$35*Assumptions!$B$101</f>
        <v/>
      </c>
      <c r="AK227" s="41">
        <f>AK225*Assumptions!$B$132*Assumptions!$B$50*Assumptions!$B$35*Assumptions!$B$101</f>
        <v/>
      </c>
      <c r="AL227" s="41">
        <f>AL225*Assumptions!$B$132*Assumptions!$B$50*Assumptions!$B$35*Assumptions!$B$101</f>
        <v/>
      </c>
      <c r="AM227" s="41">
        <f>AM225*Assumptions!$B$132*Assumptions!$B$50*Assumptions!$B$35*Assumptions!$B$101</f>
        <v/>
      </c>
      <c r="AN227" s="41">
        <f>AN225*Assumptions!$B$132*Assumptions!$B$50*Assumptions!$B$35*Assumptions!$B$101</f>
        <v/>
      </c>
      <c r="AO227" s="41">
        <f>AO225*Assumptions!$B$132*Assumptions!$B$50*Assumptions!$B$35*Assumptions!$B$101</f>
        <v/>
      </c>
      <c r="AP227" s="41">
        <f>AP225*Assumptions!$B$132*Assumptions!$B$50*Assumptions!$B$35*Assumptions!$B$101</f>
        <v/>
      </c>
      <c r="AQ227" s="41">
        <f>AQ225*Assumptions!$B$132*Assumptions!$B$50*Assumptions!$B$35*Assumptions!$B$101</f>
        <v/>
      </c>
      <c r="AR227" s="41">
        <f>AR225*Assumptions!$B$132*Assumptions!$B$50*Assumptions!$B$35*Assumptions!$B$101</f>
        <v/>
      </c>
      <c r="AS227" s="41">
        <f>AS225*Assumptions!$B$132*Assumptions!$B$50*Assumptions!$B$35*Assumptions!$B$101</f>
        <v/>
      </c>
      <c r="AT227" s="41">
        <f>AT225*Assumptions!$B$132*Assumptions!$B$50*Assumptions!$B$35*Assumptions!$B$101</f>
        <v/>
      </c>
      <c r="AU227" s="41">
        <f>AU225*Assumptions!$B$132*Assumptions!$B$50*Assumptions!$B$35*Assumptions!$B$101</f>
        <v/>
      </c>
      <c r="AV227" s="41">
        <f>AV225*Assumptions!$B$132*Assumptions!$B$50*Assumptions!$B$35*Assumptions!$B$101</f>
        <v/>
      </c>
      <c r="AW227" s="41">
        <f>AW225*Assumptions!$B$132*Assumptions!$B$50*Assumptions!$B$35*Assumptions!$B$101</f>
        <v/>
      </c>
      <c r="AX227" s="41">
        <f>AX225*Assumptions!$B$132*Assumptions!$B$50*Assumptions!$B$35*Assumptions!$B$101</f>
        <v/>
      </c>
      <c r="AY227" s="41">
        <f>AY225*Assumptions!$B$132*Assumptions!$B$50*Assumptions!$B$35*Assumptions!$B$101</f>
        <v/>
      </c>
      <c r="AZ227" s="41">
        <f>AZ225*Assumptions!$B$132*Assumptions!$B$50*Assumptions!$B$35*Assumptions!$B$101</f>
        <v/>
      </c>
      <c r="BA227" s="41">
        <f>BA225*Assumptions!$B$132*Assumptions!$B$50*Assumptions!$B$35*Assumptions!$B$101</f>
        <v/>
      </c>
      <c r="BB227" s="41">
        <f>BB225*Assumptions!$B$132*Assumptions!$B$50*Assumptions!$B$35*Assumptions!$B$101</f>
        <v/>
      </c>
      <c r="BC227" s="41">
        <f>BC225*Assumptions!$B$132*Assumptions!$B$50*Assumptions!$B$35*Assumptions!$B$101</f>
        <v/>
      </c>
      <c r="BD227" s="41">
        <f>BD225*Assumptions!$B$132*Assumptions!$B$50*Assumptions!$B$35*Assumptions!$B$101</f>
        <v/>
      </c>
      <c r="BE227" s="41">
        <f>BE225*Assumptions!$B$132*Assumptions!$B$50*Assumptions!$B$35*Assumptions!$B$101</f>
        <v/>
      </c>
      <c r="BF227" s="41">
        <f>BF225*Assumptions!$B$132*Assumptions!$B$50*Assumptions!$B$35*Assumptions!$B$101</f>
        <v/>
      </c>
      <c r="BG227" s="41">
        <f>BG225*Assumptions!$B$132*Assumptions!$B$50*Assumptions!$B$35*Assumptions!$B$101</f>
        <v/>
      </c>
      <c r="BH227" s="41">
        <f>BH225*Assumptions!$B$132*Assumptions!$B$50*Assumptions!$B$35*Assumptions!$B$101</f>
        <v/>
      </c>
      <c r="BI227" s="41">
        <f>BI225*Assumptions!$B$132*Assumptions!$B$50*Assumptions!$B$35*Assumptions!$B$101</f>
        <v/>
      </c>
      <c r="BJ227" s="41">
        <f>BJ225*Assumptions!$B$132*Assumptions!$B$50*Assumptions!$B$35*Assumptions!$B$101</f>
        <v/>
      </c>
    </row>
    <row r="228">
      <c r="A228" s="4" t="inlineStr">
        <is>
          <t>Rest of Africa (USD): Solo: Starter: upgraded out</t>
        </is>
      </c>
      <c r="B228" s="17" t="inlineStr">
        <is>
          <t>workspaces</t>
        </is>
      </c>
      <c r="C228" s="41">
        <f>C225*Assumptions!$B$127</f>
        <v/>
      </c>
      <c r="D228" s="41">
        <f>D225*Assumptions!$B$127</f>
        <v/>
      </c>
      <c r="E228" s="41">
        <f>E225*Assumptions!$B$127</f>
        <v/>
      </c>
      <c r="F228" s="41">
        <f>F225*Assumptions!$B$127</f>
        <v/>
      </c>
      <c r="G228" s="41">
        <f>G225*Assumptions!$B$127</f>
        <v/>
      </c>
      <c r="H228" s="41">
        <f>H225*Assumptions!$B$127</f>
        <v/>
      </c>
      <c r="I228" s="41">
        <f>I225*Assumptions!$B$127</f>
        <v/>
      </c>
      <c r="J228" s="41">
        <f>J225*Assumptions!$B$127</f>
        <v/>
      </c>
      <c r="K228" s="41">
        <f>K225*Assumptions!$B$127</f>
        <v/>
      </c>
      <c r="L228" s="41">
        <f>L225*Assumptions!$B$127</f>
        <v/>
      </c>
      <c r="M228" s="41">
        <f>M225*Assumptions!$B$127</f>
        <v/>
      </c>
      <c r="N228" s="41">
        <f>N225*Assumptions!$B$127</f>
        <v/>
      </c>
      <c r="O228" s="41">
        <f>O225*Assumptions!$B$127</f>
        <v/>
      </c>
      <c r="P228" s="41">
        <f>P225*Assumptions!$B$127</f>
        <v/>
      </c>
      <c r="Q228" s="41">
        <f>Q225*Assumptions!$B$127</f>
        <v/>
      </c>
      <c r="R228" s="41">
        <f>R225*Assumptions!$B$127</f>
        <v/>
      </c>
      <c r="S228" s="41">
        <f>S225*Assumptions!$B$127</f>
        <v/>
      </c>
      <c r="T228" s="41">
        <f>T225*Assumptions!$B$127</f>
        <v/>
      </c>
      <c r="U228" s="41">
        <f>U225*Assumptions!$B$127</f>
        <v/>
      </c>
      <c r="V228" s="41">
        <f>V225*Assumptions!$B$127</f>
        <v/>
      </c>
      <c r="W228" s="41">
        <f>W225*Assumptions!$B$127</f>
        <v/>
      </c>
      <c r="X228" s="41">
        <f>X225*Assumptions!$B$127</f>
        <v/>
      </c>
      <c r="Y228" s="41">
        <f>Y225*Assumptions!$B$127</f>
        <v/>
      </c>
      <c r="Z228" s="41">
        <f>Z225*Assumptions!$B$127</f>
        <v/>
      </c>
      <c r="AA228" s="41">
        <f>AA225*Assumptions!$B$127</f>
        <v/>
      </c>
      <c r="AB228" s="41">
        <f>AB225*Assumptions!$B$127</f>
        <v/>
      </c>
      <c r="AC228" s="41">
        <f>AC225*Assumptions!$B$127</f>
        <v/>
      </c>
      <c r="AD228" s="41">
        <f>AD225*Assumptions!$B$127</f>
        <v/>
      </c>
      <c r="AE228" s="41">
        <f>AE225*Assumptions!$B$127</f>
        <v/>
      </c>
      <c r="AF228" s="41">
        <f>AF225*Assumptions!$B$127</f>
        <v/>
      </c>
      <c r="AG228" s="41">
        <f>AG225*Assumptions!$B$127</f>
        <v/>
      </c>
      <c r="AH228" s="41">
        <f>AH225*Assumptions!$B$127</f>
        <v/>
      </c>
      <c r="AI228" s="41">
        <f>AI225*Assumptions!$B$127</f>
        <v/>
      </c>
      <c r="AJ228" s="41">
        <f>AJ225*Assumptions!$B$127</f>
        <v/>
      </c>
      <c r="AK228" s="41">
        <f>AK225*Assumptions!$B$127</f>
        <v/>
      </c>
      <c r="AL228" s="41">
        <f>AL225*Assumptions!$B$127</f>
        <v/>
      </c>
      <c r="AM228" s="41">
        <f>AM225*Assumptions!$B$127</f>
        <v/>
      </c>
      <c r="AN228" s="41">
        <f>AN225*Assumptions!$B$127</f>
        <v/>
      </c>
      <c r="AO228" s="41">
        <f>AO225*Assumptions!$B$127</f>
        <v/>
      </c>
      <c r="AP228" s="41">
        <f>AP225*Assumptions!$B$127</f>
        <v/>
      </c>
      <c r="AQ228" s="41">
        <f>AQ225*Assumptions!$B$127</f>
        <v/>
      </c>
      <c r="AR228" s="41">
        <f>AR225*Assumptions!$B$127</f>
        <v/>
      </c>
      <c r="AS228" s="41">
        <f>AS225*Assumptions!$B$127</f>
        <v/>
      </c>
      <c r="AT228" s="41">
        <f>AT225*Assumptions!$B$127</f>
        <v/>
      </c>
      <c r="AU228" s="41">
        <f>AU225*Assumptions!$B$127</f>
        <v/>
      </c>
      <c r="AV228" s="41">
        <f>AV225*Assumptions!$B$127</f>
        <v/>
      </c>
      <c r="AW228" s="41">
        <f>AW225*Assumptions!$B$127</f>
        <v/>
      </c>
      <c r="AX228" s="41">
        <f>AX225*Assumptions!$B$127</f>
        <v/>
      </c>
      <c r="AY228" s="41">
        <f>AY225*Assumptions!$B$127</f>
        <v/>
      </c>
      <c r="AZ228" s="41">
        <f>AZ225*Assumptions!$B$127</f>
        <v/>
      </c>
      <c r="BA228" s="41">
        <f>BA225*Assumptions!$B$127</f>
        <v/>
      </c>
      <c r="BB228" s="41">
        <f>BB225*Assumptions!$B$127</f>
        <v/>
      </c>
      <c r="BC228" s="41">
        <f>BC225*Assumptions!$B$127</f>
        <v/>
      </c>
      <c r="BD228" s="41">
        <f>BD225*Assumptions!$B$127</f>
        <v/>
      </c>
      <c r="BE228" s="41">
        <f>BE225*Assumptions!$B$127</f>
        <v/>
      </c>
      <c r="BF228" s="41">
        <f>BF225*Assumptions!$B$127</f>
        <v/>
      </c>
      <c r="BG228" s="41">
        <f>BG225*Assumptions!$B$127</f>
        <v/>
      </c>
      <c r="BH228" s="41">
        <f>BH225*Assumptions!$B$127</f>
        <v/>
      </c>
      <c r="BI228" s="41">
        <f>BI225*Assumptions!$B$127</f>
        <v/>
      </c>
      <c r="BJ228" s="41">
        <f>BJ225*Assumptions!$B$127</f>
        <v/>
      </c>
    </row>
    <row r="229">
      <c r="A229" s="3" t="inlineStr">
        <is>
          <t>Rest of Africa (USD): Solo: Starter: closing</t>
        </is>
      </c>
      <c r="B229" s="17" t="inlineStr">
        <is>
          <t>workspaces</t>
        </is>
      </c>
      <c r="C229" s="44">
        <f>C225+C226-C227-C228</f>
        <v/>
      </c>
      <c r="D229" s="44">
        <f>D225+D226-D227-D228</f>
        <v/>
      </c>
      <c r="E229" s="44">
        <f>E225+E226-E227-E228</f>
        <v/>
      </c>
      <c r="F229" s="44">
        <f>F225+F226-F227-F228</f>
        <v/>
      </c>
      <c r="G229" s="44">
        <f>G225+G226-G227-G228</f>
        <v/>
      </c>
      <c r="H229" s="44">
        <f>H225+H226-H227-H228</f>
        <v/>
      </c>
      <c r="I229" s="44">
        <f>I225+I226-I227-I228</f>
        <v/>
      </c>
      <c r="J229" s="44">
        <f>J225+J226-J227-J228</f>
        <v/>
      </c>
      <c r="K229" s="44">
        <f>K225+K226-K227-K228</f>
        <v/>
      </c>
      <c r="L229" s="44">
        <f>L225+L226-L227-L228</f>
        <v/>
      </c>
      <c r="M229" s="44">
        <f>M225+M226-M227-M228</f>
        <v/>
      </c>
      <c r="N229" s="44">
        <f>N225+N226-N227-N228</f>
        <v/>
      </c>
      <c r="O229" s="44">
        <f>O225+O226-O227-O228</f>
        <v/>
      </c>
      <c r="P229" s="44">
        <f>P225+P226-P227-P228</f>
        <v/>
      </c>
      <c r="Q229" s="44">
        <f>Q225+Q226-Q227-Q228</f>
        <v/>
      </c>
      <c r="R229" s="44">
        <f>R225+R226-R227-R228</f>
        <v/>
      </c>
      <c r="S229" s="44">
        <f>S225+S226-S227-S228</f>
        <v/>
      </c>
      <c r="T229" s="44">
        <f>T225+T226-T227-T228</f>
        <v/>
      </c>
      <c r="U229" s="44">
        <f>U225+U226-U227-U228</f>
        <v/>
      </c>
      <c r="V229" s="44">
        <f>V225+V226-V227-V228</f>
        <v/>
      </c>
      <c r="W229" s="44">
        <f>W225+W226-W227-W228</f>
        <v/>
      </c>
      <c r="X229" s="44">
        <f>X225+X226-X227-X228</f>
        <v/>
      </c>
      <c r="Y229" s="44">
        <f>Y225+Y226-Y227-Y228</f>
        <v/>
      </c>
      <c r="Z229" s="44">
        <f>Z225+Z226-Z227-Z228</f>
        <v/>
      </c>
      <c r="AA229" s="44">
        <f>AA225+AA226-AA227-AA228</f>
        <v/>
      </c>
      <c r="AB229" s="44">
        <f>AB225+AB226-AB227-AB228</f>
        <v/>
      </c>
      <c r="AC229" s="44">
        <f>AC225+AC226-AC227-AC228</f>
        <v/>
      </c>
      <c r="AD229" s="44">
        <f>AD225+AD226-AD227-AD228</f>
        <v/>
      </c>
      <c r="AE229" s="44">
        <f>AE225+AE226-AE227-AE228</f>
        <v/>
      </c>
      <c r="AF229" s="44">
        <f>AF225+AF226-AF227-AF228</f>
        <v/>
      </c>
      <c r="AG229" s="44">
        <f>AG225+AG226-AG227-AG228</f>
        <v/>
      </c>
      <c r="AH229" s="44">
        <f>AH225+AH226-AH227-AH228</f>
        <v/>
      </c>
      <c r="AI229" s="44">
        <f>AI225+AI226-AI227-AI228</f>
        <v/>
      </c>
      <c r="AJ229" s="44">
        <f>AJ225+AJ226-AJ227-AJ228</f>
        <v/>
      </c>
      <c r="AK229" s="44">
        <f>AK225+AK226-AK227-AK228</f>
        <v/>
      </c>
      <c r="AL229" s="44">
        <f>AL225+AL226-AL227-AL228</f>
        <v/>
      </c>
      <c r="AM229" s="44">
        <f>AM225+AM226-AM227-AM228</f>
        <v/>
      </c>
      <c r="AN229" s="44">
        <f>AN225+AN226-AN227-AN228</f>
        <v/>
      </c>
      <c r="AO229" s="44">
        <f>AO225+AO226-AO227-AO228</f>
        <v/>
      </c>
      <c r="AP229" s="44">
        <f>AP225+AP226-AP227-AP228</f>
        <v/>
      </c>
      <c r="AQ229" s="44">
        <f>AQ225+AQ226-AQ227-AQ228</f>
        <v/>
      </c>
      <c r="AR229" s="44">
        <f>AR225+AR226-AR227-AR228</f>
        <v/>
      </c>
      <c r="AS229" s="44">
        <f>AS225+AS226-AS227-AS228</f>
        <v/>
      </c>
      <c r="AT229" s="44">
        <f>AT225+AT226-AT227-AT228</f>
        <v/>
      </c>
      <c r="AU229" s="44">
        <f>AU225+AU226-AU227-AU228</f>
        <v/>
      </c>
      <c r="AV229" s="44">
        <f>AV225+AV226-AV227-AV228</f>
        <v/>
      </c>
      <c r="AW229" s="44">
        <f>AW225+AW226-AW227-AW228</f>
        <v/>
      </c>
      <c r="AX229" s="44">
        <f>AX225+AX226-AX227-AX228</f>
        <v/>
      </c>
      <c r="AY229" s="44">
        <f>AY225+AY226-AY227-AY228</f>
        <v/>
      </c>
      <c r="AZ229" s="44">
        <f>AZ225+AZ226-AZ227-AZ228</f>
        <v/>
      </c>
      <c r="BA229" s="44">
        <f>BA225+BA226-BA227-BA228</f>
        <v/>
      </c>
      <c r="BB229" s="44">
        <f>BB225+BB226-BB227-BB228</f>
        <v/>
      </c>
      <c r="BC229" s="44">
        <f>BC225+BC226-BC227-BC228</f>
        <v/>
      </c>
      <c r="BD229" s="44">
        <f>BD225+BD226-BD227-BD228</f>
        <v/>
      </c>
      <c r="BE229" s="44">
        <f>BE225+BE226-BE227-BE228</f>
        <v/>
      </c>
      <c r="BF229" s="44">
        <f>BF225+BF226-BF227-BF228</f>
        <v/>
      </c>
      <c r="BG229" s="44">
        <f>BG225+BG226-BG227-BG228</f>
        <v/>
      </c>
      <c r="BH229" s="44">
        <f>BH225+BH226-BH227-BH228</f>
        <v/>
      </c>
      <c r="BI229" s="44">
        <f>BI225+BI226-BI227-BI228</f>
        <v/>
      </c>
      <c r="BJ229" s="44">
        <f>BJ225+BJ226-BJ227-BJ228</f>
        <v/>
      </c>
    </row>
    <row r="230">
      <c r="A230" s="4" t="inlineStr">
        <is>
          <t>Rest of Africa (USD): Solo: Growth (upgraded or direct): opening</t>
        </is>
      </c>
      <c r="B230" s="17" t="inlineStr">
        <is>
          <t>workspaces</t>
        </is>
      </c>
      <c r="C230" s="41">
        <f>0</f>
        <v/>
      </c>
      <c r="D230" s="41">
        <f>C233</f>
        <v/>
      </c>
      <c r="E230" s="41">
        <f>D233</f>
        <v/>
      </c>
      <c r="F230" s="41">
        <f>E233</f>
        <v/>
      </c>
      <c r="G230" s="41">
        <f>F233</f>
        <v/>
      </c>
      <c r="H230" s="41">
        <f>G233</f>
        <v/>
      </c>
      <c r="I230" s="41">
        <f>H233</f>
        <v/>
      </c>
      <c r="J230" s="41">
        <f>I233</f>
        <v/>
      </c>
      <c r="K230" s="41">
        <f>J233</f>
        <v/>
      </c>
      <c r="L230" s="41">
        <f>K233</f>
        <v/>
      </c>
      <c r="M230" s="41">
        <f>L233</f>
        <v/>
      </c>
      <c r="N230" s="41">
        <f>M233</f>
        <v/>
      </c>
      <c r="O230" s="41">
        <f>N233</f>
        <v/>
      </c>
      <c r="P230" s="41">
        <f>O233</f>
        <v/>
      </c>
      <c r="Q230" s="41">
        <f>P233</f>
        <v/>
      </c>
      <c r="R230" s="41">
        <f>Q233</f>
        <v/>
      </c>
      <c r="S230" s="41">
        <f>R233</f>
        <v/>
      </c>
      <c r="T230" s="41">
        <f>S233</f>
        <v/>
      </c>
      <c r="U230" s="41">
        <f>T233</f>
        <v/>
      </c>
      <c r="V230" s="41">
        <f>U233</f>
        <v/>
      </c>
      <c r="W230" s="41">
        <f>V233</f>
        <v/>
      </c>
      <c r="X230" s="41">
        <f>W233</f>
        <v/>
      </c>
      <c r="Y230" s="41">
        <f>X233</f>
        <v/>
      </c>
      <c r="Z230" s="41">
        <f>Y233</f>
        <v/>
      </c>
      <c r="AA230" s="41">
        <f>Z233</f>
        <v/>
      </c>
      <c r="AB230" s="41">
        <f>AA233</f>
        <v/>
      </c>
      <c r="AC230" s="41">
        <f>AB233</f>
        <v/>
      </c>
      <c r="AD230" s="41">
        <f>AC233</f>
        <v/>
      </c>
      <c r="AE230" s="41">
        <f>AD233</f>
        <v/>
      </c>
      <c r="AF230" s="41">
        <f>AE233</f>
        <v/>
      </c>
      <c r="AG230" s="41">
        <f>AF233</f>
        <v/>
      </c>
      <c r="AH230" s="41">
        <f>AG233</f>
        <v/>
      </c>
      <c r="AI230" s="41">
        <f>AH233</f>
        <v/>
      </c>
      <c r="AJ230" s="41">
        <f>AI233</f>
        <v/>
      </c>
      <c r="AK230" s="41">
        <f>AJ233</f>
        <v/>
      </c>
      <c r="AL230" s="41">
        <f>AK233</f>
        <v/>
      </c>
      <c r="AM230" s="41">
        <f>AL233</f>
        <v/>
      </c>
      <c r="AN230" s="41">
        <f>AM233</f>
        <v/>
      </c>
      <c r="AO230" s="41">
        <f>AN233</f>
        <v/>
      </c>
      <c r="AP230" s="41">
        <f>AO233</f>
        <v/>
      </c>
      <c r="AQ230" s="41">
        <f>AP233</f>
        <v/>
      </c>
      <c r="AR230" s="41">
        <f>AQ233</f>
        <v/>
      </c>
      <c r="AS230" s="41">
        <f>AR233</f>
        <v/>
      </c>
      <c r="AT230" s="41">
        <f>AS233</f>
        <v/>
      </c>
      <c r="AU230" s="41">
        <f>AT233</f>
        <v/>
      </c>
      <c r="AV230" s="41">
        <f>AU233</f>
        <v/>
      </c>
      <c r="AW230" s="41">
        <f>AV233</f>
        <v/>
      </c>
      <c r="AX230" s="41">
        <f>AW233</f>
        <v/>
      </c>
      <c r="AY230" s="41">
        <f>AX233</f>
        <v/>
      </c>
      <c r="AZ230" s="41">
        <f>AY233</f>
        <v/>
      </c>
      <c r="BA230" s="41">
        <f>AZ233</f>
        <v/>
      </c>
      <c r="BB230" s="41">
        <f>BA233</f>
        <v/>
      </c>
      <c r="BC230" s="41">
        <f>BB233</f>
        <v/>
      </c>
      <c r="BD230" s="41">
        <f>BC233</f>
        <v/>
      </c>
      <c r="BE230" s="41">
        <f>BD233</f>
        <v/>
      </c>
      <c r="BF230" s="41">
        <f>BE233</f>
        <v/>
      </c>
      <c r="BG230" s="41">
        <f>BF233</f>
        <v/>
      </c>
      <c r="BH230" s="41">
        <f>BG233</f>
        <v/>
      </c>
      <c r="BI230" s="41">
        <f>BH233</f>
        <v/>
      </c>
      <c r="BJ230" s="41">
        <f>BI233</f>
        <v/>
      </c>
    </row>
    <row r="231">
      <c r="A231" s="4" t="inlineStr">
        <is>
          <t>Rest of Africa (USD): Solo: Growth (upgraded or direct): new</t>
        </is>
      </c>
      <c r="B231" s="17" t="inlineStr">
        <is>
          <t>workspaces</t>
        </is>
      </c>
      <c r="C231" s="41">
        <f>C121*Assumptions!$B$125+C228</f>
        <v/>
      </c>
      <c r="D231" s="41">
        <f>D121*Assumptions!$B$125+D228</f>
        <v/>
      </c>
      <c r="E231" s="41">
        <f>E121*Assumptions!$B$125+E228</f>
        <v/>
      </c>
      <c r="F231" s="41">
        <f>F121*Assumptions!$B$125+F228</f>
        <v/>
      </c>
      <c r="G231" s="41">
        <f>G121*Assumptions!$B$125+G228</f>
        <v/>
      </c>
      <c r="H231" s="41">
        <f>H121*Assumptions!$B$125+H228</f>
        <v/>
      </c>
      <c r="I231" s="41">
        <f>I121*Assumptions!$B$125+I228</f>
        <v/>
      </c>
      <c r="J231" s="41">
        <f>J121*Assumptions!$B$125+J228</f>
        <v/>
      </c>
      <c r="K231" s="41">
        <f>K121*Assumptions!$B$125+K228</f>
        <v/>
      </c>
      <c r="L231" s="41">
        <f>L121*Assumptions!$B$125+L228</f>
        <v/>
      </c>
      <c r="M231" s="41">
        <f>M121*Assumptions!$B$125+M228</f>
        <v/>
      </c>
      <c r="N231" s="41">
        <f>N121*Assumptions!$B$125+N228</f>
        <v/>
      </c>
      <c r="O231" s="41">
        <f>O121*Assumptions!$B$125+O228</f>
        <v/>
      </c>
      <c r="P231" s="41">
        <f>P121*Assumptions!$B$125+P228</f>
        <v/>
      </c>
      <c r="Q231" s="41">
        <f>Q121*Assumptions!$B$125+Q228</f>
        <v/>
      </c>
      <c r="R231" s="41">
        <f>R121*Assumptions!$B$125+R228</f>
        <v/>
      </c>
      <c r="S231" s="41">
        <f>S121*Assumptions!$B$125+S228</f>
        <v/>
      </c>
      <c r="T231" s="41">
        <f>T121*Assumptions!$B$125+T228</f>
        <v/>
      </c>
      <c r="U231" s="41">
        <f>U121*Assumptions!$B$125+U228</f>
        <v/>
      </c>
      <c r="V231" s="41">
        <f>V121*Assumptions!$B$125+V228</f>
        <v/>
      </c>
      <c r="W231" s="41">
        <f>W121*Assumptions!$B$125+W228</f>
        <v/>
      </c>
      <c r="X231" s="41">
        <f>X121*Assumptions!$B$125+X228</f>
        <v/>
      </c>
      <c r="Y231" s="41">
        <f>Y121*Assumptions!$B$125+Y228</f>
        <v/>
      </c>
      <c r="Z231" s="41">
        <f>Z121*Assumptions!$B$125+Z228</f>
        <v/>
      </c>
      <c r="AA231" s="41">
        <f>AA121*Assumptions!$B$125+AA228</f>
        <v/>
      </c>
      <c r="AB231" s="41">
        <f>AB121*Assumptions!$B$125+AB228</f>
        <v/>
      </c>
      <c r="AC231" s="41">
        <f>AC121*Assumptions!$B$125+AC228</f>
        <v/>
      </c>
      <c r="AD231" s="41">
        <f>AD121*Assumptions!$B$125+AD228</f>
        <v/>
      </c>
      <c r="AE231" s="41">
        <f>AE121*Assumptions!$B$125+AE228</f>
        <v/>
      </c>
      <c r="AF231" s="41">
        <f>AF121*Assumptions!$B$125+AF228</f>
        <v/>
      </c>
      <c r="AG231" s="41">
        <f>AG121*Assumptions!$B$125+AG228</f>
        <v/>
      </c>
      <c r="AH231" s="41">
        <f>AH121*Assumptions!$B$125+AH228</f>
        <v/>
      </c>
      <c r="AI231" s="41">
        <f>AI121*Assumptions!$B$125+AI228</f>
        <v/>
      </c>
      <c r="AJ231" s="41">
        <f>AJ121*Assumptions!$B$125+AJ228</f>
        <v/>
      </c>
      <c r="AK231" s="41">
        <f>AK121*Assumptions!$B$125+AK228</f>
        <v/>
      </c>
      <c r="AL231" s="41">
        <f>AL121*Assumptions!$B$125+AL228</f>
        <v/>
      </c>
      <c r="AM231" s="41">
        <f>AM121*Assumptions!$B$125+AM228</f>
        <v/>
      </c>
      <c r="AN231" s="41">
        <f>AN121*Assumptions!$B$125+AN228</f>
        <v/>
      </c>
      <c r="AO231" s="41">
        <f>AO121*Assumptions!$B$125+AO228</f>
        <v/>
      </c>
      <c r="AP231" s="41">
        <f>AP121*Assumptions!$B$125+AP228</f>
        <v/>
      </c>
      <c r="AQ231" s="41">
        <f>AQ121*Assumptions!$B$125+AQ228</f>
        <v/>
      </c>
      <c r="AR231" s="41">
        <f>AR121*Assumptions!$B$125+AR228</f>
        <v/>
      </c>
      <c r="AS231" s="41">
        <f>AS121*Assumptions!$B$125+AS228</f>
        <v/>
      </c>
      <c r="AT231" s="41">
        <f>AT121*Assumptions!$B$125+AT228</f>
        <v/>
      </c>
      <c r="AU231" s="41">
        <f>AU121*Assumptions!$B$125+AU228</f>
        <v/>
      </c>
      <c r="AV231" s="41">
        <f>AV121*Assumptions!$B$125+AV228</f>
        <v/>
      </c>
      <c r="AW231" s="41">
        <f>AW121*Assumptions!$B$125+AW228</f>
        <v/>
      </c>
      <c r="AX231" s="41">
        <f>AX121*Assumptions!$B$125+AX228</f>
        <v/>
      </c>
      <c r="AY231" s="41">
        <f>AY121*Assumptions!$B$125+AY228</f>
        <v/>
      </c>
      <c r="AZ231" s="41">
        <f>AZ121*Assumptions!$B$125+AZ228</f>
        <v/>
      </c>
      <c r="BA231" s="41">
        <f>BA121*Assumptions!$B$125+BA228</f>
        <v/>
      </c>
      <c r="BB231" s="41">
        <f>BB121*Assumptions!$B$125+BB228</f>
        <v/>
      </c>
      <c r="BC231" s="41">
        <f>BC121*Assumptions!$B$125+BC228</f>
        <v/>
      </c>
      <c r="BD231" s="41">
        <f>BD121*Assumptions!$B$125+BD228</f>
        <v/>
      </c>
      <c r="BE231" s="41">
        <f>BE121*Assumptions!$B$125+BE228</f>
        <v/>
      </c>
      <c r="BF231" s="41">
        <f>BF121*Assumptions!$B$125+BF228</f>
        <v/>
      </c>
      <c r="BG231" s="41">
        <f>BG121*Assumptions!$B$125+BG228</f>
        <v/>
      </c>
      <c r="BH231" s="41">
        <f>BH121*Assumptions!$B$125+BH228</f>
        <v/>
      </c>
      <c r="BI231" s="41">
        <f>BI121*Assumptions!$B$125+BI228</f>
        <v/>
      </c>
      <c r="BJ231" s="41">
        <f>BJ121*Assumptions!$B$125+BJ228</f>
        <v/>
      </c>
    </row>
    <row r="232">
      <c r="A232" s="4" t="inlineStr">
        <is>
          <t>Rest of Africa (USD): Solo: Growth (upgraded or direct): churned</t>
        </is>
      </c>
      <c r="B232" s="17" t="inlineStr">
        <is>
          <t>workspaces</t>
        </is>
      </c>
      <c r="C232" s="41">
        <f>C230*Assumptions!$B$133*Assumptions!$B$50*Assumptions!$B$35*Assumptions!$B$101</f>
        <v/>
      </c>
      <c r="D232" s="41">
        <f>D230*Assumptions!$B$133*Assumptions!$B$50*Assumptions!$B$35*Assumptions!$B$101</f>
        <v/>
      </c>
      <c r="E232" s="41">
        <f>E230*Assumptions!$B$133*Assumptions!$B$50*Assumptions!$B$35*Assumptions!$B$101</f>
        <v/>
      </c>
      <c r="F232" s="41">
        <f>F230*Assumptions!$B$133*Assumptions!$B$50*Assumptions!$B$35*Assumptions!$B$101</f>
        <v/>
      </c>
      <c r="G232" s="41">
        <f>G230*Assumptions!$B$133*Assumptions!$B$50*Assumptions!$B$35*Assumptions!$B$101</f>
        <v/>
      </c>
      <c r="H232" s="41">
        <f>H230*Assumptions!$B$133*Assumptions!$B$50*Assumptions!$B$35*Assumptions!$B$101</f>
        <v/>
      </c>
      <c r="I232" s="41">
        <f>I230*Assumptions!$B$133*Assumptions!$B$50*Assumptions!$B$35*Assumptions!$B$101</f>
        <v/>
      </c>
      <c r="J232" s="41">
        <f>J230*Assumptions!$B$133*Assumptions!$B$50*Assumptions!$B$35*Assumptions!$B$101</f>
        <v/>
      </c>
      <c r="K232" s="41">
        <f>K230*Assumptions!$B$133*Assumptions!$B$50*Assumptions!$B$35*Assumptions!$B$101</f>
        <v/>
      </c>
      <c r="L232" s="41">
        <f>L230*Assumptions!$B$133*Assumptions!$B$50*Assumptions!$B$35*Assumptions!$B$101</f>
        <v/>
      </c>
      <c r="M232" s="41">
        <f>M230*Assumptions!$B$133*Assumptions!$B$50*Assumptions!$B$35*Assumptions!$B$101</f>
        <v/>
      </c>
      <c r="N232" s="41">
        <f>N230*Assumptions!$B$133*Assumptions!$B$50*Assumptions!$B$35*Assumptions!$B$101</f>
        <v/>
      </c>
      <c r="O232" s="41">
        <f>O230*Assumptions!$B$133*Assumptions!$B$50*Assumptions!$B$35*Assumptions!$B$101</f>
        <v/>
      </c>
      <c r="P232" s="41">
        <f>P230*Assumptions!$B$133*Assumptions!$B$50*Assumptions!$B$35*Assumptions!$B$101</f>
        <v/>
      </c>
      <c r="Q232" s="41">
        <f>Q230*Assumptions!$B$133*Assumptions!$B$50*Assumptions!$B$35*Assumptions!$B$101</f>
        <v/>
      </c>
      <c r="R232" s="41">
        <f>R230*Assumptions!$B$133*Assumptions!$B$50*Assumptions!$B$35*Assumptions!$B$101</f>
        <v/>
      </c>
      <c r="S232" s="41">
        <f>S230*Assumptions!$B$133*Assumptions!$B$50*Assumptions!$B$35*Assumptions!$B$101</f>
        <v/>
      </c>
      <c r="T232" s="41">
        <f>T230*Assumptions!$B$133*Assumptions!$B$50*Assumptions!$B$35*Assumptions!$B$101</f>
        <v/>
      </c>
      <c r="U232" s="41">
        <f>U230*Assumptions!$B$133*Assumptions!$B$50*Assumptions!$B$35*Assumptions!$B$101</f>
        <v/>
      </c>
      <c r="V232" s="41">
        <f>V230*Assumptions!$B$133*Assumptions!$B$50*Assumptions!$B$35*Assumptions!$B$101</f>
        <v/>
      </c>
      <c r="W232" s="41">
        <f>W230*Assumptions!$B$133*Assumptions!$B$50*Assumptions!$B$35*Assumptions!$B$101</f>
        <v/>
      </c>
      <c r="X232" s="41">
        <f>X230*Assumptions!$B$133*Assumptions!$B$50*Assumptions!$B$35*Assumptions!$B$101</f>
        <v/>
      </c>
      <c r="Y232" s="41">
        <f>Y230*Assumptions!$B$133*Assumptions!$B$50*Assumptions!$B$35*Assumptions!$B$101</f>
        <v/>
      </c>
      <c r="Z232" s="41">
        <f>Z230*Assumptions!$B$133*Assumptions!$B$50*Assumptions!$B$35*Assumptions!$B$101</f>
        <v/>
      </c>
      <c r="AA232" s="41">
        <f>AA230*Assumptions!$B$133*Assumptions!$B$50*Assumptions!$B$35*Assumptions!$B$101</f>
        <v/>
      </c>
      <c r="AB232" s="41">
        <f>AB230*Assumptions!$B$133*Assumptions!$B$50*Assumptions!$B$35*Assumptions!$B$101</f>
        <v/>
      </c>
      <c r="AC232" s="41">
        <f>AC230*Assumptions!$B$133*Assumptions!$B$50*Assumptions!$B$35*Assumptions!$B$101</f>
        <v/>
      </c>
      <c r="AD232" s="41">
        <f>AD230*Assumptions!$B$133*Assumptions!$B$50*Assumptions!$B$35*Assumptions!$B$101</f>
        <v/>
      </c>
      <c r="AE232" s="41">
        <f>AE230*Assumptions!$B$133*Assumptions!$B$50*Assumptions!$B$35*Assumptions!$B$101</f>
        <v/>
      </c>
      <c r="AF232" s="41">
        <f>AF230*Assumptions!$B$133*Assumptions!$B$50*Assumptions!$B$35*Assumptions!$B$101</f>
        <v/>
      </c>
      <c r="AG232" s="41">
        <f>AG230*Assumptions!$B$133*Assumptions!$B$50*Assumptions!$B$35*Assumptions!$B$101</f>
        <v/>
      </c>
      <c r="AH232" s="41">
        <f>AH230*Assumptions!$B$133*Assumptions!$B$50*Assumptions!$B$35*Assumptions!$B$101</f>
        <v/>
      </c>
      <c r="AI232" s="41">
        <f>AI230*Assumptions!$B$133*Assumptions!$B$50*Assumptions!$B$35*Assumptions!$B$101</f>
        <v/>
      </c>
      <c r="AJ232" s="41">
        <f>AJ230*Assumptions!$B$133*Assumptions!$B$50*Assumptions!$B$35*Assumptions!$B$101</f>
        <v/>
      </c>
      <c r="AK232" s="41">
        <f>AK230*Assumptions!$B$133*Assumptions!$B$50*Assumptions!$B$35*Assumptions!$B$101</f>
        <v/>
      </c>
      <c r="AL232" s="41">
        <f>AL230*Assumptions!$B$133*Assumptions!$B$50*Assumptions!$B$35*Assumptions!$B$101</f>
        <v/>
      </c>
      <c r="AM232" s="41">
        <f>AM230*Assumptions!$B$133*Assumptions!$B$50*Assumptions!$B$35*Assumptions!$B$101</f>
        <v/>
      </c>
      <c r="AN232" s="41">
        <f>AN230*Assumptions!$B$133*Assumptions!$B$50*Assumptions!$B$35*Assumptions!$B$101</f>
        <v/>
      </c>
      <c r="AO232" s="41">
        <f>AO230*Assumptions!$B$133*Assumptions!$B$50*Assumptions!$B$35*Assumptions!$B$101</f>
        <v/>
      </c>
      <c r="AP232" s="41">
        <f>AP230*Assumptions!$B$133*Assumptions!$B$50*Assumptions!$B$35*Assumptions!$B$101</f>
        <v/>
      </c>
      <c r="AQ232" s="41">
        <f>AQ230*Assumptions!$B$133*Assumptions!$B$50*Assumptions!$B$35*Assumptions!$B$101</f>
        <v/>
      </c>
      <c r="AR232" s="41">
        <f>AR230*Assumptions!$B$133*Assumptions!$B$50*Assumptions!$B$35*Assumptions!$B$101</f>
        <v/>
      </c>
      <c r="AS232" s="41">
        <f>AS230*Assumptions!$B$133*Assumptions!$B$50*Assumptions!$B$35*Assumptions!$B$101</f>
        <v/>
      </c>
      <c r="AT232" s="41">
        <f>AT230*Assumptions!$B$133*Assumptions!$B$50*Assumptions!$B$35*Assumptions!$B$101</f>
        <v/>
      </c>
      <c r="AU232" s="41">
        <f>AU230*Assumptions!$B$133*Assumptions!$B$50*Assumptions!$B$35*Assumptions!$B$101</f>
        <v/>
      </c>
      <c r="AV232" s="41">
        <f>AV230*Assumptions!$B$133*Assumptions!$B$50*Assumptions!$B$35*Assumptions!$B$101</f>
        <v/>
      </c>
      <c r="AW232" s="41">
        <f>AW230*Assumptions!$B$133*Assumptions!$B$50*Assumptions!$B$35*Assumptions!$B$101</f>
        <v/>
      </c>
      <c r="AX232" s="41">
        <f>AX230*Assumptions!$B$133*Assumptions!$B$50*Assumptions!$B$35*Assumptions!$B$101</f>
        <v/>
      </c>
      <c r="AY232" s="41">
        <f>AY230*Assumptions!$B$133*Assumptions!$B$50*Assumptions!$B$35*Assumptions!$B$101</f>
        <v/>
      </c>
      <c r="AZ232" s="41">
        <f>AZ230*Assumptions!$B$133*Assumptions!$B$50*Assumptions!$B$35*Assumptions!$B$101</f>
        <v/>
      </c>
      <c r="BA232" s="41">
        <f>BA230*Assumptions!$B$133*Assumptions!$B$50*Assumptions!$B$35*Assumptions!$B$101</f>
        <v/>
      </c>
      <c r="BB232" s="41">
        <f>BB230*Assumptions!$B$133*Assumptions!$B$50*Assumptions!$B$35*Assumptions!$B$101</f>
        <v/>
      </c>
      <c r="BC232" s="41">
        <f>BC230*Assumptions!$B$133*Assumptions!$B$50*Assumptions!$B$35*Assumptions!$B$101</f>
        <v/>
      </c>
      <c r="BD232" s="41">
        <f>BD230*Assumptions!$B$133*Assumptions!$B$50*Assumptions!$B$35*Assumptions!$B$101</f>
        <v/>
      </c>
      <c r="BE232" s="41">
        <f>BE230*Assumptions!$B$133*Assumptions!$B$50*Assumptions!$B$35*Assumptions!$B$101</f>
        <v/>
      </c>
      <c r="BF232" s="41">
        <f>BF230*Assumptions!$B$133*Assumptions!$B$50*Assumptions!$B$35*Assumptions!$B$101</f>
        <v/>
      </c>
      <c r="BG232" s="41">
        <f>BG230*Assumptions!$B$133*Assumptions!$B$50*Assumptions!$B$35*Assumptions!$B$101</f>
        <v/>
      </c>
      <c r="BH232" s="41">
        <f>BH230*Assumptions!$B$133*Assumptions!$B$50*Assumptions!$B$35*Assumptions!$B$101</f>
        <v/>
      </c>
      <c r="BI232" s="41">
        <f>BI230*Assumptions!$B$133*Assumptions!$B$50*Assumptions!$B$35*Assumptions!$B$101</f>
        <v/>
      </c>
      <c r="BJ232" s="41">
        <f>BJ230*Assumptions!$B$133*Assumptions!$B$50*Assumptions!$B$35*Assumptions!$B$101</f>
        <v/>
      </c>
    </row>
    <row r="233">
      <c r="A233" s="3" t="inlineStr">
        <is>
          <t>Rest of Africa (USD): Solo: Growth (upgraded or direct): closing</t>
        </is>
      </c>
      <c r="B233" s="17" t="inlineStr">
        <is>
          <t>workspaces</t>
        </is>
      </c>
      <c r="C233" s="44">
        <f>C230+C231-C232</f>
        <v/>
      </c>
      <c r="D233" s="44">
        <f>D230+D231-D232</f>
        <v/>
      </c>
      <c r="E233" s="44">
        <f>E230+E231-E232</f>
        <v/>
      </c>
      <c r="F233" s="44">
        <f>F230+F231-F232</f>
        <v/>
      </c>
      <c r="G233" s="44">
        <f>G230+G231-G232</f>
        <v/>
      </c>
      <c r="H233" s="44">
        <f>H230+H231-H232</f>
        <v/>
      </c>
      <c r="I233" s="44">
        <f>I230+I231-I232</f>
        <v/>
      </c>
      <c r="J233" s="44">
        <f>J230+J231-J232</f>
        <v/>
      </c>
      <c r="K233" s="44">
        <f>K230+K231-K232</f>
        <v/>
      </c>
      <c r="L233" s="44">
        <f>L230+L231-L232</f>
        <v/>
      </c>
      <c r="M233" s="44">
        <f>M230+M231-M232</f>
        <v/>
      </c>
      <c r="N233" s="44">
        <f>N230+N231-N232</f>
        <v/>
      </c>
      <c r="O233" s="44">
        <f>O230+O231-O232</f>
        <v/>
      </c>
      <c r="P233" s="44">
        <f>P230+P231-P232</f>
        <v/>
      </c>
      <c r="Q233" s="44">
        <f>Q230+Q231-Q232</f>
        <v/>
      </c>
      <c r="R233" s="44">
        <f>R230+R231-R232</f>
        <v/>
      </c>
      <c r="S233" s="44">
        <f>S230+S231-S232</f>
        <v/>
      </c>
      <c r="T233" s="44">
        <f>T230+T231-T232</f>
        <v/>
      </c>
      <c r="U233" s="44">
        <f>U230+U231-U232</f>
        <v/>
      </c>
      <c r="V233" s="44">
        <f>V230+V231-V232</f>
        <v/>
      </c>
      <c r="W233" s="44">
        <f>W230+W231-W232</f>
        <v/>
      </c>
      <c r="X233" s="44">
        <f>X230+X231-X232</f>
        <v/>
      </c>
      <c r="Y233" s="44">
        <f>Y230+Y231-Y232</f>
        <v/>
      </c>
      <c r="Z233" s="44">
        <f>Z230+Z231-Z232</f>
        <v/>
      </c>
      <c r="AA233" s="44">
        <f>AA230+AA231-AA232</f>
        <v/>
      </c>
      <c r="AB233" s="44">
        <f>AB230+AB231-AB232</f>
        <v/>
      </c>
      <c r="AC233" s="44">
        <f>AC230+AC231-AC232</f>
        <v/>
      </c>
      <c r="AD233" s="44">
        <f>AD230+AD231-AD232</f>
        <v/>
      </c>
      <c r="AE233" s="44">
        <f>AE230+AE231-AE232</f>
        <v/>
      </c>
      <c r="AF233" s="44">
        <f>AF230+AF231-AF232</f>
        <v/>
      </c>
      <c r="AG233" s="44">
        <f>AG230+AG231-AG232</f>
        <v/>
      </c>
      <c r="AH233" s="44">
        <f>AH230+AH231-AH232</f>
        <v/>
      </c>
      <c r="AI233" s="44">
        <f>AI230+AI231-AI232</f>
        <v/>
      </c>
      <c r="AJ233" s="44">
        <f>AJ230+AJ231-AJ232</f>
        <v/>
      </c>
      <c r="AK233" s="44">
        <f>AK230+AK231-AK232</f>
        <v/>
      </c>
      <c r="AL233" s="44">
        <f>AL230+AL231-AL232</f>
        <v/>
      </c>
      <c r="AM233" s="44">
        <f>AM230+AM231-AM232</f>
        <v/>
      </c>
      <c r="AN233" s="44">
        <f>AN230+AN231-AN232</f>
        <v/>
      </c>
      <c r="AO233" s="44">
        <f>AO230+AO231-AO232</f>
        <v/>
      </c>
      <c r="AP233" s="44">
        <f>AP230+AP231-AP232</f>
        <v/>
      </c>
      <c r="AQ233" s="44">
        <f>AQ230+AQ231-AQ232</f>
        <v/>
      </c>
      <c r="AR233" s="44">
        <f>AR230+AR231-AR232</f>
        <v/>
      </c>
      <c r="AS233" s="44">
        <f>AS230+AS231-AS232</f>
        <v/>
      </c>
      <c r="AT233" s="44">
        <f>AT230+AT231-AT232</f>
        <v/>
      </c>
      <c r="AU233" s="44">
        <f>AU230+AU231-AU232</f>
        <v/>
      </c>
      <c r="AV233" s="44">
        <f>AV230+AV231-AV232</f>
        <v/>
      </c>
      <c r="AW233" s="44">
        <f>AW230+AW231-AW232</f>
        <v/>
      </c>
      <c r="AX233" s="44">
        <f>AX230+AX231-AX232</f>
        <v/>
      </c>
      <c r="AY233" s="44">
        <f>AY230+AY231-AY232</f>
        <v/>
      </c>
      <c r="AZ233" s="44">
        <f>AZ230+AZ231-AZ232</f>
        <v/>
      </c>
      <c r="BA233" s="44">
        <f>BA230+BA231-BA232</f>
        <v/>
      </c>
      <c r="BB233" s="44">
        <f>BB230+BB231-BB232</f>
        <v/>
      </c>
      <c r="BC233" s="44">
        <f>BC230+BC231-BC232</f>
        <v/>
      </c>
      <c r="BD233" s="44">
        <f>BD230+BD231-BD232</f>
        <v/>
      </c>
      <c r="BE233" s="44">
        <f>BE230+BE231-BE232</f>
        <v/>
      </c>
      <c r="BF233" s="44">
        <f>BF230+BF231-BF232</f>
        <v/>
      </c>
      <c r="BG233" s="44">
        <f>BG230+BG231-BG232</f>
        <v/>
      </c>
      <c r="BH233" s="44">
        <f>BH230+BH231-BH232</f>
        <v/>
      </c>
      <c r="BI233" s="44">
        <f>BI230+BI231-BI232</f>
        <v/>
      </c>
      <c r="BJ233" s="44">
        <f>BJ230+BJ231-BJ232</f>
        <v/>
      </c>
    </row>
    <row r="234">
      <c r="A234" s="4" t="inlineStr">
        <is>
          <t>Rest of Africa (USD): SME: Growth: opening</t>
        </is>
      </c>
      <c r="B234" s="17" t="inlineStr">
        <is>
          <t>workspaces</t>
        </is>
      </c>
      <c r="C234" s="41">
        <f>0</f>
        <v/>
      </c>
      <c r="D234" s="41">
        <f>C238</f>
        <v/>
      </c>
      <c r="E234" s="41">
        <f>D238</f>
        <v/>
      </c>
      <c r="F234" s="41">
        <f>E238</f>
        <v/>
      </c>
      <c r="G234" s="41">
        <f>F238</f>
        <v/>
      </c>
      <c r="H234" s="41">
        <f>G238</f>
        <v/>
      </c>
      <c r="I234" s="41">
        <f>H238</f>
        <v/>
      </c>
      <c r="J234" s="41">
        <f>I238</f>
        <v/>
      </c>
      <c r="K234" s="41">
        <f>J238</f>
        <v/>
      </c>
      <c r="L234" s="41">
        <f>K238</f>
        <v/>
      </c>
      <c r="M234" s="41">
        <f>L238</f>
        <v/>
      </c>
      <c r="N234" s="41">
        <f>M238</f>
        <v/>
      </c>
      <c r="O234" s="41">
        <f>N238</f>
        <v/>
      </c>
      <c r="P234" s="41">
        <f>O238</f>
        <v/>
      </c>
      <c r="Q234" s="41">
        <f>P238</f>
        <v/>
      </c>
      <c r="R234" s="41">
        <f>Q238</f>
        <v/>
      </c>
      <c r="S234" s="41">
        <f>R238</f>
        <v/>
      </c>
      <c r="T234" s="41">
        <f>S238</f>
        <v/>
      </c>
      <c r="U234" s="41">
        <f>T238</f>
        <v/>
      </c>
      <c r="V234" s="41">
        <f>U238</f>
        <v/>
      </c>
      <c r="W234" s="41">
        <f>V238</f>
        <v/>
      </c>
      <c r="X234" s="41">
        <f>W238</f>
        <v/>
      </c>
      <c r="Y234" s="41">
        <f>X238</f>
        <v/>
      </c>
      <c r="Z234" s="41">
        <f>Y238</f>
        <v/>
      </c>
      <c r="AA234" s="41">
        <f>Z238</f>
        <v/>
      </c>
      <c r="AB234" s="41">
        <f>AA238</f>
        <v/>
      </c>
      <c r="AC234" s="41">
        <f>AB238</f>
        <v/>
      </c>
      <c r="AD234" s="41">
        <f>AC238</f>
        <v/>
      </c>
      <c r="AE234" s="41">
        <f>AD238</f>
        <v/>
      </c>
      <c r="AF234" s="41">
        <f>AE238</f>
        <v/>
      </c>
      <c r="AG234" s="41">
        <f>AF238</f>
        <v/>
      </c>
      <c r="AH234" s="41">
        <f>AG238</f>
        <v/>
      </c>
      <c r="AI234" s="41">
        <f>AH238</f>
        <v/>
      </c>
      <c r="AJ234" s="41">
        <f>AI238</f>
        <v/>
      </c>
      <c r="AK234" s="41">
        <f>AJ238</f>
        <v/>
      </c>
      <c r="AL234" s="41">
        <f>AK238</f>
        <v/>
      </c>
      <c r="AM234" s="41">
        <f>AL238</f>
        <v/>
      </c>
      <c r="AN234" s="41">
        <f>AM238</f>
        <v/>
      </c>
      <c r="AO234" s="41">
        <f>AN238</f>
        <v/>
      </c>
      <c r="AP234" s="41">
        <f>AO238</f>
        <v/>
      </c>
      <c r="AQ234" s="41">
        <f>AP238</f>
        <v/>
      </c>
      <c r="AR234" s="41">
        <f>AQ238</f>
        <v/>
      </c>
      <c r="AS234" s="41">
        <f>AR238</f>
        <v/>
      </c>
      <c r="AT234" s="41">
        <f>AS238</f>
        <v/>
      </c>
      <c r="AU234" s="41">
        <f>AT238</f>
        <v/>
      </c>
      <c r="AV234" s="41">
        <f>AU238</f>
        <v/>
      </c>
      <c r="AW234" s="41">
        <f>AV238</f>
        <v/>
      </c>
      <c r="AX234" s="41">
        <f>AW238</f>
        <v/>
      </c>
      <c r="AY234" s="41">
        <f>AX238</f>
        <v/>
      </c>
      <c r="AZ234" s="41">
        <f>AY238</f>
        <v/>
      </c>
      <c r="BA234" s="41">
        <f>AZ238</f>
        <v/>
      </c>
      <c r="BB234" s="41">
        <f>BA238</f>
        <v/>
      </c>
      <c r="BC234" s="41">
        <f>BB238</f>
        <v/>
      </c>
      <c r="BD234" s="41">
        <f>BC238</f>
        <v/>
      </c>
      <c r="BE234" s="41">
        <f>BD238</f>
        <v/>
      </c>
      <c r="BF234" s="41">
        <f>BE238</f>
        <v/>
      </c>
      <c r="BG234" s="41">
        <f>BF238</f>
        <v/>
      </c>
      <c r="BH234" s="41">
        <f>BG238</f>
        <v/>
      </c>
      <c r="BI234" s="41">
        <f>BH238</f>
        <v/>
      </c>
      <c r="BJ234" s="41">
        <f>BI238</f>
        <v/>
      </c>
    </row>
    <row r="235">
      <c r="A235" s="4" t="inlineStr">
        <is>
          <t>Rest of Africa (USD): SME: Growth: new</t>
        </is>
      </c>
      <c r="B235" s="17" t="inlineStr">
        <is>
          <t>workspaces</t>
        </is>
      </c>
      <c r="C235" s="41">
        <f>C122*(1-Assumptions!$B$126)</f>
        <v/>
      </c>
      <c r="D235" s="41">
        <f>D122*(1-Assumptions!$B$126)</f>
        <v/>
      </c>
      <c r="E235" s="41">
        <f>E122*(1-Assumptions!$B$126)</f>
        <v/>
      </c>
      <c r="F235" s="41">
        <f>F122*(1-Assumptions!$B$126)</f>
        <v/>
      </c>
      <c r="G235" s="41">
        <f>G122*(1-Assumptions!$B$126)</f>
        <v/>
      </c>
      <c r="H235" s="41">
        <f>H122*(1-Assumptions!$B$126)</f>
        <v/>
      </c>
      <c r="I235" s="41">
        <f>I122*(1-Assumptions!$B$126)</f>
        <v/>
      </c>
      <c r="J235" s="41">
        <f>J122*(1-Assumptions!$B$126)</f>
        <v/>
      </c>
      <c r="K235" s="41">
        <f>K122*(1-Assumptions!$B$126)</f>
        <v/>
      </c>
      <c r="L235" s="41">
        <f>L122*(1-Assumptions!$B$126)</f>
        <v/>
      </c>
      <c r="M235" s="41">
        <f>M122*(1-Assumptions!$B$126)</f>
        <v/>
      </c>
      <c r="N235" s="41">
        <f>N122*(1-Assumptions!$B$126)</f>
        <v/>
      </c>
      <c r="O235" s="41">
        <f>O122*(1-Assumptions!$B$126)</f>
        <v/>
      </c>
      <c r="P235" s="41">
        <f>P122*(1-Assumptions!$B$126)</f>
        <v/>
      </c>
      <c r="Q235" s="41">
        <f>Q122*(1-Assumptions!$B$126)</f>
        <v/>
      </c>
      <c r="R235" s="41">
        <f>R122*(1-Assumptions!$B$126)</f>
        <v/>
      </c>
      <c r="S235" s="41">
        <f>S122*(1-Assumptions!$B$126)</f>
        <v/>
      </c>
      <c r="T235" s="41">
        <f>T122*(1-Assumptions!$B$126)</f>
        <v/>
      </c>
      <c r="U235" s="41">
        <f>U122*(1-Assumptions!$B$126)</f>
        <v/>
      </c>
      <c r="V235" s="41">
        <f>V122*(1-Assumptions!$B$126)</f>
        <v/>
      </c>
      <c r="W235" s="41">
        <f>W122*(1-Assumptions!$B$126)</f>
        <v/>
      </c>
      <c r="X235" s="41">
        <f>X122*(1-Assumptions!$B$126)</f>
        <v/>
      </c>
      <c r="Y235" s="41">
        <f>Y122*(1-Assumptions!$B$126)</f>
        <v/>
      </c>
      <c r="Z235" s="41">
        <f>Z122*(1-Assumptions!$B$126)</f>
        <v/>
      </c>
      <c r="AA235" s="41">
        <f>AA122*(1-Assumptions!$B$126)</f>
        <v/>
      </c>
      <c r="AB235" s="41">
        <f>AB122*(1-Assumptions!$B$126)</f>
        <v/>
      </c>
      <c r="AC235" s="41">
        <f>AC122*(1-Assumptions!$B$126)</f>
        <v/>
      </c>
      <c r="AD235" s="41">
        <f>AD122*(1-Assumptions!$B$126)</f>
        <v/>
      </c>
      <c r="AE235" s="41">
        <f>AE122*(1-Assumptions!$B$126)</f>
        <v/>
      </c>
      <c r="AF235" s="41">
        <f>AF122*(1-Assumptions!$B$126)</f>
        <v/>
      </c>
      <c r="AG235" s="41">
        <f>AG122*(1-Assumptions!$B$126)</f>
        <v/>
      </c>
      <c r="AH235" s="41">
        <f>AH122*(1-Assumptions!$B$126)</f>
        <v/>
      </c>
      <c r="AI235" s="41">
        <f>AI122*(1-Assumptions!$B$126)</f>
        <v/>
      </c>
      <c r="AJ235" s="41">
        <f>AJ122*(1-Assumptions!$B$126)</f>
        <v/>
      </c>
      <c r="AK235" s="41">
        <f>AK122*(1-Assumptions!$B$126)</f>
        <v/>
      </c>
      <c r="AL235" s="41">
        <f>AL122*(1-Assumptions!$B$126)</f>
        <v/>
      </c>
      <c r="AM235" s="41">
        <f>AM122*(1-Assumptions!$B$126)</f>
        <v/>
      </c>
      <c r="AN235" s="41">
        <f>AN122*(1-Assumptions!$B$126)</f>
        <v/>
      </c>
      <c r="AO235" s="41">
        <f>AO122*(1-Assumptions!$B$126)</f>
        <v/>
      </c>
      <c r="AP235" s="41">
        <f>AP122*(1-Assumptions!$B$126)</f>
        <v/>
      </c>
      <c r="AQ235" s="41">
        <f>AQ122*(1-Assumptions!$B$126)</f>
        <v/>
      </c>
      <c r="AR235" s="41">
        <f>AR122*(1-Assumptions!$B$126)</f>
        <v/>
      </c>
      <c r="AS235" s="41">
        <f>AS122*(1-Assumptions!$B$126)</f>
        <v/>
      </c>
      <c r="AT235" s="41">
        <f>AT122*(1-Assumptions!$B$126)</f>
        <v/>
      </c>
      <c r="AU235" s="41">
        <f>AU122*(1-Assumptions!$B$126)</f>
        <v/>
      </c>
      <c r="AV235" s="41">
        <f>AV122*(1-Assumptions!$B$126)</f>
        <v/>
      </c>
      <c r="AW235" s="41">
        <f>AW122*(1-Assumptions!$B$126)</f>
        <v/>
      </c>
      <c r="AX235" s="41">
        <f>AX122*(1-Assumptions!$B$126)</f>
        <v/>
      </c>
      <c r="AY235" s="41">
        <f>AY122*(1-Assumptions!$B$126)</f>
        <v/>
      </c>
      <c r="AZ235" s="41">
        <f>AZ122*(1-Assumptions!$B$126)</f>
        <v/>
      </c>
      <c r="BA235" s="41">
        <f>BA122*(1-Assumptions!$B$126)</f>
        <v/>
      </c>
      <c r="BB235" s="41">
        <f>BB122*(1-Assumptions!$B$126)</f>
        <v/>
      </c>
      <c r="BC235" s="41">
        <f>BC122*(1-Assumptions!$B$126)</f>
        <v/>
      </c>
      <c r="BD235" s="41">
        <f>BD122*(1-Assumptions!$B$126)</f>
        <v/>
      </c>
      <c r="BE235" s="41">
        <f>BE122*(1-Assumptions!$B$126)</f>
        <v/>
      </c>
      <c r="BF235" s="41">
        <f>BF122*(1-Assumptions!$B$126)</f>
        <v/>
      </c>
      <c r="BG235" s="41">
        <f>BG122*(1-Assumptions!$B$126)</f>
        <v/>
      </c>
      <c r="BH235" s="41">
        <f>BH122*(1-Assumptions!$B$126)</f>
        <v/>
      </c>
      <c r="BI235" s="41">
        <f>BI122*(1-Assumptions!$B$126)</f>
        <v/>
      </c>
      <c r="BJ235" s="41">
        <f>BJ122*(1-Assumptions!$B$126)</f>
        <v/>
      </c>
    </row>
    <row r="236">
      <c r="A236" s="4" t="inlineStr">
        <is>
          <t>Rest of Africa (USD): SME: Growth: churned</t>
        </is>
      </c>
      <c r="B236" s="17" t="inlineStr">
        <is>
          <t>workspaces</t>
        </is>
      </c>
      <c r="C236" s="41">
        <f>C234*Assumptions!$B$134*Assumptions!$B$50*Assumptions!$B$35*Assumptions!$B$101</f>
        <v/>
      </c>
      <c r="D236" s="41">
        <f>D234*Assumptions!$B$134*Assumptions!$B$50*Assumptions!$B$35*Assumptions!$B$101</f>
        <v/>
      </c>
      <c r="E236" s="41">
        <f>E234*Assumptions!$B$134*Assumptions!$B$50*Assumptions!$B$35*Assumptions!$B$101</f>
        <v/>
      </c>
      <c r="F236" s="41">
        <f>F234*Assumptions!$B$134*Assumptions!$B$50*Assumptions!$B$35*Assumptions!$B$101</f>
        <v/>
      </c>
      <c r="G236" s="41">
        <f>G234*Assumptions!$B$134*Assumptions!$B$50*Assumptions!$B$35*Assumptions!$B$101</f>
        <v/>
      </c>
      <c r="H236" s="41">
        <f>H234*Assumptions!$B$134*Assumptions!$B$50*Assumptions!$B$35*Assumptions!$B$101</f>
        <v/>
      </c>
      <c r="I236" s="41">
        <f>I234*Assumptions!$B$134*Assumptions!$B$50*Assumptions!$B$35*Assumptions!$B$101</f>
        <v/>
      </c>
      <c r="J236" s="41">
        <f>J234*Assumptions!$B$134*Assumptions!$B$50*Assumptions!$B$35*Assumptions!$B$101</f>
        <v/>
      </c>
      <c r="K236" s="41">
        <f>K234*Assumptions!$B$134*Assumptions!$B$50*Assumptions!$B$35*Assumptions!$B$101</f>
        <v/>
      </c>
      <c r="L236" s="41">
        <f>L234*Assumptions!$B$134*Assumptions!$B$50*Assumptions!$B$35*Assumptions!$B$101</f>
        <v/>
      </c>
      <c r="M236" s="41">
        <f>M234*Assumptions!$B$134*Assumptions!$B$50*Assumptions!$B$35*Assumptions!$B$101</f>
        <v/>
      </c>
      <c r="N236" s="41">
        <f>N234*Assumptions!$B$134*Assumptions!$B$50*Assumptions!$B$35*Assumptions!$B$101</f>
        <v/>
      </c>
      <c r="O236" s="41">
        <f>O234*Assumptions!$B$134*Assumptions!$B$50*Assumptions!$B$35*Assumptions!$B$101</f>
        <v/>
      </c>
      <c r="P236" s="41">
        <f>P234*Assumptions!$B$134*Assumptions!$B$50*Assumptions!$B$35*Assumptions!$B$101</f>
        <v/>
      </c>
      <c r="Q236" s="41">
        <f>Q234*Assumptions!$B$134*Assumptions!$B$50*Assumptions!$B$35*Assumptions!$B$101</f>
        <v/>
      </c>
      <c r="R236" s="41">
        <f>R234*Assumptions!$B$134*Assumptions!$B$50*Assumptions!$B$35*Assumptions!$B$101</f>
        <v/>
      </c>
      <c r="S236" s="41">
        <f>S234*Assumptions!$B$134*Assumptions!$B$50*Assumptions!$B$35*Assumptions!$B$101</f>
        <v/>
      </c>
      <c r="T236" s="41">
        <f>T234*Assumptions!$B$134*Assumptions!$B$50*Assumptions!$B$35*Assumptions!$B$101</f>
        <v/>
      </c>
      <c r="U236" s="41">
        <f>U234*Assumptions!$B$134*Assumptions!$B$50*Assumptions!$B$35*Assumptions!$B$101</f>
        <v/>
      </c>
      <c r="V236" s="41">
        <f>V234*Assumptions!$B$134*Assumptions!$B$50*Assumptions!$B$35*Assumptions!$B$101</f>
        <v/>
      </c>
      <c r="W236" s="41">
        <f>W234*Assumptions!$B$134*Assumptions!$B$50*Assumptions!$B$35*Assumptions!$B$101</f>
        <v/>
      </c>
      <c r="X236" s="41">
        <f>X234*Assumptions!$B$134*Assumptions!$B$50*Assumptions!$B$35*Assumptions!$B$101</f>
        <v/>
      </c>
      <c r="Y236" s="41">
        <f>Y234*Assumptions!$B$134*Assumptions!$B$50*Assumptions!$B$35*Assumptions!$B$101</f>
        <v/>
      </c>
      <c r="Z236" s="41">
        <f>Z234*Assumptions!$B$134*Assumptions!$B$50*Assumptions!$B$35*Assumptions!$B$101</f>
        <v/>
      </c>
      <c r="AA236" s="41">
        <f>AA234*Assumptions!$B$134*Assumptions!$B$50*Assumptions!$B$35*Assumptions!$B$101</f>
        <v/>
      </c>
      <c r="AB236" s="41">
        <f>AB234*Assumptions!$B$134*Assumptions!$B$50*Assumptions!$B$35*Assumptions!$B$101</f>
        <v/>
      </c>
      <c r="AC236" s="41">
        <f>AC234*Assumptions!$B$134*Assumptions!$B$50*Assumptions!$B$35*Assumptions!$B$101</f>
        <v/>
      </c>
      <c r="AD236" s="41">
        <f>AD234*Assumptions!$B$134*Assumptions!$B$50*Assumptions!$B$35*Assumptions!$B$101</f>
        <v/>
      </c>
      <c r="AE236" s="41">
        <f>AE234*Assumptions!$B$134*Assumptions!$B$50*Assumptions!$B$35*Assumptions!$B$101</f>
        <v/>
      </c>
      <c r="AF236" s="41">
        <f>AF234*Assumptions!$B$134*Assumptions!$B$50*Assumptions!$B$35*Assumptions!$B$101</f>
        <v/>
      </c>
      <c r="AG236" s="41">
        <f>AG234*Assumptions!$B$134*Assumptions!$B$50*Assumptions!$B$35*Assumptions!$B$101</f>
        <v/>
      </c>
      <c r="AH236" s="41">
        <f>AH234*Assumptions!$B$134*Assumptions!$B$50*Assumptions!$B$35*Assumptions!$B$101</f>
        <v/>
      </c>
      <c r="AI236" s="41">
        <f>AI234*Assumptions!$B$134*Assumptions!$B$50*Assumptions!$B$35*Assumptions!$B$101</f>
        <v/>
      </c>
      <c r="AJ236" s="41">
        <f>AJ234*Assumptions!$B$134*Assumptions!$B$50*Assumptions!$B$35*Assumptions!$B$101</f>
        <v/>
      </c>
      <c r="AK236" s="41">
        <f>AK234*Assumptions!$B$134*Assumptions!$B$50*Assumptions!$B$35*Assumptions!$B$101</f>
        <v/>
      </c>
      <c r="AL236" s="41">
        <f>AL234*Assumptions!$B$134*Assumptions!$B$50*Assumptions!$B$35*Assumptions!$B$101</f>
        <v/>
      </c>
      <c r="AM236" s="41">
        <f>AM234*Assumptions!$B$134*Assumptions!$B$50*Assumptions!$B$35*Assumptions!$B$101</f>
        <v/>
      </c>
      <c r="AN236" s="41">
        <f>AN234*Assumptions!$B$134*Assumptions!$B$50*Assumptions!$B$35*Assumptions!$B$101</f>
        <v/>
      </c>
      <c r="AO236" s="41">
        <f>AO234*Assumptions!$B$134*Assumptions!$B$50*Assumptions!$B$35*Assumptions!$B$101</f>
        <v/>
      </c>
      <c r="AP236" s="41">
        <f>AP234*Assumptions!$B$134*Assumptions!$B$50*Assumptions!$B$35*Assumptions!$B$101</f>
        <v/>
      </c>
      <c r="AQ236" s="41">
        <f>AQ234*Assumptions!$B$134*Assumptions!$B$50*Assumptions!$B$35*Assumptions!$B$101</f>
        <v/>
      </c>
      <c r="AR236" s="41">
        <f>AR234*Assumptions!$B$134*Assumptions!$B$50*Assumptions!$B$35*Assumptions!$B$101</f>
        <v/>
      </c>
      <c r="AS236" s="41">
        <f>AS234*Assumptions!$B$134*Assumptions!$B$50*Assumptions!$B$35*Assumptions!$B$101</f>
        <v/>
      </c>
      <c r="AT236" s="41">
        <f>AT234*Assumptions!$B$134*Assumptions!$B$50*Assumptions!$B$35*Assumptions!$B$101</f>
        <v/>
      </c>
      <c r="AU236" s="41">
        <f>AU234*Assumptions!$B$134*Assumptions!$B$50*Assumptions!$B$35*Assumptions!$B$101</f>
        <v/>
      </c>
      <c r="AV236" s="41">
        <f>AV234*Assumptions!$B$134*Assumptions!$B$50*Assumptions!$B$35*Assumptions!$B$101</f>
        <v/>
      </c>
      <c r="AW236" s="41">
        <f>AW234*Assumptions!$B$134*Assumptions!$B$50*Assumptions!$B$35*Assumptions!$B$101</f>
        <v/>
      </c>
      <c r="AX236" s="41">
        <f>AX234*Assumptions!$B$134*Assumptions!$B$50*Assumptions!$B$35*Assumptions!$B$101</f>
        <v/>
      </c>
      <c r="AY236" s="41">
        <f>AY234*Assumptions!$B$134*Assumptions!$B$50*Assumptions!$B$35*Assumptions!$B$101</f>
        <v/>
      </c>
      <c r="AZ236" s="41">
        <f>AZ234*Assumptions!$B$134*Assumptions!$B$50*Assumptions!$B$35*Assumptions!$B$101</f>
        <v/>
      </c>
      <c r="BA236" s="41">
        <f>BA234*Assumptions!$B$134*Assumptions!$B$50*Assumptions!$B$35*Assumptions!$B$101</f>
        <v/>
      </c>
      <c r="BB236" s="41">
        <f>BB234*Assumptions!$B$134*Assumptions!$B$50*Assumptions!$B$35*Assumptions!$B$101</f>
        <v/>
      </c>
      <c r="BC236" s="41">
        <f>BC234*Assumptions!$B$134*Assumptions!$B$50*Assumptions!$B$35*Assumptions!$B$101</f>
        <v/>
      </c>
      <c r="BD236" s="41">
        <f>BD234*Assumptions!$B$134*Assumptions!$B$50*Assumptions!$B$35*Assumptions!$B$101</f>
        <v/>
      </c>
      <c r="BE236" s="41">
        <f>BE234*Assumptions!$B$134*Assumptions!$B$50*Assumptions!$B$35*Assumptions!$B$101</f>
        <v/>
      </c>
      <c r="BF236" s="41">
        <f>BF234*Assumptions!$B$134*Assumptions!$B$50*Assumptions!$B$35*Assumptions!$B$101</f>
        <v/>
      </c>
      <c r="BG236" s="41">
        <f>BG234*Assumptions!$B$134*Assumptions!$B$50*Assumptions!$B$35*Assumptions!$B$101</f>
        <v/>
      </c>
      <c r="BH236" s="41">
        <f>BH234*Assumptions!$B$134*Assumptions!$B$50*Assumptions!$B$35*Assumptions!$B$101</f>
        <v/>
      </c>
      <c r="BI236" s="41">
        <f>BI234*Assumptions!$B$134*Assumptions!$B$50*Assumptions!$B$35*Assumptions!$B$101</f>
        <v/>
      </c>
      <c r="BJ236" s="41">
        <f>BJ234*Assumptions!$B$134*Assumptions!$B$50*Assumptions!$B$35*Assumptions!$B$101</f>
        <v/>
      </c>
    </row>
    <row r="237">
      <c r="A237" s="4" t="inlineStr">
        <is>
          <t>Rest of Africa (USD): SME: Growth: upgraded out</t>
        </is>
      </c>
      <c r="B237" s="17" t="inlineStr">
        <is>
          <t>workspaces</t>
        </is>
      </c>
      <c r="C237" s="41">
        <f>C234*Assumptions!$B$128</f>
        <v/>
      </c>
      <c r="D237" s="41">
        <f>D234*Assumptions!$B$128</f>
        <v/>
      </c>
      <c r="E237" s="41">
        <f>E234*Assumptions!$B$128</f>
        <v/>
      </c>
      <c r="F237" s="41">
        <f>F234*Assumptions!$B$128</f>
        <v/>
      </c>
      <c r="G237" s="41">
        <f>G234*Assumptions!$B$128</f>
        <v/>
      </c>
      <c r="H237" s="41">
        <f>H234*Assumptions!$B$128</f>
        <v/>
      </c>
      <c r="I237" s="41">
        <f>I234*Assumptions!$B$128</f>
        <v/>
      </c>
      <c r="J237" s="41">
        <f>J234*Assumptions!$B$128</f>
        <v/>
      </c>
      <c r="K237" s="41">
        <f>K234*Assumptions!$B$128</f>
        <v/>
      </c>
      <c r="L237" s="41">
        <f>L234*Assumptions!$B$128</f>
        <v/>
      </c>
      <c r="M237" s="41">
        <f>M234*Assumptions!$B$128</f>
        <v/>
      </c>
      <c r="N237" s="41">
        <f>N234*Assumptions!$B$128</f>
        <v/>
      </c>
      <c r="O237" s="41">
        <f>O234*Assumptions!$B$128</f>
        <v/>
      </c>
      <c r="P237" s="41">
        <f>P234*Assumptions!$B$128</f>
        <v/>
      </c>
      <c r="Q237" s="41">
        <f>Q234*Assumptions!$B$128</f>
        <v/>
      </c>
      <c r="R237" s="41">
        <f>R234*Assumptions!$B$128</f>
        <v/>
      </c>
      <c r="S237" s="41">
        <f>S234*Assumptions!$B$128</f>
        <v/>
      </c>
      <c r="T237" s="41">
        <f>T234*Assumptions!$B$128</f>
        <v/>
      </c>
      <c r="U237" s="41">
        <f>U234*Assumptions!$B$128</f>
        <v/>
      </c>
      <c r="V237" s="41">
        <f>V234*Assumptions!$B$128</f>
        <v/>
      </c>
      <c r="W237" s="41">
        <f>W234*Assumptions!$B$128</f>
        <v/>
      </c>
      <c r="X237" s="41">
        <f>X234*Assumptions!$B$128</f>
        <v/>
      </c>
      <c r="Y237" s="41">
        <f>Y234*Assumptions!$B$128</f>
        <v/>
      </c>
      <c r="Z237" s="41">
        <f>Z234*Assumptions!$B$128</f>
        <v/>
      </c>
      <c r="AA237" s="41">
        <f>AA234*Assumptions!$B$128</f>
        <v/>
      </c>
      <c r="AB237" s="41">
        <f>AB234*Assumptions!$B$128</f>
        <v/>
      </c>
      <c r="AC237" s="41">
        <f>AC234*Assumptions!$B$128</f>
        <v/>
      </c>
      <c r="AD237" s="41">
        <f>AD234*Assumptions!$B$128</f>
        <v/>
      </c>
      <c r="AE237" s="41">
        <f>AE234*Assumptions!$B$128</f>
        <v/>
      </c>
      <c r="AF237" s="41">
        <f>AF234*Assumptions!$B$128</f>
        <v/>
      </c>
      <c r="AG237" s="41">
        <f>AG234*Assumptions!$B$128</f>
        <v/>
      </c>
      <c r="AH237" s="41">
        <f>AH234*Assumptions!$B$128</f>
        <v/>
      </c>
      <c r="AI237" s="41">
        <f>AI234*Assumptions!$B$128</f>
        <v/>
      </c>
      <c r="AJ237" s="41">
        <f>AJ234*Assumptions!$B$128</f>
        <v/>
      </c>
      <c r="AK237" s="41">
        <f>AK234*Assumptions!$B$128</f>
        <v/>
      </c>
      <c r="AL237" s="41">
        <f>AL234*Assumptions!$B$128</f>
        <v/>
      </c>
      <c r="AM237" s="41">
        <f>AM234*Assumptions!$B$128</f>
        <v/>
      </c>
      <c r="AN237" s="41">
        <f>AN234*Assumptions!$B$128</f>
        <v/>
      </c>
      <c r="AO237" s="41">
        <f>AO234*Assumptions!$B$128</f>
        <v/>
      </c>
      <c r="AP237" s="41">
        <f>AP234*Assumptions!$B$128</f>
        <v/>
      </c>
      <c r="AQ237" s="41">
        <f>AQ234*Assumptions!$B$128</f>
        <v/>
      </c>
      <c r="AR237" s="41">
        <f>AR234*Assumptions!$B$128</f>
        <v/>
      </c>
      <c r="AS237" s="41">
        <f>AS234*Assumptions!$B$128</f>
        <v/>
      </c>
      <c r="AT237" s="41">
        <f>AT234*Assumptions!$B$128</f>
        <v/>
      </c>
      <c r="AU237" s="41">
        <f>AU234*Assumptions!$B$128</f>
        <v/>
      </c>
      <c r="AV237" s="41">
        <f>AV234*Assumptions!$B$128</f>
        <v/>
      </c>
      <c r="AW237" s="41">
        <f>AW234*Assumptions!$B$128</f>
        <v/>
      </c>
      <c r="AX237" s="41">
        <f>AX234*Assumptions!$B$128</f>
        <v/>
      </c>
      <c r="AY237" s="41">
        <f>AY234*Assumptions!$B$128</f>
        <v/>
      </c>
      <c r="AZ237" s="41">
        <f>AZ234*Assumptions!$B$128</f>
        <v/>
      </c>
      <c r="BA237" s="41">
        <f>BA234*Assumptions!$B$128</f>
        <v/>
      </c>
      <c r="BB237" s="41">
        <f>BB234*Assumptions!$B$128</f>
        <v/>
      </c>
      <c r="BC237" s="41">
        <f>BC234*Assumptions!$B$128</f>
        <v/>
      </c>
      <c r="BD237" s="41">
        <f>BD234*Assumptions!$B$128</f>
        <v/>
      </c>
      <c r="BE237" s="41">
        <f>BE234*Assumptions!$B$128</f>
        <v/>
      </c>
      <c r="BF237" s="41">
        <f>BF234*Assumptions!$B$128</f>
        <v/>
      </c>
      <c r="BG237" s="41">
        <f>BG234*Assumptions!$B$128</f>
        <v/>
      </c>
      <c r="BH237" s="41">
        <f>BH234*Assumptions!$B$128</f>
        <v/>
      </c>
      <c r="BI237" s="41">
        <f>BI234*Assumptions!$B$128</f>
        <v/>
      </c>
      <c r="BJ237" s="41">
        <f>BJ234*Assumptions!$B$128</f>
        <v/>
      </c>
    </row>
    <row r="238">
      <c r="A238" s="3" t="inlineStr">
        <is>
          <t>Rest of Africa (USD): SME: Growth: closing</t>
        </is>
      </c>
      <c r="B238" s="17" t="inlineStr">
        <is>
          <t>workspaces</t>
        </is>
      </c>
      <c r="C238" s="44">
        <f>C234+C235-C236-C237</f>
        <v/>
      </c>
      <c r="D238" s="44">
        <f>D234+D235-D236-D237</f>
        <v/>
      </c>
      <c r="E238" s="44">
        <f>E234+E235-E236-E237</f>
        <v/>
      </c>
      <c r="F238" s="44">
        <f>F234+F235-F236-F237</f>
        <v/>
      </c>
      <c r="G238" s="44">
        <f>G234+G235-G236-G237</f>
        <v/>
      </c>
      <c r="H238" s="44">
        <f>H234+H235-H236-H237</f>
        <v/>
      </c>
      <c r="I238" s="44">
        <f>I234+I235-I236-I237</f>
        <v/>
      </c>
      <c r="J238" s="44">
        <f>J234+J235-J236-J237</f>
        <v/>
      </c>
      <c r="K238" s="44">
        <f>K234+K235-K236-K237</f>
        <v/>
      </c>
      <c r="L238" s="44">
        <f>L234+L235-L236-L237</f>
        <v/>
      </c>
      <c r="M238" s="44">
        <f>M234+M235-M236-M237</f>
        <v/>
      </c>
      <c r="N238" s="44">
        <f>N234+N235-N236-N237</f>
        <v/>
      </c>
      <c r="O238" s="44">
        <f>O234+O235-O236-O237</f>
        <v/>
      </c>
      <c r="P238" s="44">
        <f>P234+P235-P236-P237</f>
        <v/>
      </c>
      <c r="Q238" s="44">
        <f>Q234+Q235-Q236-Q237</f>
        <v/>
      </c>
      <c r="R238" s="44">
        <f>R234+R235-R236-R237</f>
        <v/>
      </c>
      <c r="S238" s="44">
        <f>S234+S235-S236-S237</f>
        <v/>
      </c>
      <c r="T238" s="44">
        <f>T234+T235-T236-T237</f>
        <v/>
      </c>
      <c r="U238" s="44">
        <f>U234+U235-U236-U237</f>
        <v/>
      </c>
      <c r="V238" s="44">
        <f>V234+V235-V236-V237</f>
        <v/>
      </c>
      <c r="W238" s="44">
        <f>W234+W235-W236-W237</f>
        <v/>
      </c>
      <c r="X238" s="44">
        <f>X234+X235-X236-X237</f>
        <v/>
      </c>
      <c r="Y238" s="44">
        <f>Y234+Y235-Y236-Y237</f>
        <v/>
      </c>
      <c r="Z238" s="44">
        <f>Z234+Z235-Z236-Z237</f>
        <v/>
      </c>
      <c r="AA238" s="44">
        <f>AA234+AA235-AA236-AA237</f>
        <v/>
      </c>
      <c r="AB238" s="44">
        <f>AB234+AB235-AB236-AB237</f>
        <v/>
      </c>
      <c r="AC238" s="44">
        <f>AC234+AC235-AC236-AC237</f>
        <v/>
      </c>
      <c r="AD238" s="44">
        <f>AD234+AD235-AD236-AD237</f>
        <v/>
      </c>
      <c r="AE238" s="44">
        <f>AE234+AE235-AE236-AE237</f>
        <v/>
      </c>
      <c r="AF238" s="44">
        <f>AF234+AF235-AF236-AF237</f>
        <v/>
      </c>
      <c r="AG238" s="44">
        <f>AG234+AG235-AG236-AG237</f>
        <v/>
      </c>
      <c r="AH238" s="44">
        <f>AH234+AH235-AH236-AH237</f>
        <v/>
      </c>
      <c r="AI238" s="44">
        <f>AI234+AI235-AI236-AI237</f>
        <v/>
      </c>
      <c r="AJ238" s="44">
        <f>AJ234+AJ235-AJ236-AJ237</f>
        <v/>
      </c>
      <c r="AK238" s="44">
        <f>AK234+AK235-AK236-AK237</f>
        <v/>
      </c>
      <c r="AL238" s="44">
        <f>AL234+AL235-AL236-AL237</f>
        <v/>
      </c>
      <c r="AM238" s="44">
        <f>AM234+AM235-AM236-AM237</f>
        <v/>
      </c>
      <c r="AN238" s="44">
        <f>AN234+AN235-AN236-AN237</f>
        <v/>
      </c>
      <c r="AO238" s="44">
        <f>AO234+AO235-AO236-AO237</f>
        <v/>
      </c>
      <c r="AP238" s="44">
        <f>AP234+AP235-AP236-AP237</f>
        <v/>
      </c>
      <c r="AQ238" s="44">
        <f>AQ234+AQ235-AQ236-AQ237</f>
        <v/>
      </c>
      <c r="AR238" s="44">
        <f>AR234+AR235-AR236-AR237</f>
        <v/>
      </c>
      <c r="AS238" s="44">
        <f>AS234+AS235-AS236-AS237</f>
        <v/>
      </c>
      <c r="AT238" s="44">
        <f>AT234+AT235-AT236-AT237</f>
        <v/>
      </c>
      <c r="AU238" s="44">
        <f>AU234+AU235-AU236-AU237</f>
        <v/>
      </c>
      <c r="AV238" s="44">
        <f>AV234+AV235-AV236-AV237</f>
        <v/>
      </c>
      <c r="AW238" s="44">
        <f>AW234+AW235-AW236-AW237</f>
        <v/>
      </c>
      <c r="AX238" s="44">
        <f>AX234+AX235-AX236-AX237</f>
        <v/>
      </c>
      <c r="AY238" s="44">
        <f>AY234+AY235-AY236-AY237</f>
        <v/>
      </c>
      <c r="AZ238" s="44">
        <f>AZ234+AZ235-AZ236-AZ237</f>
        <v/>
      </c>
      <c r="BA238" s="44">
        <f>BA234+BA235-BA236-BA237</f>
        <v/>
      </c>
      <c r="BB238" s="44">
        <f>BB234+BB235-BB236-BB237</f>
        <v/>
      </c>
      <c r="BC238" s="44">
        <f>BC234+BC235-BC236-BC237</f>
        <v/>
      </c>
      <c r="BD238" s="44">
        <f>BD234+BD235-BD236-BD237</f>
        <v/>
      </c>
      <c r="BE238" s="44">
        <f>BE234+BE235-BE236-BE237</f>
        <v/>
      </c>
      <c r="BF238" s="44">
        <f>BF234+BF235-BF236-BF237</f>
        <v/>
      </c>
      <c r="BG238" s="44">
        <f>BG234+BG235-BG236-BG237</f>
        <v/>
      </c>
      <c r="BH238" s="44">
        <f>BH234+BH235-BH236-BH237</f>
        <v/>
      </c>
      <c r="BI238" s="44">
        <f>BI234+BI235-BI236-BI237</f>
        <v/>
      </c>
      <c r="BJ238" s="44">
        <f>BJ234+BJ235-BJ236-BJ237</f>
        <v/>
      </c>
    </row>
    <row r="239">
      <c r="A239" s="4" t="inlineStr">
        <is>
          <t>Rest of Africa (USD): SME: Scale (upgraded or direct): opening</t>
        </is>
      </c>
      <c r="B239" s="17" t="inlineStr">
        <is>
          <t>workspaces</t>
        </is>
      </c>
      <c r="C239" s="41">
        <f>0</f>
        <v/>
      </c>
      <c r="D239" s="41">
        <f>C242</f>
        <v/>
      </c>
      <c r="E239" s="41">
        <f>D242</f>
        <v/>
      </c>
      <c r="F239" s="41">
        <f>E242</f>
        <v/>
      </c>
      <c r="G239" s="41">
        <f>F242</f>
        <v/>
      </c>
      <c r="H239" s="41">
        <f>G242</f>
        <v/>
      </c>
      <c r="I239" s="41">
        <f>H242</f>
        <v/>
      </c>
      <c r="J239" s="41">
        <f>I242</f>
        <v/>
      </c>
      <c r="K239" s="41">
        <f>J242</f>
        <v/>
      </c>
      <c r="L239" s="41">
        <f>K242</f>
        <v/>
      </c>
      <c r="M239" s="41">
        <f>L242</f>
        <v/>
      </c>
      <c r="N239" s="41">
        <f>M242</f>
        <v/>
      </c>
      <c r="O239" s="41">
        <f>N242</f>
        <v/>
      </c>
      <c r="P239" s="41">
        <f>O242</f>
        <v/>
      </c>
      <c r="Q239" s="41">
        <f>P242</f>
        <v/>
      </c>
      <c r="R239" s="41">
        <f>Q242</f>
        <v/>
      </c>
      <c r="S239" s="41">
        <f>R242</f>
        <v/>
      </c>
      <c r="T239" s="41">
        <f>S242</f>
        <v/>
      </c>
      <c r="U239" s="41">
        <f>T242</f>
        <v/>
      </c>
      <c r="V239" s="41">
        <f>U242</f>
        <v/>
      </c>
      <c r="W239" s="41">
        <f>V242</f>
        <v/>
      </c>
      <c r="X239" s="41">
        <f>W242</f>
        <v/>
      </c>
      <c r="Y239" s="41">
        <f>X242</f>
        <v/>
      </c>
      <c r="Z239" s="41">
        <f>Y242</f>
        <v/>
      </c>
      <c r="AA239" s="41">
        <f>Z242</f>
        <v/>
      </c>
      <c r="AB239" s="41">
        <f>AA242</f>
        <v/>
      </c>
      <c r="AC239" s="41">
        <f>AB242</f>
        <v/>
      </c>
      <c r="AD239" s="41">
        <f>AC242</f>
        <v/>
      </c>
      <c r="AE239" s="41">
        <f>AD242</f>
        <v/>
      </c>
      <c r="AF239" s="41">
        <f>AE242</f>
        <v/>
      </c>
      <c r="AG239" s="41">
        <f>AF242</f>
        <v/>
      </c>
      <c r="AH239" s="41">
        <f>AG242</f>
        <v/>
      </c>
      <c r="AI239" s="41">
        <f>AH242</f>
        <v/>
      </c>
      <c r="AJ239" s="41">
        <f>AI242</f>
        <v/>
      </c>
      <c r="AK239" s="41">
        <f>AJ242</f>
        <v/>
      </c>
      <c r="AL239" s="41">
        <f>AK242</f>
        <v/>
      </c>
      <c r="AM239" s="41">
        <f>AL242</f>
        <v/>
      </c>
      <c r="AN239" s="41">
        <f>AM242</f>
        <v/>
      </c>
      <c r="AO239" s="41">
        <f>AN242</f>
        <v/>
      </c>
      <c r="AP239" s="41">
        <f>AO242</f>
        <v/>
      </c>
      <c r="AQ239" s="41">
        <f>AP242</f>
        <v/>
      </c>
      <c r="AR239" s="41">
        <f>AQ242</f>
        <v/>
      </c>
      <c r="AS239" s="41">
        <f>AR242</f>
        <v/>
      </c>
      <c r="AT239" s="41">
        <f>AS242</f>
        <v/>
      </c>
      <c r="AU239" s="41">
        <f>AT242</f>
        <v/>
      </c>
      <c r="AV239" s="41">
        <f>AU242</f>
        <v/>
      </c>
      <c r="AW239" s="41">
        <f>AV242</f>
        <v/>
      </c>
      <c r="AX239" s="41">
        <f>AW242</f>
        <v/>
      </c>
      <c r="AY239" s="41">
        <f>AX242</f>
        <v/>
      </c>
      <c r="AZ239" s="41">
        <f>AY242</f>
        <v/>
      </c>
      <c r="BA239" s="41">
        <f>AZ242</f>
        <v/>
      </c>
      <c r="BB239" s="41">
        <f>BA242</f>
        <v/>
      </c>
      <c r="BC239" s="41">
        <f>BB242</f>
        <v/>
      </c>
      <c r="BD239" s="41">
        <f>BC242</f>
        <v/>
      </c>
      <c r="BE239" s="41">
        <f>BD242</f>
        <v/>
      </c>
      <c r="BF239" s="41">
        <f>BE242</f>
        <v/>
      </c>
      <c r="BG239" s="41">
        <f>BF242</f>
        <v/>
      </c>
      <c r="BH239" s="41">
        <f>BG242</f>
        <v/>
      </c>
      <c r="BI239" s="41">
        <f>BH242</f>
        <v/>
      </c>
      <c r="BJ239" s="41">
        <f>BI242</f>
        <v/>
      </c>
    </row>
    <row r="240">
      <c r="A240" s="4" t="inlineStr">
        <is>
          <t>Rest of Africa (USD): SME: Scale (upgraded or direct): new</t>
        </is>
      </c>
      <c r="B240" s="17" t="inlineStr">
        <is>
          <t>workspaces</t>
        </is>
      </c>
      <c r="C240" s="41">
        <f>C122*Assumptions!$B$126+C237</f>
        <v/>
      </c>
      <c r="D240" s="41">
        <f>D122*Assumptions!$B$126+D237</f>
        <v/>
      </c>
      <c r="E240" s="41">
        <f>E122*Assumptions!$B$126+E237</f>
        <v/>
      </c>
      <c r="F240" s="41">
        <f>F122*Assumptions!$B$126+F237</f>
        <v/>
      </c>
      <c r="G240" s="41">
        <f>G122*Assumptions!$B$126+G237</f>
        <v/>
      </c>
      <c r="H240" s="41">
        <f>H122*Assumptions!$B$126+H237</f>
        <v/>
      </c>
      <c r="I240" s="41">
        <f>I122*Assumptions!$B$126+I237</f>
        <v/>
      </c>
      <c r="J240" s="41">
        <f>J122*Assumptions!$B$126+J237</f>
        <v/>
      </c>
      <c r="K240" s="41">
        <f>K122*Assumptions!$B$126+K237</f>
        <v/>
      </c>
      <c r="L240" s="41">
        <f>L122*Assumptions!$B$126+L237</f>
        <v/>
      </c>
      <c r="M240" s="41">
        <f>M122*Assumptions!$B$126+M237</f>
        <v/>
      </c>
      <c r="N240" s="41">
        <f>N122*Assumptions!$B$126+N237</f>
        <v/>
      </c>
      <c r="O240" s="41">
        <f>O122*Assumptions!$B$126+O237</f>
        <v/>
      </c>
      <c r="P240" s="41">
        <f>P122*Assumptions!$B$126+P237</f>
        <v/>
      </c>
      <c r="Q240" s="41">
        <f>Q122*Assumptions!$B$126+Q237</f>
        <v/>
      </c>
      <c r="R240" s="41">
        <f>R122*Assumptions!$B$126+R237</f>
        <v/>
      </c>
      <c r="S240" s="41">
        <f>S122*Assumptions!$B$126+S237</f>
        <v/>
      </c>
      <c r="T240" s="41">
        <f>T122*Assumptions!$B$126+T237</f>
        <v/>
      </c>
      <c r="U240" s="41">
        <f>U122*Assumptions!$B$126+U237</f>
        <v/>
      </c>
      <c r="V240" s="41">
        <f>V122*Assumptions!$B$126+V237</f>
        <v/>
      </c>
      <c r="W240" s="41">
        <f>W122*Assumptions!$B$126+W237</f>
        <v/>
      </c>
      <c r="X240" s="41">
        <f>X122*Assumptions!$B$126+X237</f>
        <v/>
      </c>
      <c r="Y240" s="41">
        <f>Y122*Assumptions!$B$126+Y237</f>
        <v/>
      </c>
      <c r="Z240" s="41">
        <f>Z122*Assumptions!$B$126+Z237</f>
        <v/>
      </c>
      <c r="AA240" s="41">
        <f>AA122*Assumptions!$B$126+AA237</f>
        <v/>
      </c>
      <c r="AB240" s="41">
        <f>AB122*Assumptions!$B$126+AB237</f>
        <v/>
      </c>
      <c r="AC240" s="41">
        <f>AC122*Assumptions!$B$126+AC237</f>
        <v/>
      </c>
      <c r="AD240" s="41">
        <f>AD122*Assumptions!$B$126+AD237</f>
        <v/>
      </c>
      <c r="AE240" s="41">
        <f>AE122*Assumptions!$B$126+AE237</f>
        <v/>
      </c>
      <c r="AF240" s="41">
        <f>AF122*Assumptions!$B$126+AF237</f>
        <v/>
      </c>
      <c r="AG240" s="41">
        <f>AG122*Assumptions!$B$126+AG237</f>
        <v/>
      </c>
      <c r="AH240" s="41">
        <f>AH122*Assumptions!$B$126+AH237</f>
        <v/>
      </c>
      <c r="AI240" s="41">
        <f>AI122*Assumptions!$B$126+AI237</f>
        <v/>
      </c>
      <c r="AJ240" s="41">
        <f>AJ122*Assumptions!$B$126+AJ237</f>
        <v/>
      </c>
      <c r="AK240" s="41">
        <f>AK122*Assumptions!$B$126+AK237</f>
        <v/>
      </c>
      <c r="AL240" s="41">
        <f>AL122*Assumptions!$B$126+AL237</f>
        <v/>
      </c>
      <c r="AM240" s="41">
        <f>AM122*Assumptions!$B$126+AM237</f>
        <v/>
      </c>
      <c r="AN240" s="41">
        <f>AN122*Assumptions!$B$126+AN237</f>
        <v/>
      </c>
      <c r="AO240" s="41">
        <f>AO122*Assumptions!$B$126+AO237</f>
        <v/>
      </c>
      <c r="AP240" s="41">
        <f>AP122*Assumptions!$B$126+AP237</f>
        <v/>
      </c>
      <c r="AQ240" s="41">
        <f>AQ122*Assumptions!$B$126+AQ237</f>
        <v/>
      </c>
      <c r="AR240" s="41">
        <f>AR122*Assumptions!$B$126+AR237</f>
        <v/>
      </c>
      <c r="AS240" s="41">
        <f>AS122*Assumptions!$B$126+AS237</f>
        <v/>
      </c>
      <c r="AT240" s="41">
        <f>AT122*Assumptions!$B$126+AT237</f>
        <v/>
      </c>
      <c r="AU240" s="41">
        <f>AU122*Assumptions!$B$126+AU237</f>
        <v/>
      </c>
      <c r="AV240" s="41">
        <f>AV122*Assumptions!$B$126+AV237</f>
        <v/>
      </c>
      <c r="AW240" s="41">
        <f>AW122*Assumptions!$B$126+AW237</f>
        <v/>
      </c>
      <c r="AX240" s="41">
        <f>AX122*Assumptions!$B$126+AX237</f>
        <v/>
      </c>
      <c r="AY240" s="41">
        <f>AY122*Assumptions!$B$126+AY237</f>
        <v/>
      </c>
      <c r="AZ240" s="41">
        <f>AZ122*Assumptions!$B$126+AZ237</f>
        <v/>
      </c>
      <c r="BA240" s="41">
        <f>BA122*Assumptions!$B$126+BA237</f>
        <v/>
      </c>
      <c r="BB240" s="41">
        <f>BB122*Assumptions!$B$126+BB237</f>
        <v/>
      </c>
      <c r="BC240" s="41">
        <f>BC122*Assumptions!$B$126+BC237</f>
        <v/>
      </c>
      <c r="BD240" s="41">
        <f>BD122*Assumptions!$B$126+BD237</f>
        <v/>
      </c>
      <c r="BE240" s="41">
        <f>BE122*Assumptions!$B$126+BE237</f>
        <v/>
      </c>
      <c r="BF240" s="41">
        <f>BF122*Assumptions!$B$126+BF237</f>
        <v/>
      </c>
      <c r="BG240" s="41">
        <f>BG122*Assumptions!$B$126+BG237</f>
        <v/>
      </c>
      <c r="BH240" s="41">
        <f>BH122*Assumptions!$B$126+BH237</f>
        <v/>
      </c>
      <c r="BI240" s="41">
        <f>BI122*Assumptions!$B$126+BI237</f>
        <v/>
      </c>
      <c r="BJ240" s="41">
        <f>BJ122*Assumptions!$B$126+BJ237</f>
        <v/>
      </c>
    </row>
    <row r="241">
      <c r="A241" s="4" t="inlineStr">
        <is>
          <t>Rest of Africa (USD): SME: Scale (upgraded or direct): churned</t>
        </is>
      </c>
      <c r="B241" s="17" t="inlineStr">
        <is>
          <t>workspaces</t>
        </is>
      </c>
      <c r="C241" s="41">
        <f>C239*Assumptions!$B$135*Assumptions!$B$50*Assumptions!$B$35*Assumptions!$B$101</f>
        <v/>
      </c>
      <c r="D241" s="41">
        <f>D239*Assumptions!$B$135*Assumptions!$B$50*Assumptions!$B$35*Assumptions!$B$101</f>
        <v/>
      </c>
      <c r="E241" s="41">
        <f>E239*Assumptions!$B$135*Assumptions!$B$50*Assumptions!$B$35*Assumptions!$B$101</f>
        <v/>
      </c>
      <c r="F241" s="41">
        <f>F239*Assumptions!$B$135*Assumptions!$B$50*Assumptions!$B$35*Assumptions!$B$101</f>
        <v/>
      </c>
      <c r="G241" s="41">
        <f>G239*Assumptions!$B$135*Assumptions!$B$50*Assumptions!$B$35*Assumptions!$B$101</f>
        <v/>
      </c>
      <c r="H241" s="41">
        <f>H239*Assumptions!$B$135*Assumptions!$B$50*Assumptions!$B$35*Assumptions!$B$101</f>
        <v/>
      </c>
      <c r="I241" s="41">
        <f>I239*Assumptions!$B$135*Assumptions!$B$50*Assumptions!$B$35*Assumptions!$B$101</f>
        <v/>
      </c>
      <c r="J241" s="41">
        <f>J239*Assumptions!$B$135*Assumptions!$B$50*Assumptions!$B$35*Assumptions!$B$101</f>
        <v/>
      </c>
      <c r="K241" s="41">
        <f>K239*Assumptions!$B$135*Assumptions!$B$50*Assumptions!$B$35*Assumptions!$B$101</f>
        <v/>
      </c>
      <c r="L241" s="41">
        <f>L239*Assumptions!$B$135*Assumptions!$B$50*Assumptions!$B$35*Assumptions!$B$101</f>
        <v/>
      </c>
      <c r="M241" s="41">
        <f>M239*Assumptions!$B$135*Assumptions!$B$50*Assumptions!$B$35*Assumptions!$B$101</f>
        <v/>
      </c>
      <c r="N241" s="41">
        <f>N239*Assumptions!$B$135*Assumptions!$B$50*Assumptions!$B$35*Assumptions!$B$101</f>
        <v/>
      </c>
      <c r="O241" s="41">
        <f>O239*Assumptions!$B$135*Assumptions!$B$50*Assumptions!$B$35*Assumptions!$B$101</f>
        <v/>
      </c>
      <c r="P241" s="41">
        <f>P239*Assumptions!$B$135*Assumptions!$B$50*Assumptions!$B$35*Assumptions!$B$101</f>
        <v/>
      </c>
      <c r="Q241" s="41">
        <f>Q239*Assumptions!$B$135*Assumptions!$B$50*Assumptions!$B$35*Assumptions!$B$101</f>
        <v/>
      </c>
      <c r="R241" s="41">
        <f>R239*Assumptions!$B$135*Assumptions!$B$50*Assumptions!$B$35*Assumptions!$B$101</f>
        <v/>
      </c>
      <c r="S241" s="41">
        <f>S239*Assumptions!$B$135*Assumptions!$B$50*Assumptions!$B$35*Assumptions!$B$101</f>
        <v/>
      </c>
      <c r="T241" s="41">
        <f>T239*Assumptions!$B$135*Assumptions!$B$50*Assumptions!$B$35*Assumptions!$B$101</f>
        <v/>
      </c>
      <c r="U241" s="41">
        <f>U239*Assumptions!$B$135*Assumptions!$B$50*Assumptions!$B$35*Assumptions!$B$101</f>
        <v/>
      </c>
      <c r="V241" s="41">
        <f>V239*Assumptions!$B$135*Assumptions!$B$50*Assumptions!$B$35*Assumptions!$B$101</f>
        <v/>
      </c>
      <c r="W241" s="41">
        <f>W239*Assumptions!$B$135*Assumptions!$B$50*Assumptions!$B$35*Assumptions!$B$101</f>
        <v/>
      </c>
      <c r="X241" s="41">
        <f>X239*Assumptions!$B$135*Assumptions!$B$50*Assumptions!$B$35*Assumptions!$B$101</f>
        <v/>
      </c>
      <c r="Y241" s="41">
        <f>Y239*Assumptions!$B$135*Assumptions!$B$50*Assumptions!$B$35*Assumptions!$B$101</f>
        <v/>
      </c>
      <c r="Z241" s="41">
        <f>Z239*Assumptions!$B$135*Assumptions!$B$50*Assumptions!$B$35*Assumptions!$B$101</f>
        <v/>
      </c>
      <c r="AA241" s="41">
        <f>AA239*Assumptions!$B$135*Assumptions!$B$50*Assumptions!$B$35*Assumptions!$B$101</f>
        <v/>
      </c>
      <c r="AB241" s="41">
        <f>AB239*Assumptions!$B$135*Assumptions!$B$50*Assumptions!$B$35*Assumptions!$B$101</f>
        <v/>
      </c>
      <c r="AC241" s="41">
        <f>AC239*Assumptions!$B$135*Assumptions!$B$50*Assumptions!$B$35*Assumptions!$B$101</f>
        <v/>
      </c>
      <c r="AD241" s="41">
        <f>AD239*Assumptions!$B$135*Assumptions!$B$50*Assumptions!$B$35*Assumptions!$B$101</f>
        <v/>
      </c>
      <c r="AE241" s="41">
        <f>AE239*Assumptions!$B$135*Assumptions!$B$50*Assumptions!$B$35*Assumptions!$B$101</f>
        <v/>
      </c>
      <c r="AF241" s="41">
        <f>AF239*Assumptions!$B$135*Assumptions!$B$50*Assumptions!$B$35*Assumptions!$B$101</f>
        <v/>
      </c>
      <c r="AG241" s="41">
        <f>AG239*Assumptions!$B$135*Assumptions!$B$50*Assumptions!$B$35*Assumptions!$B$101</f>
        <v/>
      </c>
      <c r="AH241" s="41">
        <f>AH239*Assumptions!$B$135*Assumptions!$B$50*Assumptions!$B$35*Assumptions!$B$101</f>
        <v/>
      </c>
      <c r="AI241" s="41">
        <f>AI239*Assumptions!$B$135*Assumptions!$B$50*Assumptions!$B$35*Assumptions!$B$101</f>
        <v/>
      </c>
      <c r="AJ241" s="41">
        <f>AJ239*Assumptions!$B$135*Assumptions!$B$50*Assumptions!$B$35*Assumptions!$B$101</f>
        <v/>
      </c>
      <c r="AK241" s="41">
        <f>AK239*Assumptions!$B$135*Assumptions!$B$50*Assumptions!$B$35*Assumptions!$B$101</f>
        <v/>
      </c>
      <c r="AL241" s="41">
        <f>AL239*Assumptions!$B$135*Assumptions!$B$50*Assumptions!$B$35*Assumptions!$B$101</f>
        <v/>
      </c>
      <c r="AM241" s="41">
        <f>AM239*Assumptions!$B$135*Assumptions!$B$50*Assumptions!$B$35*Assumptions!$B$101</f>
        <v/>
      </c>
      <c r="AN241" s="41">
        <f>AN239*Assumptions!$B$135*Assumptions!$B$50*Assumptions!$B$35*Assumptions!$B$101</f>
        <v/>
      </c>
      <c r="AO241" s="41">
        <f>AO239*Assumptions!$B$135*Assumptions!$B$50*Assumptions!$B$35*Assumptions!$B$101</f>
        <v/>
      </c>
      <c r="AP241" s="41">
        <f>AP239*Assumptions!$B$135*Assumptions!$B$50*Assumptions!$B$35*Assumptions!$B$101</f>
        <v/>
      </c>
      <c r="AQ241" s="41">
        <f>AQ239*Assumptions!$B$135*Assumptions!$B$50*Assumptions!$B$35*Assumptions!$B$101</f>
        <v/>
      </c>
      <c r="AR241" s="41">
        <f>AR239*Assumptions!$B$135*Assumptions!$B$50*Assumptions!$B$35*Assumptions!$B$101</f>
        <v/>
      </c>
      <c r="AS241" s="41">
        <f>AS239*Assumptions!$B$135*Assumptions!$B$50*Assumptions!$B$35*Assumptions!$B$101</f>
        <v/>
      </c>
      <c r="AT241" s="41">
        <f>AT239*Assumptions!$B$135*Assumptions!$B$50*Assumptions!$B$35*Assumptions!$B$101</f>
        <v/>
      </c>
      <c r="AU241" s="41">
        <f>AU239*Assumptions!$B$135*Assumptions!$B$50*Assumptions!$B$35*Assumptions!$B$101</f>
        <v/>
      </c>
      <c r="AV241" s="41">
        <f>AV239*Assumptions!$B$135*Assumptions!$B$50*Assumptions!$B$35*Assumptions!$B$101</f>
        <v/>
      </c>
      <c r="AW241" s="41">
        <f>AW239*Assumptions!$B$135*Assumptions!$B$50*Assumptions!$B$35*Assumptions!$B$101</f>
        <v/>
      </c>
      <c r="AX241" s="41">
        <f>AX239*Assumptions!$B$135*Assumptions!$B$50*Assumptions!$B$35*Assumptions!$B$101</f>
        <v/>
      </c>
      <c r="AY241" s="41">
        <f>AY239*Assumptions!$B$135*Assumptions!$B$50*Assumptions!$B$35*Assumptions!$B$101</f>
        <v/>
      </c>
      <c r="AZ241" s="41">
        <f>AZ239*Assumptions!$B$135*Assumptions!$B$50*Assumptions!$B$35*Assumptions!$B$101</f>
        <v/>
      </c>
      <c r="BA241" s="41">
        <f>BA239*Assumptions!$B$135*Assumptions!$B$50*Assumptions!$B$35*Assumptions!$B$101</f>
        <v/>
      </c>
      <c r="BB241" s="41">
        <f>BB239*Assumptions!$B$135*Assumptions!$B$50*Assumptions!$B$35*Assumptions!$B$101</f>
        <v/>
      </c>
      <c r="BC241" s="41">
        <f>BC239*Assumptions!$B$135*Assumptions!$B$50*Assumptions!$B$35*Assumptions!$B$101</f>
        <v/>
      </c>
      <c r="BD241" s="41">
        <f>BD239*Assumptions!$B$135*Assumptions!$B$50*Assumptions!$B$35*Assumptions!$B$101</f>
        <v/>
      </c>
      <c r="BE241" s="41">
        <f>BE239*Assumptions!$B$135*Assumptions!$B$50*Assumptions!$B$35*Assumptions!$B$101</f>
        <v/>
      </c>
      <c r="BF241" s="41">
        <f>BF239*Assumptions!$B$135*Assumptions!$B$50*Assumptions!$B$35*Assumptions!$B$101</f>
        <v/>
      </c>
      <c r="BG241" s="41">
        <f>BG239*Assumptions!$B$135*Assumptions!$B$50*Assumptions!$B$35*Assumptions!$B$101</f>
        <v/>
      </c>
      <c r="BH241" s="41">
        <f>BH239*Assumptions!$B$135*Assumptions!$B$50*Assumptions!$B$35*Assumptions!$B$101</f>
        <v/>
      </c>
      <c r="BI241" s="41">
        <f>BI239*Assumptions!$B$135*Assumptions!$B$50*Assumptions!$B$35*Assumptions!$B$101</f>
        <v/>
      </c>
      <c r="BJ241" s="41">
        <f>BJ239*Assumptions!$B$135*Assumptions!$B$50*Assumptions!$B$35*Assumptions!$B$101</f>
        <v/>
      </c>
    </row>
    <row r="242">
      <c r="A242" s="3" t="inlineStr">
        <is>
          <t>Rest of Africa (USD): SME: Scale (upgraded or direct): closing</t>
        </is>
      </c>
      <c r="B242" s="17" t="inlineStr">
        <is>
          <t>workspaces</t>
        </is>
      </c>
      <c r="C242" s="44">
        <f>C239+C240-C241</f>
        <v/>
      </c>
      <c r="D242" s="44">
        <f>D239+D240-D241</f>
        <v/>
      </c>
      <c r="E242" s="44">
        <f>E239+E240-E241</f>
        <v/>
      </c>
      <c r="F242" s="44">
        <f>F239+F240-F241</f>
        <v/>
      </c>
      <c r="G242" s="44">
        <f>G239+G240-G241</f>
        <v/>
      </c>
      <c r="H242" s="44">
        <f>H239+H240-H241</f>
        <v/>
      </c>
      <c r="I242" s="44">
        <f>I239+I240-I241</f>
        <v/>
      </c>
      <c r="J242" s="44">
        <f>J239+J240-J241</f>
        <v/>
      </c>
      <c r="K242" s="44">
        <f>K239+K240-K241</f>
        <v/>
      </c>
      <c r="L242" s="44">
        <f>L239+L240-L241</f>
        <v/>
      </c>
      <c r="M242" s="44">
        <f>M239+M240-M241</f>
        <v/>
      </c>
      <c r="N242" s="44">
        <f>N239+N240-N241</f>
        <v/>
      </c>
      <c r="O242" s="44">
        <f>O239+O240-O241</f>
        <v/>
      </c>
      <c r="P242" s="44">
        <f>P239+P240-P241</f>
        <v/>
      </c>
      <c r="Q242" s="44">
        <f>Q239+Q240-Q241</f>
        <v/>
      </c>
      <c r="R242" s="44">
        <f>R239+R240-R241</f>
        <v/>
      </c>
      <c r="S242" s="44">
        <f>S239+S240-S241</f>
        <v/>
      </c>
      <c r="T242" s="44">
        <f>T239+T240-T241</f>
        <v/>
      </c>
      <c r="U242" s="44">
        <f>U239+U240-U241</f>
        <v/>
      </c>
      <c r="V242" s="44">
        <f>V239+V240-V241</f>
        <v/>
      </c>
      <c r="W242" s="44">
        <f>W239+W240-W241</f>
        <v/>
      </c>
      <c r="X242" s="44">
        <f>X239+X240-X241</f>
        <v/>
      </c>
      <c r="Y242" s="44">
        <f>Y239+Y240-Y241</f>
        <v/>
      </c>
      <c r="Z242" s="44">
        <f>Z239+Z240-Z241</f>
        <v/>
      </c>
      <c r="AA242" s="44">
        <f>AA239+AA240-AA241</f>
        <v/>
      </c>
      <c r="AB242" s="44">
        <f>AB239+AB240-AB241</f>
        <v/>
      </c>
      <c r="AC242" s="44">
        <f>AC239+AC240-AC241</f>
        <v/>
      </c>
      <c r="AD242" s="44">
        <f>AD239+AD240-AD241</f>
        <v/>
      </c>
      <c r="AE242" s="44">
        <f>AE239+AE240-AE241</f>
        <v/>
      </c>
      <c r="AF242" s="44">
        <f>AF239+AF240-AF241</f>
        <v/>
      </c>
      <c r="AG242" s="44">
        <f>AG239+AG240-AG241</f>
        <v/>
      </c>
      <c r="AH242" s="44">
        <f>AH239+AH240-AH241</f>
        <v/>
      </c>
      <c r="AI242" s="44">
        <f>AI239+AI240-AI241</f>
        <v/>
      </c>
      <c r="AJ242" s="44">
        <f>AJ239+AJ240-AJ241</f>
        <v/>
      </c>
      <c r="AK242" s="44">
        <f>AK239+AK240-AK241</f>
        <v/>
      </c>
      <c r="AL242" s="44">
        <f>AL239+AL240-AL241</f>
        <v/>
      </c>
      <c r="AM242" s="44">
        <f>AM239+AM240-AM241</f>
        <v/>
      </c>
      <c r="AN242" s="44">
        <f>AN239+AN240-AN241</f>
        <v/>
      </c>
      <c r="AO242" s="44">
        <f>AO239+AO240-AO241</f>
        <v/>
      </c>
      <c r="AP242" s="44">
        <f>AP239+AP240-AP241</f>
        <v/>
      </c>
      <c r="AQ242" s="44">
        <f>AQ239+AQ240-AQ241</f>
        <v/>
      </c>
      <c r="AR242" s="44">
        <f>AR239+AR240-AR241</f>
        <v/>
      </c>
      <c r="AS242" s="44">
        <f>AS239+AS240-AS241</f>
        <v/>
      </c>
      <c r="AT242" s="44">
        <f>AT239+AT240-AT241</f>
        <v/>
      </c>
      <c r="AU242" s="44">
        <f>AU239+AU240-AU241</f>
        <v/>
      </c>
      <c r="AV242" s="44">
        <f>AV239+AV240-AV241</f>
        <v/>
      </c>
      <c r="AW242" s="44">
        <f>AW239+AW240-AW241</f>
        <v/>
      </c>
      <c r="AX242" s="44">
        <f>AX239+AX240-AX241</f>
        <v/>
      </c>
      <c r="AY242" s="44">
        <f>AY239+AY240-AY241</f>
        <v/>
      </c>
      <c r="AZ242" s="44">
        <f>AZ239+AZ240-AZ241</f>
        <v/>
      </c>
      <c r="BA242" s="44">
        <f>BA239+BA240-BA241</f>
        <v/>
      </c>
      <c r="BB242" s="44">
        <f>BB239+BB240-BB241</f>
        <v/>
      </c>
      <c r="BC242" s="44">
        <f>BC239+BC240-BC241</f>
        <v/>
      </c>
      <c r="BD242" s="44">
        <f>BD239+BD240-BD241</f>
        <v/>
      </c>
      <c r="BE242" s="44">
        <f>BE239+BE240-BE241</f>
        <v/>
      </c>
      <c r="BF242" s="44">
        <f>BF239+BF240-BF241</f>
        <v/>
      </c>
      <c r="BG242" s="44">
        <f>BG239+BG240-BG241</f>
        <v/>
      </c>
      <c r="BH242" s="44">
        <f>BH239+BH240-BH241</f>
        <v/>
      </c>
      <c r="BI242" s="44">
        <f>BI239+BI240-BI241</f>
        <v/>
      </c>
      <c r="BJ242" s="44">
        <f>BJ239+BJ240-BJ241</f>
        <v/>
      </c>
    </row>
    <row r="243">
      <c r="A243" s="4" t="inlineStr">
        <is>
          <t>Botswana &amp; Namibia: Solo: Starter: opening</t>
        </is>
      </c>
      <c r="B243" s="17" t="inlineStr">
        <is>
          <t>workspaces</t>
        </is>
      </c>
      <c r="C243" s="41">
        <f>0</f>
        <v/>
      </c>
      <c r="D243" s="41">
        <f>C247</f>
        <v/>
      </c>
      <c r="E243" s="41">
        <f>D247</f>
        <v/>
      </c>
      <c r="F243" s="41">
        <f>E247</f>
        <v/>
      </c>
      <c r="G243" s="41">
        <f>F247</f>
        <v/>
      </c>
      <c r="H243" s="41">
        <f>G247</f>
        <v/>
      </c>
      <c r="I243" s="41">
        <f>H247</f>
        <v/>
      </c>
      <c r="J243" s="41">
        <f>I247</f>
        <v/>
      </c>
      <c r="K243" s="41">
        <f>J247</f>
        <v/>
      </c>
      <c r="L243" s="41">
        <f>K247</f>
        <v/>
      </c>
      <c r="M243" s="41">
        <f>L247</f>
        <v/>
      </c>
      <c r="N243" s="41">
        <f>M247</f>
        <v/>
      </c>
      <c r="O243" s="41">
        <f>N247</f>
        <v/>
      </c>
      <c r="P243" s="41">
        <f>O247</f>
        <v/>
      </c>
      <c r="Q243" s="41">
        <f>P247</f>
        <v/>
      </c>
      <c r="R243" s="41">
        <f>Q247</f>
        <v/>
      </c>
      <c r="S243" s="41">
        <f>R247</f>
        <v/>
      </c>
      <c r="T243" s="41">
        <f>S247</f>
        <v/>
      </c>
      <c r="U243" s="41">
        <f>T247</f>
        <v/>
      </c>
      <c r="V243" s="41">
        <f>U247</f>
        <v/>
      </c>
      <c r="W243" s="41">
        <f>V247</f>
        <v/>
      </c>
      <c r="X243" s="41">
        <f>W247</f>
        <v/>
      </c>
      <c r="Y243" s="41">
        <f>X247</f>
        <v/>
      </c>
      <c r="Z243" s="41">
        <f>Y247</f>
        <v/>
      </c>
      <c r="AA243" s="41">
        <f>Z247</f>
        <v/>
      </c>
      <c r="AB243" s="41">
        <f>AA247</f>
        <v/>
      </c>
      <c r="AC243" s="41">
        <f>AB247</f>
        <v/>
      </c>
      <c r="AD243" s="41">
        <f>AC247</f>
        <v/>
      </c>
      <c r="AE243" s="41">
        <f>AD247</f>
        <v/>
      </c>
      <c r="AF243" s="41">
        <f>AE247</f>
        <v/>
      </c>
      <c r="AG243" s="41">
        <f>AF247</f>
        <v/>
      </c>
      <c r="AH243" s="41">
        <f>AG247</f>
        <v/>
      </c>
      <c r="AI243" s="41">
        <f>AH247</f>
        <v/>
      </c>
      <c r="AJ243" s="41">
        <f>AI247</f>
        <v/>
      </c>
      <c r="AK243" s="41">
        <f>AJ247</f>
        <v/>
      </c>
      <c r="AL243" s="41">
        <f>AK247</f>
        <v/>
      </c>
      <c r="AM243" s="41">
        <f>AL247</f>
        <v/>
      </c>
      <c r="AN243" s="41">
        <f>AM247</f>
        <v/>
      </c>
      <c r="AO243" s="41">
        <f>AN247</f>
        <v/>
      </c>
      <c r="AP243" s="41">
        <f>AO247</f>
        <v/>
      </c>
      <c r="AQ243" s="41">
        <f>AP247</f>
        <v/>
      </c>
      <c r="AR243" s="41">
        <f>AQ247</f>
        <v/>
      </c>
      <c r="AS243" s="41">
        <f>AR247</f>
        <v/>
      </c>
      <c r="AT243" s="41">
        <f>AS247</f>
        <v/>
      </c>
      <c r="AU243" s="41">
        <f>AT247</f>
        <v/>
      </c>
      <c r="AV243" s="41">
        <f>AU247</f>
        <v/>
      </c>
      <c r="AW243" s="41">
        <f>AV247</f>
        <v/>
      </c>
      <c r="AX243" s="41">
        <f>AW247</f>
        <v/>
      </c>
      <c r="AY243" s="41">
        <f>AX247</f>
        <v/>
      </c>
      <c r="AZ243" s="41">
        <f>AY247</f>
        <v/>
      </c>
      <c r="BA243" s="41">
        <f>AZ247</f>
        <v/>
      </c>
      <c r="BB243" s="41">
        <f>BA247</f>
        <v/>
      </c>
      <c r="BC243" s="41">
        <f>BB247</f>
        <v/>
      </c>
      <c r="BD243" s="41">
        <f>BC247</f>
        <v/>
      </c>
      <c r="BE243" s="41">
        <f>BD247</f>
        <v/>
      </c>
      <c r="BF243" s="41">
        <f>BE247</f>
        <v/>
      </c>
      <c r="BG243" s="41">
        <f>BF247</f>
        <v/>
      </c>
      <c r="BH243" s="41">
        <f>BG247</f>
        <v/>
      </c>
      <c r="BI243" s="41">
        <f>BH247</f>
        <v/>
      </c>
      <c r="BJ243" s="41">
        <f>BI247</f>
        <v/>
      </c>
    </row>
    <row r="244">
      <c r="A244" s="4" t="inlineStr">
        <is>
          <t>Botswana &amp; Namibia: Solo: Starter: new</t>
        </is>
      </c>
      <c r="B244" s="17" t="inlineStr">
        <is>
          <t>workspaces</t>
        </is>
      </c>
      <c r="C244" s="41">
        <f>C123*(1-Assumptions!$B$125)</f>
        <v/>
      </c>
      <c r="D244" s="41">
        <f>D123*(1-Assumptions!$B$125)</f>
        <v/>
      </c>
      <c r="E244" s="41">
        <f>E123*(1-Assumptions!$B$125)</f>
        <v/>
      </c>
      <c r="F244" s="41">
        <f>F123*(1-Assumptions!$B$125)</f>
        <v/>
      </c>
      <c r="G244" s="41">
        <f>G123*(1-Assumptions!$B$125)</f>
        <v/>
      </c>
      <c r="H244" s="41">
        <f>H123*(1-Assumptions!$B$125)</f>
        <v/>
      </c>
      <c r="I244" s="41">
        <f>I123*(1-Assumptions!$B$125)</f>
        <v/>
      </c>
      <c r="J244" s="41">
        <f>J123*(1-Assumptions!$B$125)</f>
        <v/>
      </c>
      <c r="K244" s="41">
        <f>K123*(1-Assumptions!$B$125)</f>
        <v/>
      </c>
      <c r="L244" s="41">
        <f>L123*(1-Assumptions!$B$125)</f>
        <v/>
      </c>
      <c r="M244" s="41">
        <f>M123*(1-Assumptions!$B$125)</f>
        <v/>
      </c>
      <c r="N244" s="41">
        <f>N123*(1-Assumptions!$B$125)</f>
        <v/>
      </c>
      <c r="O244" s="41">
        <f>O123*(1-Assumptions!$B$125)</f>
        <v/>
      </c>
      <c r="P244" s="41">
        <f>P123*(1-Assumptions!$B$125)</f>
        <v/>
      </c>
      <c r="Q244" s="41">
        <f>Q123*(1-Assumptions!$B$125)</f>
        <v/>
      </c>
      <c r="R244" s="41">
        <f>R123*(1-Assumptions!$B$125)</f>
        <v/>
      </c>
      <c r="S244" s="41">
        <f>S123*(1-Assumptions!$B$125)</f>
        <v/>
      </c>
      <c r="T244" s="41">
        <f>T123*(1-Assumptions!$B$125)</f>
        <v/>
      </c>
      <c r="U244" s="41">
        <f>U123*(1-Assumptions!$B$125)</f>
        <v/>
      </c>
      <c r="V244" s="41">
        <f>V123*(1-Assumptions!$B$125)</f>
        <v/>
      </c>
      <c r="W244" s="41">
        <f>W123*(1-Assumptions!$B$125)</f>
        <v/>
      </c>
      <c r="X244" s="41">
        <f>X123*(1-Assumptions!$B$125)</f>
        <v/>
      </c>
      <c r="Y244" s="41">
        <f>Y123*(1-Assumptions!$B$125)</f>
        <v/>
      </c>
      <c r="Z244" s="41">
        <f>Z123*(1-Assumptions!$B$125)</f>
        <v/>
      </c>
      <c r="AA244" s="41">
        <f>AA123*(1-Assumptions!$B$125)</f>
        <v/>
      </c>
      <c r="AB244" s="41">
        <f>AB123*(1-Assumptions!$B$125)</f>
        <v/>
      </c>
      <c r="AC244" s="41">
        <f>AC123*(1-Assumptions!$B$125)</f>
        <v/>
      </c>
      <c r="AD244" s="41">
        <f>AD123*(1-Assumptions!$B$125)</f>
        <v/>
      </c>
      <c r="AE244" s="41">
        <f>AE123*(1-Assumptions!$B$125)</f>
        <v/>
      </c>
      <c r="AF244" s="41">
        <f>AF123*(1-Assumptions!$B$125)</f>
        <v/>
      </c>
      <c r="AG244" s="41">
        <f>AG123*(1-Assumptions!$B$125)</f>
        <v/>
      </c>
      <c r="AH244" s="41">
        <f>AH123*(1-Assumptions!$B$125)</f>
        <v/>
      </c>
      <c r="AI244" s="41">
        <f>AI123*(1-Assumptions!$B$125)</f>
        <v/>
      </c>
      <c r="AJ244" s="41">
        <f>AJ123*(1-Assumptions!$B$125)</f>
        <v/>
      </c>
      <c r="AK244" s="41">
        <f>AK123*(1-Assumptions!$B$125)</f>
        <v/>
      </c>
      <c r="AL244" s="41">
        <f>AL123*(1-Assumptions!$B$125)</f>
        <v/>
      </c>
      <c r="AM244" s="41">
        <f>AM123*(1-Assumptions!$B$125)</f>
        <v/>
      </c>
      <c r="AN244" s="41">
        <f>AN123*(1-Assumptions!$B$125)</f>
        <v/>
      </c>
      <c r="AO244" s="41">
        <f>AO123*(1-Assumptions!$B$125)</f>
        <v/>
      </c>
      <c r="AP244" s="41">
        <f>AP123*(1-Assumptions!$B$125)</f>
        <v/>
      </c>
      <c r="AQ244" s="41">
        <f>AQ123*(1-Assumptions!$B$125)</f>
        <v/>
      </c>
      <c r="AR244" s="41">
        <f>AR123*(1-Assumptions!$B$125)</f>
        <v/>
      </c>
      <c r="AS244" s="41">
        <f>AS123*(1-Assumptions!$B$125)</f>
        <v/>
      </c>
      <c r="AT244" s="41">
        <f>AT123*(1-Assumptions!$B$125)</f>
        <v/>
      </c>
      <c r="AU244" s="41">
        <f>AU123*(1-Assumptions!$B$125)</f>
        <v/>
      </c>
      <c r="AV244" s="41">
        <f>AV123*(1-Assumptions!$B$125)</f>
        <v/>
      </c>
      <c r="AW244" s="41">
        <f>AW123*(1-Assumptions!$B$125)</f>
        <v/>
      </c>
      <c r="AX244" s="41">
        <f>AX123*(1-Assumptions!$B$125)</f>
        <v/>
      </c>
      <c r="AY244" s="41">
        <f>AY123*(1-Assumptions!$B$125)</f>
        <v/>
      </c>
      <c r="AZ244" s="41">
        <f>AZ123*(1-Assumptions!$B$125)</f>
        <v/>
      </c>
      <c r="BA244" s="41">
        <f>BA123*(1-Assumptions!$B$125)</f>
        <v/>
      </c>
      <c r="BB244" s="41">
        <f>BB123*(1-Assumptions!$B$125)</f>
        <v/>
      </c>
      <c r="BC244" s="41">
        <f>BC123*(1-Assumptions!$B$125)</f>
        <v/>
      </c>
      <c r="BD244" s="41">
        <f>BD123*(1-Assumptions!$B$125)</f>
        <v/>
      </c>
      <c r="BE244" s="41">
        <f>BE123*(1-Assumptions!$B$125)</f>
        <v/>
      </c>
      <c r="BF244" s="41">
        <f>BF123*(1-Assumptions!$B$125)</f>
        <v/>
      </c>
      <c r="BG244" s="41">
        <f>BG123*(1-Assumptions!$B$125)</f>
        <v/>
      </c>
      <c r="BH244" s="41">
        <f>BH123*(1-Assumptions!$B$125)</f>
        <v/>
      </c>
      <c r="BI244" s="41">
        <f>BI123*(1-Assumptions!$B$125)</f>
        <v/>
      </c>
      <c r="BJ244" s="41">
        <f>BJ123*(1-Assumptions!$B$125)</f>
        <v/>
      </c>
    </row>
    <row r="245">
      <c r="A245" s="4" t="inlineStr">
        <is>
          <t>Botswana &amp; Namibia: Solo: Starter: churned</t>
        </is>
      </c>
      <c r="B245" s="17" t="inlineStr">
        <is>
          <t>workspaces</t>
        </is>
      </c>
      <c r="C245" s="41">
        <f>C243*Assumptions!$B$132*Assumptions!$B$50*Assumptions!$B$35*Assumptions!$B$109</f>
        <v/>
      </c>
      <c r="D245" s="41">
        <f>D243*Assumptions!$B$132*Assumptions!$B$50*Assumptions!$B$35*Assumptions!$B$109</f>
        <v/>
      </c>
      <c r="E245" s="41">
        <f>E243*Assumptions!$B$132*Assumptions!$B$50*Assumptions!$B$35*Assumptions!$B$109</f>
        <v/>
      </c>
      <c r="F245" s="41">
        <f>F243*Assumptions!$B$132*Assumptions!$B$50*Assumptions!$B$35*Assumptions!$B$109</f>
        <v/>
      </c>
      <c r="G245" s="41">
        <f>G243*Assumptions!$B$132*Assumptions!$B$50*Assumptions!$B$35*Assumptions!$B$109</f>
        <v/>
      </c>
      <c r="H245" s="41">
        <f>H243*Assumptions!$B$132*Assumptions!$B$50*Assumptions!$B$35*Assumptions!$B$109</f>
        <v/>
      </c>
      <c r="I245" s="41">
        <f>I243*Assumptions!$B$132*Assumptions!$B$50*Assumptions!$B$35*Assumptions!$B$109</f>
        <v/>
      </c>
      <c r="J245" s="41">
        <f>J243*Assumptions!$B$132*Assumptions!$B$50*Assumptions!$B$35*Assumptions!$B$109</f>
        <v/>
      </c>
      <c r="K245" s="41">
        <f>K243*Assumptions!$B$132*Assumptions!$B$50*Assumptions!$B$35*Assumptions!$B$109</f>
        <v/>
      </c>
      <c r="L245" s="41">
        <f>L243*Assumptions!$B$132*Assumptions!$B$50*Assumptions!$B$35*Assumptions!$B$109</f>
        <v/>
      </c>
      <c r="M245" s="41">
        <f>M243*Assumptions!$B$132*Assumptions!$B$50*Assumptions!$B$35*Assumptions!$B$109</f>
        <v/>
      </c>
      <c r="N245" s="41">
        <f>N243*Assumptions!$B$132*Assumptions!$B$50*Assumptions!$B$35*Assumptions!$B$109</f>
        <v/>
      </c>
      <c r="O245" s="41">
        <f>O243*Assumptions!$B$132*Assumptions!$B$50*Assumptions!$B$35*Assumptions!$B$109</f>
        <v/>
      </c>
      <c r="P245" s="41">
        <f>P243*Assumptions!$B$132*Assumptions!$B$50*Assumptions!$B$35*Assumptions!$B$109</f>
        <v/>
      </c>
      <c r="Q245" s="41">
        <f>Q243*Assumptions!$B$132*Assumptions!$B$50*Assumptions!$B$35*Assumptions!$B$109</f>
        <v/>
      </c>
      <c r="R245" s="41">
        <f>R243*Assumptions!$B$132*Assumptions!$B$50*Assumptions!$B$35*Assumptions!$B$109</f>
        <v/>
      </c>
      <c r="S245" s="41">
        <f>S243*Assumptions!$B$132*Assumptions!$B$50*Assumptions!$B$35*Assumptions!$B$109</f>
        <v/>
      </c>
      <c r="T245" s="41">
        <f>T243*Assumptions!$B$132*Assumptions!$B$50*Assumptions!$B$35*Assumptions!$B$109</f>
        <v/>
      </c>
      <c r="U245" s="41">
        <f>U243*Assumptions!$B$132*Assumptions!$B$50*Assumptions!$B$35*Assumptions!$B$109</f>
        <v/>
      </c>
      <c r="V245" s="41">
        <f>V243*Assumptions!$B$132*Assumptions!$B$50*Assumptions!$B$35*Assumptions!$B$109</f>
        <v/>
      </c>
      <c r="W245" s="41">
        <f>W243*Assumptions!$B$132*Assumptions!$B$50*Assumptions!$B$35*Assumptions!$B$109</f>
        <v/>
      </c>
      <c r="X245" s="41">
        <f>X243*Assumptions!$B$132*Assumptions!$B$50*Assumptions!$B$35*Assumptions!$B$109</f>
        <v/>
      </c>
      <c r="Y245" s="41">
        <f>Y243*Assumptions!$B$132*Assumptions!$B$50*Assumptions!$B$35*Assumptions!$B$109</f>
        <v/>
      </c>
      <c r="Z245" s="41">
        <f>Z243*Assumptions!$B$132*Assumptions!$B$50*Assumptions!$B$35*Assumptions!$B$109</f>
        <v/>
      </c>
      <c r="AA245" s="41">
        <f>AA243*Assumptions!$B$132*Assumptions!$B$50*Assumptions!$B$35*Assumptions!$B$109</f>
        <v/>
      </c>
      <c r="AB245" s="41">
        <f>AB243*Assumptions!$B$132*Assumptions!$B$50*Assumptions!$B$35*Assumptions!$B$109</f>
        <v/>
      </c>
      <c r="AC245" s="41">
        <f>AC243*Assumptions!$B$132*Assumptions!$B$50*Assumptions!$B$35*Assumptions!$B$109</f>
        <v/>
      </c>
      <c r="AD245" s="41">
        <f>AD243*Assumptions!$B$132*Assumptions!$B$50*Assumptions!$B$35*Assumptions!$B$109</f>
        <v/>
      </c>
      <c r="AE245" s="41">
        <f>AE243*Assumptions!$B$132*Assumptions!$B$50*Assumptions!$B$35*Assumptions!$B$109</f>
        <v/>
      </c>
      <c r="AF245" s="41">
        <f>AF243*Assumptions!$B$132*Assumptions!$B$50*Assumptions!$B$35*Assumptions!$B$109</f>
        <v/>
      </c>
      <c r="AG245" s="41">
        <f>AG243*Assumptions!$B$132*Assumptions!$B$50*Assumptions!$B$35*Assumptions!$B$109</f>
        <v/>
      </c>
      <c r="AH245" s="41">
        <f>AH243*Assumptions!$B$132*Assumptions!$B$50*Assumptions!$B$35*Assumptions!$B$109</f>
        <v/>
      </c>
      <c r="AI245" s="41">
        <f>AI243*Assumptions!$B$132*Assumptions!$B$50*Assumptions!$B$35*Assumptions!$B$109</f>
        <v/>
      </c>
      <c r="AJ245" s="41">
        <f>AJ243*Assumptions!$B$132*Assumptions!$B$50*Assumptions!$B$35*Assumptions!$B$109</f>
        <v/>
      </c>
      <c r="AK245" s="41">
        <f>AK243*Assumptions!$B$132*Assumptions!$B$50*Assumptions!$B$35*Assumptions!$B$109</f>
        <v/>
      </c>
      <c r="AL245" s="41">
        <f>AL243*Assumptions!$B$132*Assumptions!$B$50*Assumptions!$B$35*Assumptions!$B$109</f>
        <v/>
      </c>
      <c r="AM245" s="41">
        <f>AM243*Assumptions!$B$132*Assumptions!$B$50*Assumptions!$B$35*Assumptions!$B$109</f>
        <v/>
      </c>
      <c r="AN245" s="41">
        <f>AN243*Assumptions!$B$132*Assumptions!$B$50*Assumptions!$B$35*Assumptions!$B$109</f>
        <v/>
      </c>
      <c r="AO245" s="41">
        <f>AO243*Assumptions!$B$132*Assumptions!$B$50*Assumptions!$B$35*Assumptions!$B$109</f>
        <v/>
      </c>
      <c r="AP245" s="41">
        <f>AP243*Assumptions!$B$132*Assumptions!$B$50*Assumptions!$B$35*Assumptions!$B$109</f>
        <v/>
      </c>
      <c r="AQ245" s="41">
        <f>AQ243*Assumptions!$B$132*Assumptions!$B$50*Assumptions!$B$35*Assumptions!$B$109</f>
        <v/>
      </c>
      <c r="AR245" s="41">
        <f>AR243*Assumptions!$B$132*Assumptions!$B$50*Assumptions!$B$35*Assumptions!$B$109</f>
        <v/>
      </c>
      <c r="AS245" s="41">
        <f>AS243*Assumptions!$B$132*Assumptions!$B$50*Assumptions!$B$35*Assumptions!$B$109</f>
        <v/>
      </c>
      <c r="AT245" s="41">
        <f>AT243*Assumptions!$B$132*Assumptions!$B$50*Assumptions!$B$35*Assumptions!$B$109</f>
        <v/>
      </c>
      <c r="AU245" s="41">
        <f>AU243*Assumptions!$B$132*Assumptions!$B$50*Assumptions!$B$35*Assumptions!$B$109</f>
        <v/>
      </c>
      <c r="AV245" s="41">
        <f>AV243*Assumptions!$B$132*Assumptions!$B$50*Assumptions!$B$35*Assumptions!$B$109</f>
        <v/>
      </c>
      <c r="AW245" s="41">
        <f>AW243*Assumptions!$B$132*Assumptions!$B$50*Assumptions!$B$35*Assumptions!$B$109</f>
        <v/>
      </c>
      <c r="AX245" s="41">
        <f>AX243*Assumptions!$B$132*Assumptions!$B$50*Assumptions!$B$35*Assumptions!$B$109</f>
        <v/>
      </c>
      <c r="AY245" s="41">
        <f>AY243*Assumptions!$B$132*Assumptions!$B$50*Assumptions!$B$35*Assumptions!$B$109</f>
        <v/>
      </c>
      <c r="AZ245" s="41">
        <f>AZ243*Assumptions!$B$132*Assumptions!$B$50*Assumptions!$B$35*Assumptions!$B$109</f>
        <v/>
      </c>
      <c r="BA245" s="41">
        <f>BA243*Assumptions!$B$132*Assumptions!$B$50*Assumptions!$B$35*Assumptions!$B$109</f>
        <v/>
      </c>
      <c r="BB245" s="41">
        <f>BB243*Assumptions!$B$132*Assumptions!$B$50*Assumptions!$B$35*Assumptions!$B$109</f>
        <v/>
      </c>
      <c r="BC245" s="41">
        <f>BC243*Assumptions!$B$132*Assumptions!$B$50*Assumptions!$B$35*Assumptions!$B$109</f>
        <v/>
      </c>
      <c r="BD245" s="41">
        <f>BD243*Assumptions!$B$132*Assumptions!$B$50*Assumptions!$B$35*Assumptions!$B$109</f>
        <v/>
      </c>
      <c r="BE245" s="41">
        <f>BE243*Assumptions!$B$132*Assumptions!$B$50*Assumptions!$B$35*Assumptions!$B$109</f>
        <v/>
      </c>
      <c r="BF245" s="41">
        <f>BF243*Assumptions!$B$132*Assumptions!$B$50*Assumptions!$B$35*Assumptions!$B$109</f>
        <v/>
      </c>
      <c r="BG245" s="41">
        <f>BG243*Assumptions!$B$132*Assumptions!$B$50*Assumptions!$B$35*Assumptions!$B$109</f>
        <v/>
      </c>
      <c r="BH245" s="41">
        <f>BH243*Assumptions!$B$132*Assumptions!$B$50*Assumptions!$B$35*Assumptions!$B$109</f>
        <v/>
      </c>
      <c r="BI245" s="41">
        <f>BI243*Assumptions!$B$132*Assumptions!$B$50*Assumptions!$B$35*Assumptions!$B$109</f>
        <v/>
      </c>
      <c r="BJ245" s="41">
        <f>BJ243*Assumptions!$B$132*Assumptions!$B$50*Assumptions!$B$35*Assumptions!$B$109</f>
        <v/>
      </c>
    </row>
    <row r="246">
      <c r="A246" s="4" t="inlineStr">
        <is>
          <t>Botswana &amp; Namibia: Solo: Starter: upgraded out</t>
        </is>
      </c>
      <c r="B246" s="17" t="inlineStr">
        <is>
          <t>workspaces</t>
        </is>
      </c>
      <c r="C246" s="41">
        <f>C243*Assumptions!$B$127</f>
        <v/>
      </c>
      <c r="D246" s="41">
        <f>D243*Assumptions!$B$127</f>
        <v/>
      </c>
      <c r="E246" s="41">
        <f>E243*Assumptions!$B$127</f>
        <v/>
      </c>
      <c r="F246" s="41">
        <f>F243*Assumptions!$B$127</f>
        <v/>
      </c>
      <c r="G246" s="41">
        <f>G243*Assumptions!$B$127</f>
        <v/>
      </c>
      <c r="H246" s="41">
        <f>H243*Assumptions!$B$127</f>
        <v/>
      </c>
      <c r="I246" s="41">
        <f>I243*Assumptions!$B$127</f>
        <v/>
      </c>
      <c r="J246" s="41">
        <f>J243*Assumptions!$B$127</f>
        <v/>
      </c>
      <c r="K246" s="41">
        <f>K243*Assumptions!$B$127</f>
        <v/>
      </c>
      <c r="L246" s="41">
        <f>L243*Assumptions!$B$127</f>
        <v/>
      </c>
      <c r="M246" s="41">
        <f>M243*Assumptions!$B$127</f>
        <v/>
      </c>
      <c r="N246" s="41">
        <f>N243*Assumptions!$B$127</f>
        <v/>
      </c>
      <c r="O246" s="41">
        <f>O243*Assumptions!$B$127</f>
        <v/>
      </c>
      <c r="P246" s="41">
        <f>P243*Assumptions!$B$127</f>
        <v/>
      </c>
      <c r="Q246" s="41">
        <f>Q243*Assumptions!$B$127</f>
        <v/>
      </c>
      <c r="R246" s="41">
        <f>R243*Assumptions!$B$127</f>
        <v/>
      </c>
      <c r="S246" s="41">
        <f>S243*Assumptions!$B$127</f>
        <v/>
      </c>
      <c r="T246" s="41">
        <f>T243*Assumptions!$B$127</f>
        <v/>
      </c>
      <c r="U246" s="41">
        <f>U243*Assumptions!$B$127</f>
        <v/>
      </c>
      <c r="V246" s="41">
        <f>V243*Assumptions!$B$127</f>
        <v/>
      </c>
      <c r="W246" s="41">
        <f>W243*Assumptions!$B$127</f>
        <v/>
      </c>
      <c r="X246" s="41">
        <f>X243*Assumptions!$B$127</f>
        <v/>
      </c>
      <c r="Y246" s="41">
        <f>Y243*Assumptions!$B$127</f>
        <v/>
      </c>
      <c r="Z246" s="41">
        <f>Z243*Assumptions!$B$127</f>
        <v/>
      </c>
      <c r="AA246" s="41">
        <f>AA243*Assumptions!$B$127</f>
        <v/>
      </c>
      <c r="AB246" s="41">
        <f>AB243*Assumptions!$B$127</f>
        <v/>
      </c>
      <c r="AC246" s="41">
        <f>AC243*Assumptions!$B$127</f>
        <v/>
      </c>
      <c r="AD246" s="41">
        <f>AD243*Assumptions!$B$127</f>
        <v/>
      </c>
      <c r="AE246" s="41">
        <f>AE243*Assumptions!$B$127</f>
        <v/>
      </c>
      <c r="AF246" s="41">
        <f>AF243*Assumptions!$B$127</f>
        <v/>
      </c>
      <c r="AG246" s="41">
        <f>AG243*Assumptions!$B$127</f>
        <v/>
      </c>
      <c r="AH246" s="41">
        <f>AH243*Assumptions!$B$127</f>
        <v/>
      </c>
      <c r="AI246" s="41">
        <f>AI243*Assumptions!$B$127</f>
        <v/>
      </c>
      <c r="AJ246" s="41">
        <f>AJ243*Assumptions!$B$127</f>
        <v/>
      </c>
      <c r="AK246" s="41">
        <f>AK243*Assumptions!$B$127</f>
        <v/>
      </c>
      <c r="AL246" s="41">
        <f>AL243*Assumptions!$B$127</f>
        <v/>
      </c>
      <c r="AM246" s="41">
        <f>AM243*Assumptions!$B$127</f>
        <v/>
      </c>
      <c r="AN246" s="41">
        <f>AN243*Assumptions!$B$127</f>
        <v/>
      </c>
      <c r="AO246" s="41">
        <f>AO243*Assumptions!$B$127</f>
        <v/>
      </c>
      <c r="AP246" s="41">
        <f>AP243*Assumptions!$B$127</f>
        <v/>
      </c>
      <c r="AQ246" s="41">
        <f>AQ243*Assumptions!$B$127</f>
        <v/>
      </c>
      <c r="AR246" s="41">
        <f>AR243*Assumptions!$B$127</f>
        <v/>
      </c>
      <c r="AS246" s="41">
        <f>AS243*Assumptions!$B$127</f>
        <v/>
      </c>
      <c r="AT246" s="41">
        <f>AT243*Assumptions!$B$127</f>
        <v/>
      </c>
      <c r="AU246" s="41">
        <f>AU243*Assumptions!$B$127</f>
        <v/>
      </c>
      <c r="AV246" s="41">
        <f>AV243*Assumptions!$B$127</f>
        <v/>
      </c>
      <c r="AW246" s="41">
        <f>AW243*Assumptions!$B$127</f>
        <v/>
      </c>
      <c r="AX246" s="41">
        <f>AX243*Assumptions!$B$127</f>
        <v/>
      </c>
      <c r="AY246" s="41">
        <f>AY243*Assumptions!$B$127</f>
        <v/>
      </c>
      <c r="AZ246" s="41">
        <f>AZ243*Assumptions!$B$127</f>
        <v/>
      </c>
      <c r="BA246" s="41">
        <f>BA243*Assumptions!$B$127</f>
        <v/>
      </c>
      <c r="BB246" s="41">
        <f>BB243*Assumptions!$B$127</f>
        <v/>
      </c>
      <c r="BC246" s="41">
        <f>BC243*Assumptions!$B$127</f>
        <v/>
      </c>
      <c r="BD246" s="41">
        <f>BD243*Assumptions!$B$127</f>
        <v/>
      </c>
      <c r="BE246" s="41">
        <f>BE243*Assumptions!$B$127</f>
        <v/>
      </c>
      <c r="BF246" s="41">
        <f>BF243*Assumptions!$B$127</f>
        <v/>
      </c>
      <c r="BG246" s="41">
        <f>BG243*Assumptions!$B$127</f>
        <v/>
      </c>
      <c r="BH246" s="41">
        <f>BH243*Assumptions!$B$127</f>
        <v/>
      </c>
      <c r="BI246" s="41">
        <f>BI243*Assumptions!$B$127</f>
        <v/>
      </c>
      <c r="BJ246" s="41">
        <f>BJ243*Assumptions!$B$127</f>
        <v/>
      </c>
    </row>
    <row r="247">
      <c r="A247" s="3" t="inlineStr">
        <is>
          <t>Botswana &amp; Namibia: Solo: Starter: closing</t>
        </is>
      </c>
      <c r="B247" s="17" t="inlineStr">
        <is>
          <t>workspaces</t>
        </is>
      </c>
      <c r="C247" s="44">
        <f>C243+C244-C245-C246</f>
        <v/>
      </c>
      <c r="D247" s="44">
        <f>D243+D244-D245-D246</f>
        <v/>
      </c>
      <c r="E247" s="44">
        <f>E243+E244-E245-E246</f>
        <v/>
      </c>
      <c r="F247" s="44">
        <f>F243+F244-F245-F246</f>
        <v/>
      </c>
      <c r="G247" s="44">
        <f>G243+G244-G245-G246</f>
        <v/>
      </c>
      <c r="H247" s="44">
        <f>H243+H244-H245-H246</f>
        <v/>
      </c>
      <c r="I247" s="44">
        <f>I243+I244-I245-I246</f>
        <v/>
      </c>
      <c r="J247" s="44">
        <f>J243+J244-J245-J246</f>
        <v/>
      </c>
      <c r="K247" s="44">
        <f>K243+K244-K245-K246</f>
        <v/>
      </c>
      <c r="L247" s="44">
        <f>L243+L244-L245-L246</f>
        <v/>
      </c>
      <c r="M247" s="44">
        <f>M243+M244-M245-M246</f>
        <v/>
      </c>
      <c r="N247" s="44">
        <f>N243+N244-N245-N246</f>
        <v/>
      </c>
      <c r="O247" s="44">
        <f>O243+O244-O245-O246</f>
        <v/>
      </c>
      <c r="P247" s="44">
        <f>P243+P244-P245-P246</f>
        <v/>
      </c>
      <c r="Q247" s="44">
        <f>Q243+Q244-Q245-Q246</f>
        <v/>
      </c>
      <c r="R247" s="44">
        <f>R243+R244-R245-R246</f>
        <v/>
      </c>
      <c r="S247" s="44">
        <f>S243+S244-S245-S246</f>
        <v/>
      </c>
      <c r="T247" s="44">
        <f>T243+T244-T245-T246</f>
        <v/>
      </c>
      <c r="U247" s="44">
        <f>U243+U244-U245-U246</f>
        <v/>
      </c>
      <c r="V247" s="44">
        <f>V243+V244-V245-V246</f>
        <v/>
      </c>
      <c r="W247" s="44">
        <f>W243+W244-W245-W246</f>
        <v/>
      </c>
      <c r="X247" s="44">
        <f>X243+X244-X245-X246</f>
        <v/>
      </c>
      <c r="Y247" s="44">
        <f>Y243+Y244-Y245-Y246</f>
        <v/>
      </c>
      <c r="Z247" s="44">
        <f>Z243+Z244-Z245-Z246</f>
        <v/>
      </c>
      <c r="AA247" s="44">
        <f>AA243+AA244-AA245-AA246</f>
        <v/>
      </c>
      <c r="AB247" s="44">
        <f>AB243+AB244-AB245-AB246</f>
        <v/>
      </c>
      <c r="AC247" s="44">
        <f>AC243+AC244-AC245-AC246</f>
        <v/>
      </c>
      <c r="AD247" s="44">
        <f>AD243+AD244-AD245-AD246</f>
        <v/>
      </c>
      <c r="AE247" s="44">
        <f>AE243+AE244-AE245-AE246</f>
        <v/>
      </c>
      <c r="AF247" s="44">
        <f>AF243+AF244-AF245-AF246</f>
        <v/>
      </c>
      <c r="AG247" s="44">
        <f>AG243+AG244-AG245-AG246</f>
        <v/>
      </c>
      <c r="AH247" s="44">
        <f>AH243+AH244-AH245-AH246</f>
        <v/>
      </c>
      <c r="AI247" s="44">
        <f>AI243+AI244-AI245-AI246</f>
        <v/>
      </c>
      <c r="AJ247" s="44">
        <f>AJ243+AJ244-AJ245-AJ246</f>
        <v/>
      </c>
      <c r="AK247" s="44">
        <f>AK243+AK244-AK245-AK246</f>
        <v/>
      </c>
      <c r="AL247" s="44">
        <f>AL243+AL244-AL245-AL246</f>
        <v/>
      </c>
      <c r="AM247" s="44">
        <f>AM243+AM244-AM245-AM246</f>
        <v/>
      </c>
      <c r="AN247" s="44">
        <f>AN243+AN244-AN245-AN246</f>
        <v/>
      </c>
      <c r="AO247" s="44">
        <f>AO243+AO244-AO245-AO246</f>
        <v/>
      </c>
      <c r="AP247" s="44">
        <f>AP243+AP244-AP245-AP246</f>
        <v/>
      </c>
      <c r="AQ247" s="44">
        <f>AQ243+AQ244-AQ245-AQ246</f>
        <v/>
      </c>
      <c r="AR247" s="44">
        <f>AR243+AR244-AR245-AR246</f>
        <v/>
      </c>
      <c r="AS247" s="44">
        <f>AS243+AS244-AS245-AS246</f>
        <v/>
      </c>
      <c r="AT247" s="44">
        <f>AT243+AT244-AT245-AT246</f>
        <v/>
      </c>
      <c r="AU247" s="44">
        <f>AU243+AU244-AU245-AU246</f>
        <v/>
      </c>
      <c r="AV247" s="44">
        <f>AV243+AV244-AV245-AV246</f>
        <v/>
      </c>
      <c r="AW247" s="44">
        <f>AW243+AW244-AW245-AW246</f>
        <v/>
      </c>
      <c r="AX247" s="44">
        <f>AX243+AX244-AX245-AX246</f>
        <v/>
      </c>
      <c r="AY247" s="44">
        <f>AY243+AY244-AY245-AY246</f>
        <v/>
      </c>
      <c r="AZ247" s="44">
        <f>AZ243+AZ244-AZ245-AZ246</f>
        <v/>
      </c>
      <c r="BA247" s="44">
        <f>BA243+BA244-BA245-BA246</f>
        <v/>
      </c>
      <c r="BB247" s="44">
        <f>BB243+BB244-BB245-BB246</f>
        <v/>
      </c>
      <c r="BC247" s="44">
        <f>BC243+BC244-BC245-BC246</f>
        <v/>
      </c>
      <c r="BD247" s="44">
        <f>BD243+BD244-BD245-BD246</f>
        <v/>
      </c>
      <c r="BE247" s="44">
        <f>BE243+BE244-BE245-BE246</f>
        <v/>
      </c>
      <c r="BF247" s="44">
        <f>BF243+BF244-BF245-BF246</f>
        <v/>
      </c>
      <c r="BG247" s="44">
        <f>BG243+BG244-BG245-BG246</f>
        <v/>
      </c>
      <c r="BH247" s="44">
        <f>BH243+BH244-BH245-BH246</f>
        <v/>
      </c>
      <c r="BI247" s="44">
        <f>BI243+BI244-BI245-BI246</f>
        <v/>
      </c>
      <c r="BJ247" s="44">
        <f>BJ243+BJ244-BJ245-BJ246</f>
        <v/>
      </c>
    </row>
    <row r="248">
      <c r="A248" s="4" t="inlineStr">
        <is>
          <t>Botswana &amp; Namibia: Solo: Growth (upgraded or direct): opening</t>
        </is>
      </c>
      <c r="B248" s="17" t="inlineStr">
        <is>
          <t>workspaces</t>
        </is>
      </c>
      <c r="C248" s="41">
        <f>0</f>
        <v/>
      </c>
      <c r="D248" s="41">
        <f>C251</f>
        <v/>
      </c>
      <c r="E248" s="41">
        <f>D251</f>
        <v/>
      </c>
      <c r="F248" s="41">
        <f>E251</f>
        <v/>
      </c>
      <c r="G248" s="41">
        <f>F251</f>
        <v/>
      </c>
      <c r="H248" s="41">
        <f>G251</f>
        <v/>
      </c>
      <c r="I248" s="41">
        <f>H251</f>
        <v/>
      </c>
      <c r="J248" s="41">
        <f>I251</f>
        <v/>
      </c>
      <c r="K248" s="41">
        <f>J251</f>
        <v/>
      </c>
      <c r="L248" s="41">
        <f>K251</f>
        <v/>
      </c>
      <c r="M248" s="41">
        <f>L251</f>
        <v/>
      </c>
      <c r="N248" s="41">
        <f>M251</f>
        <v/>
      </c>
      <c r="O248" s="41">
        <f>N251</f>
        <v/>
      </c>
      <c r="P248" s="41">
        <f>O251</f>
        <v/>
      </c>
      <c r="Q248" s="41">
        <f>P251</f>
        <v/>
      </c>
      <c r="R248" s="41">
        <f>Q251</f>
        <v/>
      </c>
      <c r="S248" s="41">
        <f>R251</f>
        <v/>
      </c>
      <c r="T248" s="41">
        <f>S251</f>
        <v/>
      </c>
      <c r="U248" s="41">
        <f>T251</f>
        <v/>
      </c>
      <c r="V248" s="41">
        <f>U251</f>
        <v/>
      </c>
      <c r="W248" s="41">
        <f>V251</f>
        <v/>
      </c>
      <c r="X248" s="41">
        <f>W251</f>
        <v/>
      </c>
      <c r="Y248" s="41">
        <f>X251</f>
        <v/>
      </c>
      <c r="Z248" s="41">
        <f>Y251</f>
        <v/>
      </c>
      <c r="AA248" s="41">
        <f>Z251</f>
        <v/>
      </c>
      <c r="AB248" s="41">
        <f>AA251</f>
        <v/>
      </c>
      <c r="AC248" s="41">
        <f>AB251</f>
        <v/>
      </c>
      <c r="AD248" s="41">
        <f>AC251</f>
        <v/>
      </c>
      <c r="AE248" s="41">
        <f>AD251</f>
        <v/>
      </c>
      <c r="AF248" s="41">
        <f>AE251</f>
        <v/>
      </c>
      <c r="AG248" s="41">
        <f>AF251</f>
        <v/>
      </c>
      <c r="AH248" s="41">
        <f>AG251</f>
        <v/>
      </c>
      <c r="AI248" s="41">
        <f>AH251</f>
        <v/>
      </c>
      <c r="AJ248" s="41">
        <f>AI251</f>
        <v/>
      </c>
      <c r="AK248" s="41">
        <f>AJ251</f>
        <v/>
      </c>
      <c r="AL248" s="41">
        <f>AK251</f>
        <v/>
      </c>
      <c r="AM248" s="41">
        <f>AL251</f>
        <v/>
      </c>
      <c r="AN248" s="41">
        <f>AM251</f>
        <v/>
      </c>
      <c r="AO248" s="41">
        <f>AN251</f>
        <v/>
      </c>
      <c r="AP248" s="41">
        <f>AO251</f>
        <v/>
      </c>
      <c r="AQ248" s="41">
        <f>AP251</f>
        <v/>
      </c>
      <c r="AR248" s="41">
        <f>AQ251</f>
        <v/>
      </c>
      <c r="AS248" s="41">
        <f>AR251</f>
        <v/>
      </c>
      <c r="AT248" s="41">
        <f>AS251</f>
        <v/>
      </c>
      <c r="AU248" s="41">
        <f>AT251</f>
        <v/>
      </c>
      <c r="AV248" s="41">
        <f>AU251</f>
        <v/>
      </c>
      <c r="AW248" s="41">
        <f>AV251</f>
        <v/>
      </c>
      <c r="AX248" s="41">
        <f>AW251</f>
        <v/>
      </c>
      <c r="AY248" s="41">
        <f>AX251</f>
        <v/>
      </c>
      <c r="AZ248" s="41">
        <f>AY251</f>
        <v/>
      </c>
      <c r="BA248" s="41">
        <f>AZ251</f>
        <v/>
      </c>
      <c r="BB248" s="41">
        <f>BA251</f>
        <v/>
      </c>
      <c r="BC248" s="41">
        <f>BB251</f>
        <v/>
      </c>
      <c r="BD248" s="41">
        <f>BC251</f>
        <v/>
      </c>
      <c r="BE248" s="41">
        <f>BD251</f>
        <v/>
      </c>
      <c r="BF248" s="41">
        <f>BE251</f>
        <v/>
      </c>
      <c r="BG248" s="41">
        <f>BF251</f>
        <v/>
      </c>
      <c r="BH248" s="41">
        <f>BG251</f>
        <v/>
      </c>
      <c r="BI248" s="41">
        <f>BH251</f>
        <v/>
      </c>
      <c r="BJ248" s="41">
        <f>BI251</f>
        <v/>
      </c>
    </row>
    <row r="249">
      <c r="A249" s="4" t="inlineStr">
        <is>
          <t>Botswana &amp; Namibia: Solo: Growth (upgraded or direct): new</t>
        </is>
      </c>
      <c r="B249" s="17" t="inlineStr">
        <is>
          <t>workspaces</t>
        </is>
      </c>
      <c r="C249" s="41">
        <f>C123*Assumptions!$B$125+C246</f>
        <v/>
      </c>
      <c r="D249" s="41">
        <f>D123*Assumptions!$B$125+D246</f>
        <v/>
      </c>
      <c r="E249" s="41">
        <f>E123*Assumptions!$B$125+E246</f>
        <v/>
      </c>
      <c r="F249" s="41">
        <f>F123*Assumptions!$B$125+F246</f>
        <v/>
      </c>
      <c r="G249" s="41">
        <f>G123*Assumptions!$B$125+G246</f>
        <v/>
      </c>
      <c r="H249" s="41">
        <f>H123*Assumptions!$B$125+H246</f>
        <v/>
      </c>
      <c r="I249" s="41">
        <f>I123*Assumptions!$B$125+I246</f>
        <v/>
      </c>
      <c r="J249" s="41">
        <f>J123*Assumptions!$B$125+J246</f>
        <v/>
      </c>
      <c r="K249" s="41">
        <f>K123*Assumptions!$B$125+K246</f>
        <v/>
      </c>
      <c r="L249" s="41">
        <f>L123*Assumptions!$B$125+L246</f>
        <v/>
      </c>
      <c r="M249" s="41">
        <f>M123*Assumptions!$B$125+M246</f>
        <v/>
      </c>
      <c r="N249" s="41">
        <f>N123*Assumptions!$B$125+N246</f>
        <v/>
      </c>
      <c r="O249" s="41">
        <f>O123*Assumptions!$B$125+O246</f>
        <v/>
      </c>
      <c r="P249" s="41">
        <f>P123*Assumptions!$B$125+P246</f>
        <v/>
      </c>
      <c r="Q249" s="41">
        <f>Q123*Assumptions!$B$125+Q246</f>
        <v/>
      </c>
      <c r="R249" s="41">
        <f>R123*Assumptions!$B$125+R246</f>
        <v/>
      </c>
      <c r="S249" s="41">
        <f>S123*Assumptions!$B$125+S246</f>
        <v/>
      </c>
      <c r="T249" s="41">
        <f>T123*Assumptions!$B$125+T246</f>
        <v/>
      </c>
      <c r="U249" s="41">
        <f>U123*Assumptions!$B$125+U246</f>
        <v/>
      </c>
      <c r="V249" s="41">
        <f>V123*Assumptions!$B$125+V246</f>
        <v/>
      </c>
      <c r="W249" s="41">
        <f>W123*Assumptions!$B$125+W246</f>
        <v/>
      </c>
      <c r="X249" s="41">
        <f>X123*Assumptions!$B$125+X246</f>
        <v/>
      </c>
      <c r="Y249" s="41">
        <f>Y123*Assumptions!$B$125+Y246</f>
        <v/>
      </c>
      <c r="Z249" s="41">
        <f>Z123*Assumptions!$B$125+Z246</f>
        <v/>
      </c>
      <c r="AA249" s="41">
        <f>AA123*Assumptions!$B$125+AA246</f>
        <v/>
      </c>
      <c r="AB249" s="41">
        <f>AB123*Assumptions!$B$125+AB246</f>
        <v/>
      </c>
      <c r="AC249" s="41">
        <f>AC123*Assumptions!$B$125+AC246</f>
        <v/>
      </c>
      <c r="AD249" s="41">
        <f>AD123*Assumptions!$B$125+AD246</f>
        <v/>
      </c>
      <c r="AE249" s="41">
        <f>AE123*Assumptions!$B$125+AE246</f>
        <v/>
      </c>
      <c r="AF249" s="41">
        <f>AF123*Assumptions!$B$125+AF246</f>
        <v/>
      </c>
      <c r="AG249" s="41">
        <f>AG123*Assumptions!$B$125+AG246</f>
        <v/>
      </c>
      <c r="AH249" s="41">
        <f>AH123*Assumptions!$B$125+AH246</f>
        <v/>
      </c>
      <c r="AI249" s="41">
        <f>AI123*Assumptions!$B$125+AI246</f>
        <v/>
      </c>
      <c r="AJ249" s="41">
        <f>AJ123*Assumptions!$B$125+AJ246</f>
        <v/>
      </c>
      <c r="AK249" s="41">
        <f>AK123*Assumptions!$B$125+AK246</f>
        <v/>
      </c>
      <c r="AL249" s="41">
        <f>AL123*Assumptions!$B$125+AL246</f>
        <v/>
      </c>
      <c r="AM249" s="41">
        <f>AM123*Assumptions!$B$125+AM246</f>
        <v/>
      </c>
      <c r="AN249" s="41">
        <f>AN123*Assumptions!$B$125+AN246</f>
        <v/>
      </c>
      <c r="AO249" s="41">
        <f>AO123*Assumptions!$B$125+AO246</f>
        <v/>
      </c>
      <c r="AP249" s="41">
        <f>AP123*Assumptions!$B$125+AP246</f>
        <v/>
      </c>
      <c r="AQ249" s="41">
        <f>AQ123*Assumptions!$B$125+AQ246</f>
        <v/>
      </c>
      <c r="AR249" s="41">
        <f>AR123*Assumptions!$B$125+AR246</f>
        <v/>
      </c>
      <c r="AS249" s="41">
        <f>AS123*Assumptions!$B$125+AS246</f>
        <v/>
      </c>
      <c r="AT249" s="41">
        <f>AT123*Assumptions!$B$125+AT246</f>
        <v/>
      </c>
      <c r="AU249" s="41">
        <f>AU123*Assumptions!$B$125+AU246</f>
        <v/>
      </c>
      <c r="AV249" s="41">
        <f>AV123*Assumptions!$B$125+AV246</f>
        <v/>
      </c>
      <c r="AW249" s="41">
        <f>AW123*Assumptions!$B$125+AW246</f>
        <v/>
      </c>
      <c r="AX249" s="41">
        <f>AX123*Assumptions!$B$125+AX246</f>
        <v/>
      </c>
      <c r="AY249" s="41">
        <f>AY123*Assumptions!$B$125+AY246</f>
        <v/>
      </c>
      <c r="AZ249" s="41">
        <f>AZ123*Assumptions!$B$125+AZ246</f>
        <v/>
      </c>
      <c r="BA249" s="41">
        <f>BA123*Assumptions!$B$125+BA246</f>
        <v/>
      </c>
      <c r="BB249" s="41">
        <f>BB123*Assumptions!$B$125+BB246</f>
        <v/>
      </c>
      <c r="BC249" s="41">
        <f>BC123*Assumptions!$B$125+BC246</f>
        <v/>
      </c>
      <c r="BD249" s="41">
        <f>BD123*Assumptions!$B$125+BD246</f>
        <v/>
      </c>
      <c r="BE249" s="41">
        <f>BE123*Assumptions!$B$125+BE246</f>
        <v/>
      </c>
      <c r="BF249" s="41">
        <f>BF123*Assumptions!$B$125+BF246</f>
        <v/>
      </c>
      <c r="BG249" s="41">
        <f>BG123*Assumptions!$B$125+BG246</f>
        <v/>
      </c>
      <c r="BH249" s="41">
        <f>BH123*Assumptions!$B$125+BH246</f>
        <v/>
      </c>
      <c r="BI249" s="41">
        <f>BI123*Assumptions!$B$125+BI246</f>
        <v/>
      </c>
      <c r="BJ249" s="41">
        <f>BJ123*Assumptions!$B$125+BJ246</f>
        <v/>
      </c>
    </row>
    <row r="250">
      <c r="A250" s="4" t="inlineStr">
        <is>
          <t>Botswana &amp; Namibia: Solo: Growth (upgraded or direct): churned</t>
        </is>
      </c>
      <c r="B250" s="17" t="inlineStr">
        <is>
          <t>workspaces</t>
        </is>
      </c>
      <c r="C250" s="41">
        <f>C248*Assumptions!$B$133*Assumptions!$B$50*Assumptions!$B$35*Assumptions!$B$109</f>
        <v/>
      </c>
      <c r="D250" s="41">
        <f>D248*Assumptions!$B$133*Assumptions!$B$50*Assumptions!$B$35*Assumptions!$B$109</f>
        <v/>
      </c>
      <c r="E250" s="41">
        <f>E248*Assumptions!$B$133*Assumptions!$B$50*Assumptions!$B$35*Assumptions!$B$109</f>
        <v/>
      </c>
      <c r="F250" s="41">
        <f>F248*Assumptions!$B$133*Assumptions!$B$50*Assumptions!$B$35*Assumptions!$B$109</f>
        <v/>
      </c>
      <c r="G250" s="41">
        <f>G248*Assumptions!$B$133*Assumptions!$B$50*Assumptions!$B$35*Assumptions!$B$109</f>
        <v/>
      </c>
      <c r="H250" s="41">
        <f>H248*Assumptions!$B$133*Assumptions!$B$50*Assumptions!$B$35*Assumptions!$B$109</f>
        <v/>
      </c>
      <c r="I250" s="41">
        <f>I248*Assumptions!$B$133*Assumptions!$B$50*Assumptions!$B$35*Assumptions!$B$109</f>
        <v/>
      </c>
      <c r="J250" s="41">
        <f>J248*Assumptions!$B$133*Assumptions!$B$50*Assumptions!$B$35*Assumptions!$B$109</f>
        <v/>
      </c>
      <c r="K250" s="41">
        <f>K248*Assumptions!$B$133*Assumptions!$B$50*Assumptions!$B$35*Assumptions!$B$109</f>
        <v/>
      </c>
      <c r="L250" s="41">
        <f>L248*Assumptions!$B$133*Assumptions!$B$50*Assumptions!$B$35*Assumptions!$B$109</f>
        <v/>
      </c>
      <c r="M250" s="41">
        <f>M248*Assumptions!$B$133*Assumptions!$B$50*Assumptions!$B$35*Assumptions!$B$109</f>
        <v/>
      </c>
      <c r="N250" s="41">
        <f>N248*Assumptions!$B$133*Assumptions!$B$50*Assumptions!$B$35*Assumptions!$B$109</f>
        <v/>
      </c>
      <c r="O250" s="41">
        <f>O248*Assumptions!$B$133*Assumptions!$B$50*Assumptions!$B$35*Assumptions!$B$109</f>
        <v/>
      </c>
      <c r="P250" s="41">
        <f>P248*Assumptions!$B$133*Assumptions!$B$50*Assumptions!$B$35*Assumptions!$B$109</f>
        <v/>
      </c>
      <c r="Q250" s="41">
        <f>Q248*Assumptions!$B$133*Assumptions!$B$50*Assumptions!$B$35*Assumptions!$B$109</f>
        <v/>
      </c>
      <c r="R250" s="41">
        <f>R248*Assumptions!$B$133*Assumptions!$B$50*Assumptions!$B$35*Assumptions!$B$109</f>
        <v/>
      </c>
      <c r="S250" s="41">
        <f>S248*Assumptions!$B$133*Assumptions!$B$50*Assumptions!$B$35*Assumptions!$B$109</f>
        <v/>
      </c>
      <c r="T250" s="41">
        <f>T248*Assumptions!$B$133*Assumptions!$B$50*Assumptions!$B$35*Assumptions!$B$109</f>
        <v/>
      </c>
      <c r="U250" s="41">
        <f>U248*Assumptions!$B$133*Assumptions!$B$50*Assumptions!$B$35*Assumptions!$B$109</f>
        <v/>
      </c>
      <c r="V250" s="41">
        <f>V248*Assumptions!$B$133*Assumptions!$B$50*Assumptions!$B$35*Assumptions!$B$109</f>
        <v/>
      </c>
      <c r="W250" s="41">
        <f>W248*Assumptions!$B$133*Assumptions!$B$50*Assumptions!$B$35*Assumptions!$B$109</f>
        <v/>
      </c>
      <c r="X250" s="41">
        <f>X248*Assumptions!$B$133*Assumptions!$B$50*Assumptions!$B$35*Assumptions!$B$109</f>
        <v/>
      </c>
      <c r="Y250" s="41">
        <f>Y248*Assumptions!$B$133*Assumptions!$B$50*Assumptions!$B$35*Assumptions!$B$109</f>
        <v/>
      </c>
      <c r="Z250" s="41">
        <f>Z248*Assumptions!$B$133*Assumptions!$B$50*Assumptions!$B$35*Assumptions!$B$109</f>
        <v/>
      </c>
      <c r="AA250" s="41">
        <f>AA248*Assumptions!$B$133*Assumptions!$B$50*Assumptions!$B$35*Assumptions!$B$109</f>
        <v/>
      </c>
      <c r="AB250" s="41">
        <f>AB248*Assumptions!$B$133*Assumptions!$B$50*Assumptions!$B$35*Assumptions!$B$109</f>
        <v/>
      </c>
      <c r="AC250" s="41">
        <f>AC248*Assumptions!$B$133*Assumptions!$B$50*Assumptions!$B$35*Assumptions!$B$109</f>
        <v/>
      </c>
      <c r="AD250" s="41">
        <f>AD248*Assumptions!$B$133*Assumptions!$B$50*Assumptions!$B$35*Assumptions!$B$109</f>
        <v/>
      </c>
      <c r="AE250" s="41">
        <f>AE248*Assumptions!$B$133*Assumptions!$B$50*Assumptions!$B$35*Assumptions!$B$109</f>
        <v/>
      </c>
      <c r="AF250" s="41">
        <f>AF248*Assumptions!$B$133*Assumptions!$B$50*Assumptions!$B$35*Assumptions!$B$109</f>
        <v/>
      </c>
      <c r="AG250" s="41">
        <f>AG248*Assumptions!$B$133*Assumptions!$B$50*Assumptions!$B$35*Assumptions!$B$109</f>
        <v/>
      </c>
      <c r="AH250" s="41">
        <f>AH248*Assumptions!$B$133*Assumptions!$B$50*Assumptions!$B$35*Assumptions!$B$109</f>
        <v/>
      </c>
      <c r="AI250" s="41">
        <f>AI248*Assumptions!$B$133*Assumptions!$B$50*Assumptions!$B$35*Assumptions!$B$109</f>
        <v/>
      </c>
      <c r="AJ250" s="41">
        <f>AJ248*Assumptions!$B$133*Assumptions!$B$50*Assumptions!$B$35*Assumptions!$B$109</f>
        <v/>
      </c>
      <c r="AK250" s="41">
        <f>AK248*Assumptions!$B$133*Assumptions!$B$50*Assumptions!$B$35*Assumptions!$B$109</f>
        <v/>
      </c>
      <c r="AL250" s="41">
        <f>AL248*Assumptions!$B$133*Assumptions!$B$50*Assumptions!$B$35*Assumptions!$B$109</f>
        <v/>
      </c>
      <c r="AM250" s="41">
        <f>AM248*Assumptions!$B$133*Assumptions!$B$50*Assumptions!$B$35*Assumptions!$B$109</f>
        <v/>
      </c>
      <c r="AN250" s="41">
        <f>AN248*Assumptions!$B$133*Assumptions!$B$50*Assumptions!$B$35*Assumptions!$B$109</f>
        <v/>
      </c>
      <c r="AO250" s="41">
        <f>AO248*Assumptions!$B$133*Assumptions!$B$50*Assumptions!$B$35*Assumptions!$B$109</f>
        <v/>
      </c>
      <c r="AP250" s="41">
        <f>AP248*Assumptions!$B$133*Assumptions!$B$50*Assumptions!$B$35*Assumptions!$B$109</f>
        <v/>
      </c>
      <c r="AQ250" s="41">
        <f>AQ248*Assumptions!$B$133*Assumptions!$B$50*Assumptions!$B$35*Assumptions!$B$109</f>
        <v/>
      </c>
      <c r="AR250" s="41">
        <f>AR248*Assumptions!$B$133*Assumptions!$B$50*Assumptions!$B$35*Assumptions!$B$109</f>
        <v/>
      </c>
      <c r="AS250" s="41">
        <f>AS248*Assumptions!$B$133*Assumptions!$B$50*Assumptions!$B$35*Assumptions!$B$109</f>
        <v/>
      </c>
      <c r="AT250" s="41">
        <f>AT248*Assumptions!$B$133*Assumptions!$B$50*Assumptions!$B$35*Assumptions!$B$109</f>
        <v/>
      </c>
      <c r="AU250" s="41">
        <f>AU248*Assumptions!$B$133*Assumptions!$B$50*Assumptions!$B$35*Assumptions!$B$109</f>
        <v/>
      </c>
      <c r="AV250" s="41">
        <f>AV248*Assumptions!$B$133*Assumptions!$B$50*Assumptions!$B$35*Assumptions!$B$109</f>
        <v/>
      </c>
      <c r="AW250" s="41">
        <f>AW248*Assumptions!$B$133*Assumptions!$B$50*Assumptions!$B$35*Assumptions!$B$109</f>
        <v/>
      </c>
      <c r="AX250" s="41">
        <f>AX248*Assumptions!$B$133*Assumptions!$B$50*Assumptions!$B$35*Assumptions!$B$109</f>
        <v/>
      </c>
      <c r="AY250" s="41">
        <f>AY248*Assumptions!$B$133*Assumptions!$B$50*Assumptions!$B$35*Assumptions!$B$109</f>
        <v/>
      </c>
      <c r="AZ250" s="41">
        <f>AZ248*Assumptions!$B$133*Assumptions!$B$50*Assumptions!$B$35*Assumptions!$B$109</f>
        <v/>
      </c>
      <c r="BA250" s="41">
        <f>BA248*Assumptions!$B$133*Assumptions!$B$50*Assumptions!$B$35*Assumptions!$B$109</f>
        <v/>
      </c>
      <c r="BB250" s="41">
        <f>BB248*Assumptions!$B$133*Assumptions!$B$50*Assumptions!$B$35*Assumptions!$B$109</f>
        <v/>
      </c>
      <c r="BC250" s="41">
        <f>BC248*Assumptions!$B$133*Assumptions!$B$50*Assumptions!$B$35*Assumptions!$B$109</f>
        <v/>
      </c>
      <c r="BD250" s="41">
        <f>BD248*Assumptions!$B$133*Assumptions!$B$50*Assumptions!$B$35*Assumptions!$B$109</f>
        <v/>
      </c>
      <c r="BE250" s="41">
        <f>BE248*Assumptions!$B$133*Assumptions!$B$50*Assumptions!$B$35*Assumptions!$B$109</f>
        <v/>
      </c>
      <c r="BF250" s="41">
        <f>BF248*Assumptions!$B$133*Assumptions!$B$50*Assumptions!$B$35*Assumptions!$B$109</f>
        <v/>
      </c>
      <c r="BG250" s="41">
        <f>BG248*Assumptions!$B$133*Assumptions!$B$50*Assumptions!$B$35*Assumptions!$B$109</f>
        <v/>
      </c>
      <c r="BH250" s="41">
        <f>BH248*Assumptions!$B$133*Assumptions!$B$50*Assumptions!$B$35*Assumptions!$B$109</f>
        <v/>
      </c>
      <c r="BI250" s="41">
        <f>BI248*Assumptions!$B$133*Assumptions!$B$50*Assumptions!$B$35*Assumptions!$B$109</f>
        <v/>
      </c>
      <c r="BJ250" s="41">
        <f>BJ248*Assumptions!$B$133*Assumptions!$B$50*Assumptions!$B$35*Assumptions!$B$109</f>
        <v/>
      </c>
    </row>
    <row r="251">
      <c r="A251" s="3" t="inlineStr">
        <is>
          <t>Botswana &amp; Namibia: Solo: Growth (upgraded or direct): closing</t>
        </is>
      </c>
      <c r="B251" s="17" t="inlineStr">
        <is>
          <t>workspaces</t>
        </is>
      </c>
      <c r="C251" s="44">
        <f>C248+C249-C250</f>
        <v/>
      </c>
      <c r="D251" s="44">
        <f>D248+D249-D250</f>
        <v/>
      </c>
      <c r="E251" s="44">
        <f>E248+E249-E250</f>
        <v/>
      </c>
      <c r="F251" s="44">
        <f>F248+F249-F250</f>
        <v/>
      </c>
      <c r="G251" s="44">
        <f>G248+G249-G250</f>
        <v/>
      </c>
      <c r="H251" s="44">
        <f>H248+H249-H250</f>
        <v/>
      </c>
      <c r="I251" s="44">
        <f>I248+I249-I250</f>
        <v/>
      </c>
      <c r="J251" s="44">
        <f>J248+J249-J250</f>
        <v/>
      </c>
      <c r="K251" s="44">
        <f>K248+K249-K250</f>
        <v/>
      </c>
      <c r="L251" s="44">
        <f>L248+L249-L250</f>
        <v/>
      </c>
      <c r="M251" s="44">
        <f>M248+M249-M250</f>
        <v/>
      </c>
      <c r="N251" s="44">
        <f>N248+N249-N250</f>
        <v/>
      </c>
      <c r="O251" s="44">
        <f>O248+O249-O250</f>
        <v/>
      </c>
      <c r="P251" s="44">
        <f>P248+P249-P250</f>
        <v/>
      </c>
      <c r="Q251" s="44">
        <f>Q248+Q249-Q250</f>
        <v/>
      </c>
      <c r="R251" s="44">
        <f>R248+R249-R250</f>
        <v/>
      </c>
      <c r="S251" s="44">
        <f>S248+S249-S250</f>
        <v/>
      </c>
      <c r="T251" s="44">
        <f>T248+T249-T250</f>
        <v/>
      </c>
      <c r="U251" s="44">
        <f>U248+U249-U250</f>
        <v/>
      </c>
      <c r="V251" s="44">
        <f>V248+V249-V250</f>
        <v/>
      </c>
      <c r="W251" s="44">
        <f>W248+W249-W250</f>
        <v/>
      </c>
      <c r="X251" s="44">
        <f>X248+X249-X250</f>
        <v/>
      </c>
      <c r="Y251" s="44">
        <f>Y248+Y249-Y250</f>
        <v/>
      </c>
      <c r="Z251" s="44">
        <f>Z248+Z249-Z250</f>
        <v/>
      </c>
      <c r="AA251" s="44">
        <f>AA248+AA249-AA250</f>
        <v/>
      </c>
      <c r="AB251" s="44">
        <f>AB248+AB249-AB250</f>
        <v/>
      </c>
      <c r="AC251" s="44">
        <f>AC248+AC249-AC250</f>
        <v/>
      </c>
      <c r="AD251" s="44">
        <f>AD248+AD249-AD250</f>
        <v/>
      </c>
      <c r="AE251" s="44">
        <f>AE248+AE249-AE250</f>
        <v/>
      </c>
      <c r="AF251" s="44">
        <f>AF248+AF249-AF250</f>
        <v/>
      </c>
      <c r="AG251" s="44">
        <f>AG248+AG249-AG250</f>
        <v/>
      </c>
      <c r="AH251" s="44">
        <f>AH248+AH249-AH250</f>
        <v/>
      </c>
      <c r="AI251" s="44">
        <f>AI248+AI249-AI250</f>
        <v/>
      </c>
      <c r="AJ251" s="44">
        <f>AJ248+AJ249-AJ250</f>
        <v/>
      </c>
      <c r="AK251" s="44">
        <f>AK248+AK249-AK250</f>
        <v/>
      </c>
      <c r="AL251" s="44">
        <f>AL248+AL249-AL250</f>
        <v/>
      </c>
      <c r="AM251" s="44">
        <f>AM248+AM249-AM250</f>
        <v/>
      </c>
      <c r="AN251" s="44">
        <f>AN248+AN249-AN250</f>
        <v/>
      </c>
      <c r="AO251" s="44">
        <f>AO248+AO249-AO250</f>
        <v/>
      </c>
      <c r="AP251" s="44">
        <f>AP248+AP249-AP250</f>
        <v/>
      </c>
      <c r="AQ251" s="44">
        <f>AQ248+AQ249-AQ250</f>
        <v/>
      </c>
      <c r="AR251" s="44">
        <f>AR248+AR249-AR250</f>
        <v/>
      </c>
      <c r="AS251" s="44">
        <f>AS248+AS249-AS250</f>
        <v/>
      </c>
      <c r="AT251" s="44">
        <f>AT248+AT249-AT250</f>
        <v/>
      </c>
      <c r="AU251" s="44">
        <f>AU248+AU249-AU250</f>
        <v/>
      </c>
      <c r="AV251" s="44">
        <f>AV248+AV249-AV250</f>
        <v/>
      </c>
      <c r="AW251" s="44">
        <f>AW248+AW249-AW250</f>
        <v/>
      </c>
      <c r="AX251" s="44">
        <f>AX248+AX249-AX250</f>
        <v/>
      </c>
      <c r="AY251" s="44">
        <f>AY248+AY249-AY250</f>
        <v/>
      </c>
      <c r="AZ251" s="44">
        <f>AZ248+AZ249-AZ250</f>
        <v/>
      </c>
      <c r="BA251" s="44">
        <f>BA248+BA249-BA250</f>
        <v/>
      </c>
      <c r="BB251" s="44">
        <f>BB248+BB249-BB250</f>
        <v/>
      </c>
      <c r="BC251" s="44">
        <f>BC248+BC249-BC250</f>
        <v/>
      </c>
      <c r="BD251" s="44">
        <f>BD248+BD249-BD250</f>
        <v/>
      </c>
      <c r="BE251" s="44">
        <f>BE248+BE249-BE250</f>
        <v/>
      </c>
      <c r="BF251" s="44">
        <f>BF248+BF249-BF250</f>
        <v/>
      </c>
      <c r="BG251" s="44">
        <f>BG248+BG249-BG250</f>
        <v/>
      </c>
      <c r="BH251" s="44">
        <f>BH248+BH249-BH250</f>
        <v/>
      </c>
      <c r="BI251" s="44">
        <f>BI248+BI249-BI250</f>
        <v/>
      </c>
      <c r="BJ251" s="44">
        <f>BJ248+BJ249-BJ250</f>
        <v/>
      </c>
    </row>
    <row r="252">
      <c r="A252" s="4" t="inlineStr">
        <is>
          <t>Botswana &amp; Namibia: SME: Growth: opening</t>
        </is>
      </c>
      <c r="B252" s="17" t="inlineStr">
        <is>
          <t>workspaces</t>
        </is>
      </c>
      <c r="C252" s="41">
        <f>0</f>
        <v/>
      </c>
      <c r="D252" s="41">
        <f>C256</f>
        <v/>
      </c>
      <c r="E252" s="41">
        <f>D256</f>
        <v/>
      </c>
      <c r="F252" s="41">
        <f>E256</f>
        <v/>
      </c>
      <c r="G252" s="41">
        <f>F256</f>
        <v/>
      </c>
      <c r="H252" s="41">
        <f>G256</f>
        <v/>
      </c>
      <c r="I252" s="41">
        <f>H256</f>
        <v/>
      </c>
      <c r="J252" s="41">
        <f>I256</f>
        <v/>
      </c>
      <c r="K252" s="41">
        <f>J256</f>
        <v/>
      </c>
      <c r="L252" s="41">
        <f>K256</f>
        <v/>
      </c>
      <c r="M252" s="41">
        <f>L256</f>
        <v/>
      </c>
      <c r="N252" s="41">
        <f>M256</f>
        <v/>
      </c>
      <c r="O252" s="41">
        <f>N256</f>
        <v/>
      </c>
      <c r="P252" s="41">
        <f>O256</f>
        <v/>
      </c>
      <c r="Q252" s="41">
        <f>P256</f>
        <v/>
      </c>
      <c r="R252" s="41">
        <f>Q256</f>
        <v/>
      </c>
      <c r="S252" s="41">
        <f>R256</f>
        <v/>
      </c>
      <c r="T252" s="41">
        <f>S256</f>
        <v/>
      </c>
      <c r="U252" s="41">
        <f>T256</f>
        <v/>
      </c>
      <c r="V252" s="41">
        <f>U256</f>
        <v/>
      </c>
      <c r="W252" s="41">
        <f>V256</f>
        <v/>
      </c>
      <c r="X252" s="41">
        <f>W256</f>
        <v/>
      </c>
      <c r="Y252" s="41">
        <f>X256</f>
        <v/>
      </c>
      <c r="Z252" s="41">
        <f>Y256</f>
        <v/>
      </c>
      <c r="AA252" s="41">
        <f>Z256</f>
        <v/>
      </c>
      <c r="AB252" s="41">
        <f>AA256</f>
        <v/>
      </c>
      <c r="AC252" s="41">
        <f>AB256</f>
        <v/>
      </c>
      <c r="AD252" s="41">
        <f>AC256</f>
        <v/>
      </c>
      <c r="AE252" s="41">
        <f>AD256</f>
        <v/>
      </c>
      <c r="AF252" s="41">
        <f>AE256</f>
        <v/>
      </c>
      <c r="AG252" s="41">
        <f>AF256</f>
        <v/>
      </c>
      <c r="AH252" s="41">
        <f>AG256</f>
        <v/>
      </c>
      <c r="AI252" s="41">
        <f>AH256</f>
        <v/>
      </c>
      <c r="AJ252" s="41">
        <f>AI256</f>
        <v/>
      </c>
      <c r="AK252" s="41">
        <f>AJ256</f>
        <v/>
      </c>
      <c r="AL252" s="41">
        <f>AK256</f>
        <v/>
      </c>
      <c r="AM252" s="41">
        <f>AL256</f>
        <v/>
      </c>
      <c r="AN252" s="41">
        <f>AM256</f>
        <v/>
      </c>
      <c r="AO252" s="41">
        <f>AN256</f>
        <v/>
      </c>
      <c r="AP252" s="41">
        <f>AO256</f>
        <v/>
      </c>
      <c r="AQ252" s="41">
        <f>AP256</f>
        <v/>
      </c>
      <c r="AR252" s="41">
        <f>AQ256</f>
        <v/>
      </c>
      <c r="AS252" s="41">
        <f>AR256</f>
        <v/>
      </c>
      <c r="AT252" s="41">
        <f>AS256</f>
        <v/>
      </c>
      <c r="AU252" s="41">
        <f>AT256</f>
        <v/>
      </c>
      <c r="AV252" s="41">
        <f>AU256</f>
        <v/>
      </c>
      <c r="AW252" s="41">
        <f>AV256</f>
        <v/>
      </c>
      <c r="AX252" s="41">
        <f>AW256</f>
        <v/>
      </c>
      <c r="AY252" s="41">
        <f>AX256</f>
        <v/>
      </c>
      <c r="AZ252" s="41">
        <f>AY256</f>
        <v/>
      </c>
      <c r="BA252" s="41">
        <f>AZ256</f>
        <v/>
      </c>
      <c r="BB252" s="41">
        <f>BA256</f>
        <v/>
      </c>
      <c r="BC252" s="41">
        <f>BB256</f>
        <v/>
      </c>
      <c r="BD252" s="41">
        <f>BC256</f>
        <v/>
      </c>
      <c r="BE252" s="41">
        <f>BD256</f>
        <v/>
      </c>
      <c r="BF252" s="41">
        <f>BE256</f>
        <v/>
      </c>
      <c r="BG252" s="41">
        <f>BF256</f>
        <v/>
      </c>
      <c r="BH252" s="41">
        <f>BG256</f>
        <v/>
      </c>
      <c r="BI252" s="41">
        <f>BH256</f>
        <v/>
      </c>
      <c r="BJ252" s="41">
        <f>BI256</f>
        <v/>
      </c>
    </row>
    <row r="253">
      <c r="A253" s="4" t="inlineStr">
        <is>
          <t>Botswana &amp; Namibia: SME: Growth: new</t>
        </is>
      </c>
      <c r="B253" s="17" t="inlineStr">
        <is>
          <t>workspaces</t>
        </is>
      </c>
      <c r="C253" s="41">
        <f>C124*(1-Assumptions!$B$126)</f>
        <v/>
      </c>
      <c r="D253" s="41">
        <f>D124*(1-Assumptions!$B$126)</f>
        <v/>
      </c>
      <c r="E253" s="41">
        <f>E124*(1-Assumptions!$B$126)</f>
        <v/>
      </c>
      <c r="F253" s="41">
        <f>F124*(1-Assumptions!$B$126)</f>
        <v/>
      </c>
      <c r="G253" s="41">
        <f>G124*(1-Assumptions!$B$126)</f>
        <v/>
      </c>
      <c r="H253" s="41">
        <f>H124*(1-Assumptions!$B$126)</f>
        <v/>
      </c>
      <c r="I253" s="41">
        <f>I124*(1-Assumptions!$B$126)</f>
        <v/>
      </c>
      <c r="J253" s="41">
        <f>J124*(1-Assumptions!$B$126)</f>
        <v/>
      </c>
      <c r="K253" s="41">
        <f>K124*(1-Assumptions!$B$126)</f>
        <v/>
      </c>
      <c r="L253" s="41">
        <f>L124*(1-Assumptions!$B$126)</f>
        <v/>
      </c>
      <c r="M253" s="41">
        <f>M124*(1-Assumptions!$B$126)</f>
        <v/>
      </c>
      <c r="N253" s="41">
        <f>N124*(1-Assumptions!$B$126)</f>
        <v/>
      </c>
      <c r="O253" s="41">
        <f>O124*(1-Assumptions!$B$126)</f>
        <v/>
      </c>
      <c r="P253" s="41">
        <f>P124*(1-Assumptions!$B$126)</f>
        <v/>
      </c>
      <c r="Q253" s="41">
        <f>Q124*(1-Assumptions!$B$126)</f>
        <v/>
      </c>
      <c r="R253" s="41">
        <f>R124*(1-Assumptions!$B$126)</f>
        <v/>
      </c>
      <c r="S253" s="41">
        <f>S124*(1-Assumptions!$B$126)</f>
        <v/>
      </c>
      <c r="T253" s="41">
        <f>T124*(1-Assumptions!$B$126)</f>
        <v/>
      </c>
      <c r="U253" s="41">
        <f>U124*(1-Assumptions!$B$126)</f>
        <v/>
      </c>
      <c r="V253" s="41">
        <f>V124*(1-Assumptions!$B$126)</f>
        <v/>
      </c>
      <c r="W253" s="41">
        <f>W124*(1-Assumptions!$B$126)</f>
        <v/>
      </c>
      <c r="X253" s="41">
        <f>X124*(1-Assumptions!$B$126)</f>
        <v/>
      </c>
      <c r="Y253" s="41">
        <f>Y124*(1-Assumptions!$B$126)</f>
        <v/>
      </c>
      <c r="Z253" s="41">
        <f>Z124*(1-Assumptions!$B$126)</f>
        <v/>
      </c>
      <c r="AA253" s="41">
        <f>AA124*(1-Assumptions!$B$126)</f>
        <v/>
      </c>
      <c r="AB253" s="41">
        <f>AB124*(1-Assumptions!$B$126)</f>
        <v/>
      </c>
      <c r="AC253" s="41">
        <f>AC124*(1-Assumptions!$B$126)</f>
        <v/>
      </c>
      <c r="AD253" s="41">
        <f>AD124*(1-Assumptions!$B$126)</f>
        <v/>
      </c>
      <c r="AE253" s="41">
        <f>AE124*(1-Assumptions!$B$126)</f>
        <v/>
      </c>
      <c r="AF253" s="41">
        <f>AF124*(1-Assumptions!$B$126)</f>
        <v/>
      </c>
      <c r="AG253" s="41">
        <f>AG124*(1-Assumptions!$B$126)</f>
        <v/>
      </c>
      <c r="AH253" s="41">
        <f>AH124*(1-Assumptions!$B$126)</f>
        <v/>
      </c>
      <c r="AI253" s="41">
        <f>AI124*(1-Assumptions!$B$126)</f>
        <v/>
      </c>
      <c r="AJ253" s="41">
        <f>AJ124*(1-Assumptions!$B$126)</f>
        <v/>
      </c>
      <c r="AK253" s="41">
        <f>AK124*(1-Assumptions!$B$126)</f>
        <v/>
      </c>
      <c r="AL253" s="41">
        <f>AL124*(1-Assumptions!$B$126)</f>
        <v/>
      </c>
      <c r="AM253" s="41">
        <f>AM124*(1-Assumptions!$B$126)</f>
        <v/>
      </c>
      <c r="AN253" s="41">
        <f>AN124*(1-Assumptions!$B$126)</f>
        <v/>
      </c>
      <c r="AO253" s="41">
        <f>AO124*(1-Assumptions!$B$126)</f>
        <v/>
      </c>
      <c r="AP253" s="41">
        <f>AP124*(1-Assumptions!$B$126)</f>
        <v/>
      </c>
      <c r="AQ253" s="41">
        <f>AQ124*(1-Assumptions!$B$126)</f>
        <v/>
      </c>
      <c r="AR253" s="41">
        <f>AR124*(1-Assumptions!$B$126)</f>
        <v/>
      </c>
      <c r="AS253" s="41">
        <f>AS124*(1-Assumptions!$B$126)</f>
        <v/>
      </c>
      <c r="AT253" s="41">
        <f>AT124*(1-Assumptions!$B$126)</f>
        <v/>
      </c>
      <c r="AU253" s="41">
        <f>AU124*(1-Assumptions!$B$126)</f>
        <v/>
      </c>
      <c r="AV253" s="41">
        <f>AV124*(1-Assumptions!$B$126)</f>
        <v/>
      </c>
      <c r="AW253" s="41">
        <f>AW124*(1-Assumptions!$B$126)</f>
        <v/>
      </c>
      <c r="AX253" s="41">
        <f>AX124*(1-Assumptions!$B$126)</f>
        <v/>
      </c>
      <c r="AY253" s="41">
        <f>AY124*(1-Assumptions!$B$126)</f>
        <v/>
      </c>
      <c r="AZ253" s="41">
        <f>AZ124*(1-Assumptions!$B$126)</f>
        <v/>
      </c>
      <c r="BA253" s="41">
        <f>BA124*(1-Assumptions!$B$126)</f>
        <v/>
      </c>
      <c r="BB253" s="41">
        <f>BB124*(1-Assumptions!$B$126)</f>
        <v/>
      </c>
      <c r="BC253" s="41">
        <f>BC124*(1-Assumptions!$B$126)</f>
        <v/>
      </c>
      <c r="BD253" s="41">
        <f>BD124*(1-Assumptions!$B$126)</f>
        <v/>
      </c>
      <c r="BE253" s="41">
        <f>BE124*(1-Assumptions!$B$126)</f>
        <v/>
      </c>
      <c r="BF253" s="41">
        <f>BF124*(1-Assumptions!$B$126)</f>
        <v/>
      </c>
      <c r="BG253" s="41">
        <f>BG124*(1-Assumptions!$B$126)</f>
        <v/>
      </c>
      <c r="BH253" s="41">
        <f>BH124*(1-Assumptions!$B$126)</f>
        <v/>
      </c>
      <c r="BI253" s="41">
        <f>BI124*(1-Assumptions!$B$126)</f>
        <v/>
      </c>
      <c r="BJ253" s="41">
        <f>BJ124*(1-Assumptions!$B$126)</f>
        <v/>
      </c>
    </row>
    <row r="254">
      <c r="A254" s="4" t="inlineStr">
        <is>
          <t>Botswana &amp; Namibia: SME: Growth: churned</t>
        </is>
      </c>
      <c r="B254" s="17" t="inlineStr">
        <is>
          <t>workspaces</t>
        </is>
      </c>
      <c r="C254" s="41">
        <f>C252*Assumptions!$B$134*Assumptions!$B$50*Assumptions!$B$35*Assumptions!$B$109</f>
        <v/>
      </c>
      <c r="D254" s="41">
        <f>D252*Assumptions!$B$134*Assumptions!$B$50*Assumptions!$B$35*Assumptions!$B$109</f>
        <v/>
      </c>
      <c r="E254" s="41">
        <f>E252*Assumptions!$B$134*Assumptions!$B$50*Assumptions!$B$35*Assumptions!$B$109</f>
        <v/>
      </c>
      <c r="F254" s="41">
        <f>F252*Assumptions!$B$134*Assumptions!$B$50*Assumptions!$B$35*Assumptions!$B$109</f>
        <v/>
      </c>
      <c r="G254" s="41">
        <f>G252*Assumptions!$B$134*Assumptions!$B$50*Assumptions!$B$35*Assumptions!$B$109</f>
        <v/>
      </c>
      <c r="H254" s="41">
        <f>H252*Assumptions!$B$134*Assumptions!$B$50*Assumptions!$B$35*Assumptions!$B$109</f>
        <v/>
      </c>
      <c r="I254" s="41">
        <f>I252*Assumptions!$B$134*Assumptions!$B$50*Assumptions!$B$35*Assumptions!$B$109</f>
        <v/>
      </c>
      <c r="J254" s="41">
        <f>J252*Assumptions!$B$134*Assumptions!$B$50*Assumptions!$B$35*Assumptions!$B$109</f>
        <v/>
      </c>
      <c r="K254" s="41">
        <f>K252*Assumptions!$B$134*Assumptions!$B$50*Assumptions!$B$35*Assumptions!$B$109</f>
        <v/>
      </c>
      <c r="L254" s="41">
        <f>L252*Assumptions!$B$134*Assumptions!$B$50*Assumptions!$B$35*Assumptions!$B$109</f>
        <v/>
      </c>
      <c r="M254" s="41">
        <f>M252*Assumptions!$B$134*Assumptions!$B$50*Assumptions!$B$35*Assumptions!$B$109</f>
        <v/>
      </c>
      <c r="N254" s="41">
        <f>N252*Assumptions!$B$134*Assumptions!$B$50*Assumptions!$B$35*Assumptions!$B$109</f>
        <v/>
      </c>
      <c r="O254" s="41">
        <f>O252*Assumptions!$B$134*Assumptions!$B$50*Assumptions!$B$35*Assumptions!$B$109</f>
        <v/>
      </c>
      <c r="P254" s="41">
        <f>P252*Assumptions!$B$134*Assumptions!$B$50*Assumptions!$B$35*Assumptions!$B$109</f>
        <v/>
      </c>
      <c r="Q254" s="41">
        <f>Q252*Assumptions!$B$134*Assumptions!$B$50*Assumptions!$B$35*Assumptions!$B$109</f>
        <v/>
      </c>
      <c r="R254" s="41">
        <f>R252*Assumptions!$B$134*Assumptions!$B$50*Assumptions!$B$35*Assumptions!$B$109</f>
        <v/>
      </c>
      <c r="S254" s="41">
        <f>S252*Assumptions!$B$134*Assumptions!$B$50*Assumptions!$B$35*Assumptions!$B$109</f>
        <v/>
      </c>
      <c r="T254" s="41">
        <f>T252*Assumptions!$B$134*Assumptions!$B$50*Assumptions!$B$35*Assumptions!$B$109</f>
        <v/>
      </c>
      <c r="U254" s="41">
        <f>U252*Assumptions!$B$134*Assumptions!$B$50*Assumptions!$B$35*Assumptions!$B$109</f>
        <v/>
      </c>
      <c r="V254" s="41">
        <f>V252*Assumptions!$B$134*Assumptions!$B$50*Assumptions!$B$35*Assumptions!$B$109</f>
        <v/>
      </c>
      <c r="W254" s="41">
        <f>W252*Assumptions!$B$134*Assumptions!$B$50*Assumptions!$B$35*Assumptions!$B$109</f>
        <v/>
      </c>
      <c r="X254" s="41">
        <f>X252*Assumptions!$B$134*Assumptions!$B$50*Assumptions!$B$35*Assumptions!$B$109</f>
        <v/>
      </c>
      <c r="Y254" s="41">
        <f>Y252*Assumptions!$B$134*Assumptions!$B$50*Assumptions!$B$35*Assumptions!$B$109</f>
        <v/>
      </c>
      <c r="Z254" s="41">
        <f>Z252*Assumptions!$B$134*Assumptions!$B$50*Assumptions!$B$35*Assumptions!$B$109</f>
        <v/>
      </c>
      <c r="AA254" s="41">
        <f>AA252*Assumptions!$B$134*Assumptions!$B$50*Assumptions!$B$35*Assumptions!$B$109</f>
        <v/>
      </c>
      <c r="AB254" s="41">
        <f>AB252*Assumptions!$B$134*Assumptions!$B$50*Assumptions!$B$35*Assumptions!$B$109</f>
        <v/>
      </c>
      <c r="AC254" s="41">
        <f>AC252*Assumptions!$B$134*Assumptions!$B$50*Assumptions!$B$35*Assumptions!$B$109</f>
        <v/>
      </c>
      <c r="AD254" s="41">
        <f>AD252*Assumptions!$B$134*Assumptions!$B$50*Assumptions!$B$35*Assumptions!$B$109</f>
        <v/>
      </c>
      <c r="AE254" s="41">
        <f>AE252*Assumptions!$B$134*Assumptions!$B$50*Assumptions!$B$35*Assumptions!$B$109</f>
        <v/>
      </c>
      <c r="AF254" s="41">
        <f>AF252*Assumptions!$B$134*Assumptions!$B$50*Assumptions!$B$35*Assumptions!$B$109</f>
        <v/>
      </c>
      <c r="AG254" s="41">
        <f>AG252*Assumptions!$B$134*Assumptions!$B$50*Assumptions!$B$35*Assumptions!$B$109</f>
        <v/>
      </c>
      <c r="AH254" s="41">
        <f>AH252*Assumptions!$B$134*Assumptions!$B$50*Assumptions!$B$35*Assumptions!$B$109</f>
        <v/>
      </c>
      <c r="AI254" s="41">
        <f>AI252*Assumptions!$B$134*Assumptions!$B$50*Assumptions!$B$35*Assumptions!$B$109</f>
        <v/>
      </c>
      <c r="AJ254" s="41">
        <f>AJ252*Assumptions!$B$134*Assumptions!$B$50*Assumptions!$B$35*Assumptions!$B$109</f>
        <v/>
      </c>
      <c r="AK254" s="41">
        <f>AK252*Assumptions!$B$134*Assumptions!$B$50*Assumptions!$B$35*Assumptions!$B$109</f>
        <v/>
      </c>
      <c r="AL254" s="41">
        <f>AL252*Assumptions!$B$134*Assumptions!$B$50*Assumptions!$B$35*Assumptions!$B$109</f>
        <v/>
      </c>
      <c r="AM254" s="41">
        <f>AM252*Assumptions!$B$134*Assumptions!$B$50*Assumptions!$B$35*Assumptions!$B$109</f>
        <v/>
      </c>
      <c r="AN254" s="41">
        <f>AN252*Assumptions!$B$134*Assumptions!$B$50*Assumptions!$B$35*Assumptions!$B$109</f>
        <v/>
      </c>
      <c r="AO254" s="41">
        <f>AO252*Assumptions!$B$134*Assumptions!$B$50*Assumptions!$B$35*Assumptions!$B$109</f>
        <v/>
      </c>
      <c r="AP254" s="41">
        <f>AP252*Assumptions!$B$134*Assumptions!$B$50*Assumptions!$B$35*Assumptions!$B$109</f>
        <v/>
      </c>
      <c r="AQ254" s="41">
        <f>AQ252*Assumptions!$B$134*Assumptions!$B$50*Assumptions!$B$35*Assumptions!$B$109</f>
        <v/>
      </c>
      <c r="AR254" s="41">
        <f>AR252*Assumptions!$B$134*Assumptions!$B$50*Assumptions!$B$35*Assumptions!$B$109</f>
        <v/>
      </c>
      <c r="AS254" s="41">
        <f>AS252*Assumptions!$B$134*Assumptions!$B$50*Assumptions!$B$35*Assumptions!$B$109</f>
        <v/>
      </c>
      <c r="AT254" s="41">
        <f>AT252*Assumptions!$B$134*Assumptions!$B$50*Assumptions!$B$35*Assumptions!$B$109</f>
        <v/>
      </c>
      <c r="AU254" s="41">
        <f>AU252*Assumptions!$B$134*Assumptions!$B$50*Assumptions!$B$35*Assumptions!$B$109</f>
        <v/>
      </c>
      <c r="AV254" s="41">
        <f>AV252*Assumptions!$B$134*Assumptions!$B$50*Assumptions!$B$35*Assumptions!$B$109</f>
        <v/>
      </c>
      <c r="AW254" s="41">
        <f>AW252*Assumptions!$B$134*Assumptions!$B$50*Assumptions!$B$35*Assumptions!$B$109</f>
        <v/>
      </c>
      <c r="AX254" s="41">
        <f>AX252*Assumptions!$B$134*Assumptions!$B$50*Assumptions!$B$35*Assumptions!$B$109</f>
        <v/>
      </c>
      <c r="AY254" s="41">
        <f>AY252*Assumptions!$B$134*Assumptions!$B$50*Assumptions!$B$35*Assumptions!$B$109</f>
        <v/>
      </c>
      <c r="AZ254" s="41">
        <f>AZ252*Assumptions!$B$134*Assumptions!$B$50*Assumptions!$B$35*Assumptions!$B$109</f>
        <v/>
      </c>
      <c r="BA254" s="41">
        <f>BA252*Assumptions!$B$134*Assumptions!$B$50*Assumptions!$B$35*Assumptions!$B$109</f>
        <v/>
      </c>
      <c r="BB254" s="41">
        <f>BB252*Assumptions!$B$134*Assumptions!$B$50*Assumptions!$B$35*Assumptions!$B$109</f>
        <v/>
      </c>
      <c r="BC254" s="41">
        <f>BC252*Assumptions!$B$134*Assumptions!$B$50*Assumptions!$B$35*Assumptions!$B$109</f>
        <v/>
      </c>
      <c r="BD254" s="41">
        <f>BD252*Assumptions!$B$134*Assumptions!$B$50*Assumptions!$B$35*Assumptions!$B$109</f>
        <v/>
      </c>
      <c r="BE254" s="41">
        <f>BE252*Assumptions!$B$134*Assumptions!$B$50*Assumptions!$B$35*Assumptions!$B$109</f>
        <v/>
      </c>
      <c r="BF254" s="41">
        <f>BF252*Assumptions!$B$134*Assumptions!$B$50*Assumptions!$B$35*Assumptions!$B$109</f>
        <v/>
      </c>
      <c r="BG254" s="41">
        <f>BG252*Assumptions!$B$134*Assumptions!$B$50*Assumptions!$B$35*Assumptions!$B$109</f>
        <v/>
      </c>
      <c r="BH254" s="41">
        <f>BH252*Assumptions!$B$134*Assumptions!$B$50*Assumptions!$B$35*Assumptions!$B$109</f>
        <v/>
      </c>
      <c r="BI254" s="41">
        <f>BI252*Assumptions!$B$134*Assumptions!$B$50*Assumptions!$B$35*Assumptions!$B$109</f>
        <v/>
      </c>
      <c r="BJ254" s="41">
        <f>BJ252*Assumptions!$B$134*Assumptions!$B$50*Assumptions!$B$35*Assumptions!$B$109</f>
        <v/>
      </c>
    </row>
    <row r="255">
      <c r="A255" s="4" t="inlineStr">
        <is>
          <t>Botswana &amp; Namibia: SME: Growth: upgraded out</t>
        </is>
      </c>
      <c r="B255" s="17" t="inlineStr">
        <is>
          <t>workspaces</t>
        </is>
      </c>
      <c r="C255" s="41">
        <f>C252*Assumptions!$B$128</f>
        <v/>
      </c>
      <c r="D255" s="41">
        <f>D252*Assumptions!$B$128</f>
        <v/>
      </c>
      <c r="E255" s="41">
        <f>E252*Assumptions!$B$128</f>
        <v/>
      </c>
      <c r="F255" s="41">
        <f>F252*Assumptions!$B$128</f>
        <v/>
      </c>
      <c r="G255" s="41">
        <f>G252*Assumptions!$B$128</f>
        <v/>
      </c>
      <c r="H255" s="41">
        <f>H252*Assumptions!$B$128</f>
        <v/>
      </c>
      <c r="I255" s="41">
        <f>I252*Assumptions!$B$128</f>
        <v/>
      </c>
      <c r="J255" s="41">
        <f>J252*Assumptions!$B$128</f>
        <v/>
      </c>
      <c r="K255" s="41">
        <f>K252*Assumptions!$B$128</f>
        <v/>
      </c>
      <c r="L255" s="41">
        <f>L252*Assumptions!$B$128</f>
        <v/>
      </c>
      <c r="M255" s="41">
        <f>M252*Assumptions!$B$128</f>
        <v/>
      </c>
      <c r="N255" s="41">
        <f>N252*Assumptions!$B$128</f>
        <v/>
      </c>
      <c r="O255" s="41">
        <f>O252*Assumptions!$B$128</f>
        <v/>
      </c>
      <c r="P255" s="41">
        <f>P252*Assumptions!$B$128</f>
        <v/>
      </c>
      <c r="Q255" s="41">
        <f>Q252*Assumptions!$B$128</f>
        <v/>
      </c>
      <c r="R255" s="41">
        <f>R252*Assumptions!$B$128</f>
        <v/>
      </c>
      <c r="S255" s="41">
        <f>S252*Assumptions!$B$128</f>
        <v/>
      </c>
      <c r="T255" s="41">
        <f>T252*Assumptions!$B$128</f>
        <v/>
      </c>
      <c r="U255" s="41">
        <f>U252*Assumptions!$B$128</f>
        <v/>
      </c>
      <c r="V255" s="41">
        <f>V252*Assumptions!$B$128</f>
        <v/>
      </c>
      <c r="W255" s="41">
        <f>W252*Assumptions!$B$128</f>
        <v/>
      </c>
      <c r="X255" s="41">
        <f>X252*Assumptions!$B$128</f>
        <v/>
      </c>
      <c r="Y255" s="41">
        <f>Y252*Assumptions!$B$128</f>
        <v/>
      </c>
      <c r="Z255" s="41">
        <f>Z252*Assumptions!$B$128</f>
        <v/>
      </c>
      <c r="AA255" s="41">
        <f>AA252*Assumptions!$B$128</f>
        <v/>
      </c>
      <c r="AB255" s="41">
        <f>AB252*Assumptions!$B$128</f>
        <v/>
      </c>
      <c r="AC255" s="41">
        <f>AC252*Assumptions!$B$128</f>
        <v/>
      </c>
      <c r="AD255" s="41">
        <f>AD252*Assumptions!$B$128</f>
        <v/>
      </c>
      <c r="AE255" s="41">
        <f>AE252*Assumptions!$B$128</f>
        <v/>
      </c>
      <c r="AF255" s="41">
        <f>AF252*Assumptions!$B$128</f>
        <v/>
      </c>
      <c r="AG255" s="41">
        <f>AG252*Assumptions!$B$128</f>
        <v/>
      </c>
      <c r="AH255" s="41">
        <f>AH252*Assumptions!$B$128</f>
        <v/>
      </c>
      <c r="AI255" s="41">
        <f>AI252*Assumptions!$B$128</f>
        <v/>
      </c>
      <c r="AJ255" s="41">
        <f>AJ252*Assumptions!$B$128</f>
        <v/>
      </c>
      <c r="AK255" s="41">
        <f>AK252*Assumptions!$B$128</f>
        <v/>
      </c>
      <c r="AL255" s="41">
        <f>AL252*Assumptions!$B$128</f>
        <v/>
      </c>
      <c r="AM255" s="41">
        <f>AM252*Assumptions!$B$128</f>
        <v/>
      </c>
      <c r="AN255" s="41">
        <f>AN252*Assumptions!$B$128</f>
        <v/>
      </c>
      <c r="AO255" s="41">
        <f>AO252*Assumptions!$B$128</f>
        <v/>
      </c>
      <c r="AP255" s="41">
        <f>AP252*Assumptions!$B$128</f>
        <v/>
      </c>
      <c r="AQ255" s="41">
        <f>AQ252*Assumptions!$B$128</f>
        <v/>
      </c>
      <c r="AR255" s="41">
        <f>AR252*Assumptions!$B$128</f>
        <v/>
      </c>
      <c r="AS255" s="41">
        <f>AS252*Assumptions!$B$128</f>
        <v/>
      </c>
      <c r="AT255" s="41">
        <f>AT252*Assumptions!$B$128</f>
        <v/>
      </c>
      <c r="AU255" s="41">
        <f>AU252*Assumptions!$B$128</f>
        <v/>
      </c>
      <c r="AV255" s="41">
        <f>AV252*Assumptions!$B$128</f>
        <v/>
      </c>
      <c r="AW255" s="41">
        <f>AW252*Assumptions!$B$128</f>
        <v/>
      </c>
      <c r="AX255" s="41">
        <f>AX252*Assumptions!$B$128</f>
        <v/>
      </c>
      <c r="AY255" s="41">
        <f>AY252*Assumptions!$B$128</f>
        <v/>
      </c>
      <c r="AZ255" s="41">
        <f>AZ252*Assumptions!$B$128</f>
        <v/>
      </c>
      <c r="BA255" s="41">
        <f>BA252*Assumptions!$B$128</f>
        <v/>
      </c>
      <c r="BB255" s="41">
        <f>BB252*Assumptions!$B$128</f>
        <v/>
      </c>
      <c r="BC255" s="41">
        <f>BC252*Assumptions!$B$128</f>
        <v/>
      </c>
      <c r="BD255" s="41">
        <f>BD252*Assumptions!$B$128</f>
        <v/>
      </c>
      <c r="BE255" s="41">
        <f>BE252*Assumptions!$B$128</f>
        <v/>
      </c>
      <c r="BF255" s="41">
        <f>BF252*Assumptions!$B$128</f>
        <v/>
      </c>
      <c r="BG255" s="41">
        <f>BG252*Assumptions!$B$128</f>
        <v/>
      </c>
      <c r="BH255" s="41">
        <f>BH252*Assumptions!$B$128</f>
        <v/>
      </c>
      <c r="BI255" s="41">
        <f>BI252*Assumptions!$B$128</f>
        <v/>
      </c>
      <c r="BJ255" s="41">
        <f>BJ252*Assumptions!$B$128</f>
        <v/>
      </c>
    </row>
    <row r="256">
      <c r="A256" s="3" t="inlineStr">
        <is>
          <t>Botswana &amp; Namibia: SME: Growth: closing</t>
        </is>
      </c>
      <c r="B256" s="17" t="inlineStr">
        <is>
          <t>workspaces</t>
        </is>
      </c>
      <c r="C256" s="44">
        <f>C252+C253-C254-C255</f>
        <v/>
      </c>
      <c r="D256" s="44">
        <f>D252+D253-D254-D255</f>
        <v/>
      </c>
      <c r="E256" s="44">
        <f>E252+E253-E254-E255</f>
        <v/>
      </c>
      <c r="F256" s="44">
        <f>F252+F253-F254-F255</f>
        <v/>
      </c>
      <c r="G256" s="44">
        <f>G252+G253-G254-G255</f>
        <v/>
      </c>
      <c r="H256" s="44">
        <f>H252+H253-H254-H255</f>
        <v/>
      </c>
      <c r="I256" s="44">
        <f>I252+I253-I254-I255</f>
        <v/>
      </c>
      <c r="J256" s="44">
        <f>J252+J253-J254-J255</f>
        <v/>
      </c>
      <c r="K256" s="44">
        <f>K252+K253-K254-K255</f>
        <v/>
      </c>
      <c r="L256" s="44">
        <f>L252+L253-L254-L255</f>
        <v/>
      </c>
      <c r="M256" s="44">
        <f>M252+M253-M254-M255</f>
        <v/>
      </c>
      <c r="N256" s="44">
        <f>N252+N253-N254-N255</f>
        <v/>
      </c>
      <c r="O256" s="44">
        <f>O252+O253-O254-O255</f>
        <v/>
      </c>
      <c r="P256" s="44">
        <f>P252+P253-P254-P255</f>
        <v/>
      </c>
      <c r="Q256" s="44">
        <f>Q252+Q253-Q254-Q255</f>
        <v/>
      </c>
      <c r="R256" s="44">
        <f>R252+R253-R254-R255</f>
        <v/>
      </c>
      <c r="S256" s="44">
        <f>S252+S253-S254-S255</f>
        <v/>
      </c>
      <c r="T256" s="44">
        <f>T252+T253-T254-T255</f>
        <v/>
      </c>
      <c r="U256" s="44">
        <f>U252+U253-U254-U255</f>
        <v/>
      </c>
      <c r="V256" s="44">
        <f>V252+V253-V254-V255</f>
        <v/>
      </c>
      <c r="W256" s="44">
        <f>W252+W253-W254-W255</f>
        <v/>
      </c>
      <c r="X256" s="44">
        <f>X252+X253-X254-X255</f>
        <v/>
      </c>
      <c r="Y256" s="44">
        <f>Y252+Y253-Y254-Y255</f>
        <v/>
      </c>
      <c r="Z256" s="44">
        <f>Z252+Z253-Z254-Z255</f>
        <v/>
      </c>
      <c r="AA256" s="44">
        <f>AA252+AA253-AA254-AA255</f>
        <v/>
      </c>
      <c r="AB256" s="44">
        <f>AB252+AB253-AB254-AB255</f>
        <v/>
      </c>
      <c r="AC256" s="44">
        <f>AC252+AC253-AC254-AC255</f>
        <v/>
      </c>
      <c r="AD256" s="44">
        <f>AD252+AD253-AD254-AD255</f>
        <v/>
      </c>
      <c r="AE256" s="44">
        <f>AE252+AE253-AE254-AE255</f>
        <v/>
      </c>
      <c r="AF256" s="44">
        <f>AF252+AF253-AF254-AF255</f>
        <v/>
      </c>
      <c r="AG256" s="44">
        <f>AG252+AG253-AG254-AG255</f>
        <v/>
      </c>
      <c r="AH256" s="44">
        <f>AH252+AH253-AH254-AH255</f>
        <v/>
      </c>
      <c r="AI256" s="44">
        <f>AI252+AI253-AI254-AI255</f>
        <v/>
      </c>
      <c r="AJ256" s="44">
        <f>AJ252+AJ253-AJ254-AJ255</f>
        <v/>
      </c>
      <c r="AK256" s="44">
        <f>AK252+AK253-AK254-AK255</f>
        <v/>
      </c>
      <c r="AL256" s="44">
        <f>AL252+AL253-AL254-AL255</f>
        <v/>
      </c>
      <c r="AM256" s="44">
        <f>AM252+AM253-AM254-AM255</f>
        <v/>
      </c>
      <c r="AN256" s="44">
        <f>AN252+AN253-AN254-AN255</f>
        <v/>
      </c>
      <c r="AO256" s="44">
        <f>AO252+AO253-AO254-AO255</f>
        <v/>
      </c>
      <c r="AP256" s="44">
        <f>AP252+AP253-AP254-AP255</f>
        <v/>
      </c>
      <c r="AQ256" s="44">
        <f>AQ252+AQ253-AQ254-AQ255</f>
        <v/>
      </c>
      <c r="AR256" s="44">
        <f>AR252+AR253-AR254-AR255</f>
        <v/>
      </c>
      <c r="AS256" s="44">
        <f>AS252+AS253-AS254-AS255</f>
        <v/>
      </c>
      <c r="AT256" s="44">
        <f>AT252+AT253-AT254-AT255</f>
        <v/>
      </c>
      <c r="AU256" s="44">
        <f>AU252+AU253-AU254-AU255</f>
        <v/>
      </c>
      <c r="AV256" s="44">
        <f>AV252+AV253-AV254-AV255</f>
        <v/>
      </c>
      <c r="AW256" s="44">
        <f>AW252+AW253-AW254-AW255</f>
        <v/>
      </c>
      <c r="AX256" s="44">
        <f>AX252+AX253-AX254-AX255</f>
        <v/>
      </c>
      <c r="AY256" s="44">
        <f>AY252+AY253-AY254-AY255</f>
        <v/>
      </c>
      <c r="AZ256" s="44">
        <f>AZ252+AZ253-AZ254-AZ255</f>
        <v/>
      </c>
      <c r="BA256" s="44">
        <f>BA252+BA253-BA254-BA255</f>
        <v/>
      </c>
      <c r="BB256" s="44">
        <f>BB252+BB253-BB254-BB255</f>
        <v/>
      </c>
      <c r="BC256" s="44">
        <f>BC252+BC253-BC254-BC255</f>
        <v/>
      </c>
      <c r="BD256" s="44">
        <f>BD252+BD253-BD254-BD255</f>
        <v/>
      </c>
      <c r="BE256" s="44">
        <f>BE252+BE253-BE254-BE255</f>
        <v/>
      </c>
      <c r="BF256" s="44">
        <f>BF252+BF253-BF254-BF255</f>
        <v/>
      </c>
      <c r="BG256" s="44">
        <f>BG252+BG253-BG254-BG255</f>
        <v/>
      </c>
      <c r="BH256" s="44">
        <f>BH252+BH253-BH254-BH255</f>
        <v/>
      </c>
      <c r="BI256" s="44">
        <f>BI252+BI253-BI254-BI255</f>
        <v/>
      </c>
      <c r="BJ256" s="44">
        <f>BJ252+BJ253-BJ254-BJ255</f>
        <v/>
      </c>
    </row>
    <row r="257">
      <c r="A257" s="4" t="inlineStr">
        <is>
          <t>Botswana &amp; Namibia: SME: Scale (upgraded or direct): opening</t>
        </is>
      </c>
      <c r="B257" s="17" t="inlineStr">
        <is>
          <t>workspaces</t>
        </is>
      </c>
      <c r="C257" s="41">
        <f>0</f>
        <v/>
      </c>
      <c r="D257" s="41">
        <f>C260</f>
        <v/>
      </c>
      <c r="E257" s="41">
        <f>D260</f>
        <v/>
      </c>
      <c r="F257" s="41">
        <f>E260</f>
        <v/>
      </c>
      <c r="G257" s="41">
        <f>F260</f>
        <v/>
      </c>
      <c r="H257" s="41">
        <f>G260</f>
        <v/>
      </c>
      <c r="I257" s="41">
        <f>H260</f>
        <v/>
      </c>
      <c r="J257" s="41">
        <f>I260</f>
        <v/>
      </c>
      <c r="K257" s="41">
        <f>J260</f>
        <v/>
      </c>
      <c r="L257" s="41">
        <f>K260</f>
        <v/>
      </c>
      <c r="M257" s="41">
        <f>L260</f>
        <v/>
      </c>
      <c r="N257" s="41">
        <f>M260</f>
        <v/>
      </c>
      <c r="O257" s="41">
        <f>N260</f>
        <v/>
      </c>
      <c r="P257" s="41">
        <f>O260</f>
        <v/>
      </c>
      <c r="Q257" s="41">
        <f>P260</f>
        <v/>
      </c>
      <c r="R257" s="41">
        <f>Q260</f>
        <v/>
      </c>
      <c r="S257" s="41">
        <f>R260</f>
        <v/>
      </c>
      <c r="T257" s="41">
        <f>S260</f>
        <v/>
      </c>
      <c r="U257" s="41">
        <f>T260</f>
        <v/>
      </c>
      <c r="V257" s="41">
        <f>U260</f>
        <v/>
      </c>
      <c r="W257" s="41">
        <f>V260</f>
        <v/>
      </c>
      <c r="X257" s="41">
        <f>W260</f>
        <v/>
      </c>
      <c r="Y257" s="41">
        <f>X260</f>
        <v/>
      </c>
      <c r="Z257" s="41">
        <f>Y260</f>
        <v/>
      </c>
      <c r="AA257" s="41">
        <f>Z260</f>
        <v/>
      </c>
      <c r="AB257" s="41">
        <f>AA260</f>
        <v/>
      </c>
      <c r="AC257" s="41">
        <f>AB260</f>
        <v/>
      </c>
      <c r="AD257" s="41">
        <f>AC260</f>
        <v/>
      </c>
      <c r="AE257" s="41">
        <f>AD260</f>
        <v/>
      </c>
      <c r="AF257" s="41">
        <f>AE260</f>
        <v/>
      </c>
      <c r="AG257" s="41">
        <f>AF260</f>
        <v/>
      </c>
      <c r="AH257" s="41">
        <f>AG260</f>
        <v/>
      </c>
      <c r="AI257" s="41">
        <f>AH260</f>
        <v/>
      </c>
      <c r="AJ257" s="41">
        <f>AI260</f>
        <v/>
      </c>
      <c r="AK257" s="41">
        <f>AJ260</f>
        <v/>
      </c>
      <c r="AL257" s="41">
        <f>AK260</f>
        <v/>
      </c>
      <c r="AM257" s="41">
        <f>AL260</f>
        <v/>
      </c>
      <c r="AN257" s="41">
        <f>AM260</f>
        <v/>
      </c>
      <c r="AO257" s="41">
        <f>AN260</f>
        <v/>
      </c>
      <c r="AP257" s="41">
        <f>AO260</f>
        <v/>
      </c>
      <c r="AQ257" s="41">
        <f>AP260</f>
        <v/>
      </c>
      <c r="AR257" s="41">
        <f>AQ260</f>
        <v/>
      </c>
      <c r="AS257" s="41">
        <f>AR260</f>
        <v/>
      </c>
      <c r="AT257" s="41">
        <f>AS260</f>
        <v/>
      </c>
      <c r="AU257" s="41">
        <f>AT260</f>
        <v/>
      </c>
      <c r="AV257" s="41">
        <f>AU260</f>
        <v/>
      </c>
      <c r="AW257" s="41">
        <f>AV260</f>
        <v/>
      </c>
      <c r="AX257" s="41">
        <f>AW260</f>
        <v/>
      </c>
      <c r="AY257" s="41">
        <f>AX260</f>
        <v/>
      </c>
      <c r="AZ257" s="41">
        <f>AY260</f>
        <v/>
      </c>
      <c r="BA257" s="41">
        <f>AZ260</f>
        <v/>
      </c>
      <c r="BB257" s="41">
        <f>BA260</f>
        <v/>
      </c>
      <c r="BC257" s="41">
        <f>BB260</f>
        <v/>
      </c>
      <c r="BD257" s="41">
        <f>BC260</f>
        <v/>
      </c>
      <c r="BE257" s="41">
        <f>BD260</f>
        <v/>
      </c>
      <c r="BF257" s="41">
        <f>BE260</f>
        <v/>
      </c>
      <c r="BG257" s="41">
        <f>BF260</f>
        <v/>
      </c>
      <c r="BH257" s="41">
        <f>BG260</f>
        <v/>
      </c>
      <c r="BI257" s="41">
        <f>BH260</f>
        <v/>
      </c>
      <c r="BJ257" s="41">
        <f>BI260</f>
        <v/>
      </c>
    </row>
    <row r="258">
      <c r="A258" s="4" t="inlineStr">
        <is>
          <t>Botswana &amp; Namibia: SME: Scale (upgraded or direct): new</t>
        </is>
      </c>
      <c r="B258" s="17" t="inlineStr">
        <is>
          <t>workspaces</t>
        </is>
      </c>
      <c r="C258" s="41">
        <f>C124*Assumptions!$B$126+C255</f>
        <v/>
      </c>
      <c r="D258" s="41">
        <f>D124*Assumptions!$B$126+D255</f>
        <v/>
      </c>
      <c r="E258" s="41">
        <f>E124*Assumptions!$B$126+E255</f>
        <v/>
      </c>
      <c r="F258" s="41">
        <f>F124*Assumptions!$B$126+F255</f>
        <v/>
      </c>
      <c r="G258" s="41">
        <f>G124*Assumptions!$B$126+G255</f>
        <v/>
      </c>
      <c r="H258" s="41">
        <f>H124*Assumptions!$B$126+H255</f>
        <v/>
      </c>
      <c r="I258" s="41">
        <f>I124*Assumptions!$B$126+I255</f>
        <v/>
      </c>
      <c r="J258" s="41">
        <f>J124*Assumptions!$B$126+J255</f>
        <v/>
      </c>
      <c r="K258" s="41">
        <f>K124*Assumptions!$B$126+K255</f>
        <v/>
      </c>
      <c r="L258" s="41">
        <f>L124*Assumptions!$B$126+L255</f>
        <v/>
      </c>
      <c r="M258" s="41">
        <f>M124*Assumptions!$B$126+M255</f>
        <v/>
      </c>
      <c r="N258" s="41">
        <f>N124*Assumptions!$B$126+N255</f>
        <v/>
      </c>
      <c r="O258" s="41">
        <f>O124*Assumptions!$B$126+O255</f>
        <v/>
      </c>
      <c r="P258" s="41">
        <f>P124*Assumptions!$B$126+P255</f>
        <v/>
      </c>
      <c r="Q258" s="41">
        <f>Q124*Assumptions!$B$126+Q255</f>
        <v/>
      </c>
      <c r="R258" s="41">
        <f>R124*Assumptions!$B$126+R255</f>
        <v/>
      </c>
      <c r="S258" s="41">
        <f>S124*Assumptions!$B$126+S255</f>
        <v/>
      </c>
      <c r="T258" s="41">
        <f>T124*Assumptions!$B$126+T255</f>
        <v/>
      </c>
      <c r="U258" s="41">
        <f>U124*Assumptions!$B$126+U255</f>
        <v/>
      </c>
      <c r="V258" s="41">
        <f>V124*Assumptions!$B$126+V255</f>
        <v/>
      </c>
      <c r="W258" s="41">
        <f>W124*Assumptions!$B$126+W255</f>
        <v/>
      </c>
      <c r="X258" s="41">
        <f>X124*Assumptions!$B$126+X255</f>
        <v/>
      </c>
      <c r="Y258" s="41">
        <f>Y124*Assumptions!$B$126+Y255</f>
        <v/>
      </c>
      <c r="Z258" s="41">
        <f>Z124*Assumptions!$B$126+Z255</f>
        <v/>
      </c>
      <c r="AA258" s="41">
        <f>AA124*Assumptions!$B$126+AA255</f>
        <v/>
      </c>
      <c r="AB258" s="41">
        <f>AB124*Assumptions!$B$126+AB255</f>
        <v/>
      </c>
      <c r="AC258" s="41">
        <f>AC124*Assumptions!$B$126+AC255</f>
        <v/>
      </c>
      <c r="AD258" s="41">
        <f>AD124*Assumptions!$B$126+AD255</f>
        <v/>
      </c>
      <c r="AE258" s="41">
        <f>AE124*Assumptions!$B$126+AE255</f>
        <v/>
      </c>
      <c r="AF258" s="41">
        <f>AF124*Assumptions!$B$126+AF255</f>
        <v/>
      </c>
      <c r="AG258" s="41">
        <f>AG124*Assumptions!$B$126+AG255</f>
        <v/>
      </c>
      <c r="AH258" s="41">
        <f>AH124*Assumptions!$B$126+AH255</f>
        <v/>
      </c>
      <c r="AI258" s="41">
        <f>AI124*Assumptions!$B$126+AI255</f>
        <v/>
      </c>
      <c r="AJ258" s="41">
        <f>AJ124*Assumptions!$B$126+AJ255</f>
        <v/>
      </c>
      <c r="AK258" s="41">
        <f>AK124*Assumptions!$B$126+AK255</f>
        <v/>
      </c>
      <c r="AL258" s="41">
        <f>AL124*Assumptions!$B$126+AL255</f>
        <v/>
      </c>
      <c r="AM258" s="41">
        <f>AM124*Assumptions!$B$126+AM255</f>
        <v/>
      </c>
      <c r="AN258" s="41">
        <f>AN124*Assumptions!$B$126+AN255</f>
        <v/>
      </c>
      <c r="AO258" s="41">
        <f>AO124*Assumptions!$B$126+AO255</f>
        <v/>
      </c>
      <c r="AP258" s="41">
        <f>AP124*Assumptions!$B$126+AP255</f>
        <v/>
      </c>
      <c r="AQ258" s="41">
        <f>AQ124*Assumptions!$B$126+AQ255</f>
        <v/>
      </c>
      <c r="AR258" s="41">
        <f>AR124*Assumptions!$B$126+AR255</f>
        <v/>
      </c>
      <c r="AS258" s="41">
        <f>AS124*Assumptions!$B$126+AS255</f>
        <v/>
      </c>
      <c r="AT258" s="41">
        <f>AT124*Assumptions!$B$126+AT255</f>
        <v/>
      </c>
      <c r="AU258" s="41">
        <f>AU124*Assumptions!$B$126+AU255</f>
        <v/>
      </c>
      <c r="AV258" s="41">
        <f>AV124*Assumptions!$B$126+AV255</f>
        <v/>
      </c>
      <c r="AW258" s="41">
        <f>AW124*Assumptions!$B$126+AW255</f>
        <v/>
      </c>
      <c r="AX258" s="41">
        <f>AX124*Assumptions!$B$126+AX255</f>
        <v/>
      </c>
      <c r="AY258" s="41">
        <f>AY124*Assumptions!$B$126+AY255</f>
        <v/>
      </c>
      <c r="AZ258" s="41">
        <f>AZ124*Assumptions!$B$126+AZ255</f>
        <v/>
      </c>
      <c r="BA258" s="41">
        <f>BA124*Assumptions!$B$126+BA255</f>
        <v/>
      </c>
      <c r="BB258" s="41">
        <f>BB124*Assumptions!$B$126+BB255</f>
        <v/>
      </c>
      <c r="BC258" s="41">
        <f>BC124*Assumptions!$B$126+BC255</f>
        <v/>
      </c>
      <c r="BD258" s="41">
        <f>BD124*Assumptions!$B$126+BD255</f>
        <v/>
      </c>
      <c r="BE258" s="41">
        <f>BE124*Assumptions!$B$126+BE255</f>
        <v/>
      </c>
      <c r="BF258" s="41">
        <f>BF124*Assumptions!$B$126+BF255</f>
        <v/>
      </c>
      <c r="BG258" s="41">
        <f>BG124*Assumptions!$B$126+BG255</f>
        <v/>
      </c>
      <c r="BH258" s="41">
        <f>BH124*Assumptions!$B$126+BH255</f>
        <v/>
      </c>
      <c r="BI258" s="41">
        <f>BI124*Assumptions!$B$126+BI255</f>
        <v/>
      </c>
      <c r="BJ258" s="41">
        <f>BJ124*Assumptions!$B$126+BJ255</f>
        <v/>
      </c>
    </row>
    <row r="259">
      <c r="A259" s="4" t="inlineStr">
        <is>
          <t>Botswana &amp; Namibia: SME: Scale (upgraded or direct): churned</t>
        </is>
      </c>
      <c r="B259" s="17" t="inlineStr">
        <is>
          <t>workspaces</t>
        </is>
      </c>
      <c r="C259" s="41">
        <f>C257*Assumptions!$B$135*Assumptions!$B$50*Assumptions!$B$35*Assumptions!$B$109</f>
        <v/>
      </c>
      <c r="D259" s="41">
        <f>D257*Assumptions!$B$135*Assumptions!$B$50*Assumptions!$B$35*Assumptions!$B$109</f>
        <v/>
      </c>
      <c r="E259" s="41">
        <f>E257*Assumptions!$B$135*Assumptions!$B$50*Assumptions!$B$35*Assumptions!$B$109</f>
        <v/>
      </c>
      <c r="F259" s="41">
        <f>F257*Assumptions!$B$135*Assumptions!$B$50*Assumptions!$B$35*Assumptions!$B$109</f>
        <v/>
      </c>
      <c r="G259" s="41">
        <f>G257*Assumptions!$B$135*Assumptions!$B$50*Assumptions!$B$35*Assumptions!$B$109</f>
        <v/>
      </c>
      <c r="H259" s="41">
        <f>H257*Assumptions!$B$135*Assumptions!$B$50*Assumptions!$B$35*Assumptions!$B$109</f>
        <v/>
      </c>
      <c r="I259" s="41">
        <f>I257*Assumptions!$B$135*Assumptions!$B$50*Assumptions!$B$35*Assumptions!$B$109</f>
        <v/>
      </c>
      <c r="J259" s="41">
        <f>J257*Assumptions!$B$135*Assumptions!$B$50*Assumptions!$B$35*Assumptions!$B$109</f>
        <v/>
      </c>
      <c r="K259" s="41">
        <f>K257*Assumptions!$B$135*Assumptions!$B$50*Assumptions!$B$35*Assumptions!$B$109</f>
        <v/>
      </c>
      <c r="L259" s="41">
        <f>L257*Assumptions!$B$135*Assumptions!$B$50*Assumptions!$B$35*Assumptions!$B$109</f>
        <v/>
      </c>
      <c r="M259" s="41">
        <f>M257*Assumptions!$B$135*Assumptions!$B$50*Assumptions!$B$35*Assumptions!$B$109</f>
        <v/>
      </c>
      <c r="N259" s="41">
        <f>N257*Assumptions!$B$135*Assumptions!$B$50*Assumptions!$B$35*Assumptions!$B$109</f>
        <v/>
      </c>
      <c r="O259" s="41">
        <f>O257*Assumptions!$B$135*Assumptions!$B$50*Assumptions!$B$35*Assumptions!$B$109</f>
        <v/>
      </c>
      <c r="P259" s="41">
        <f>P257*Assumptions!$B$135*Assumptions!$B$50*Assumptions!$B$35*Assumptions!$B$109</f>
        <v/>
      </c>
      <c r="Q259" s="41">
        <f>Q257*Assumptions!$B$135*Assumptions!$B$50*Assumptions!$B$35*Assumptions!$B$109</f>
        <v/>
      </c>
      <c r="R259" s="41">
        <f>R257*Assumptions!$B$135*Assumptions!$B$50*Assumptions!$B$35*Assumptions!$B$109</f>
        <v/>
      </c>
      <c r="S259" s="41">
        <f>S257*Assumptions!$B$135*Assumptions!$B$50*Assumptions!$B$35*Assumptions!$B$109</f>
        <v/>
      </c>
      <c r="T259" s="41">
        <f>T257*Assumptions!$B$135*Assumptions!$B$50*Assumptions!$B$35*Assumptions!$B$109</f>
        <v/>
      </c>
      <c r="U259" s="41">
        <f>U257*Assumptions!$B$135*Assumptions!$B$50*Assumptions!$B$35*Assumptions!$B$109</f>
        <v/>
      </c>
      <c r="V259" s="41">
        <f>V257*Assumptions!$B$135*Assumptions!$B$50*Assumptions!$B$35*Assumptions!$B$109</f>
        <v/>
      </c>
      <c r="W259" s="41">
        <f>W257*Assumptions!$B$135*Assumptions!$B$50*Assumptions!$B$35*Assumptions!$B$109</f>
        <v/>
      </c>
      <c r="X259" s="41">
        <f>X257*Assumptions!$B$135*Assumptions!$B$50*Assumptions!$B$35*Assumptions!$B$109</f>
        <v/>
      </c>
      <c r="Y259" s="41">
        <f>Y257*Assumptions!$B$135*Assumptions!$B$50*Assumptions!$B$35*Assumptions!$B$109</f>
        <v/>
      </c>
      <c r="Z259" s="41">
        <f>Z257*Assumptions!$B$135*Assumptions!$B$50*Assumptions!$B$35*Assumptions!$B$109</f>
        <v/>
      </c>
      <c r="AA259" s="41">
        <f>AA257*Assumptions!$B$135*Assumptions!$B$50*Assumptions!$B$35*Assumptions!$B$109</f>
        <v/>
      </c>
      <c r="AB259" s="41">
        <f>AB257*Assumptions!$B$135*Assumptions!$B$50*Assumptions!$B$35*Assumptions!$B$109</f>
        <v/>
      </c>
      <c r="AC259" s="41">
        <f>AC257*Assumptions!$B$135*Assumptions!$B$50*Assumptions!$B$35*Assumptions!$B$109</f>
        <v/>
      </c>
      <c r="AD259" s="41">
        <f>AD257*Assumptions!$B$135*Assumptions!$B$50*Assumptions!$B$35*Assumptions!$B$109</f>
        <v/>
      </c>
      <c r="AE259" s="41">
        <f>AE257*Assumptions!$B$135*Assumptions!$B$50*Assumptions!$B$35*Assumptions!$B$109</f>
        <v/>
      </c>
      <c r="AF259" s="41">
        <f>AF257*Assumptions!$B$135*Assumptions!$B$50*Assumptions!$B$35*Assumptions!$B$109</f>
        <v/>
      </c>
      <c r="AG259" s="41">
        <f>AG257*Assumptions!$B$135*Assumptions!$B$50*Assumptions!$B$35*Assumptions!$B$109</f>
        <v/>
      </c>
      <c r="AH259" s="41">
        <f>AH257*Assumptions!$B$135*Assumptions!$B$50*Assumptions!$B$35*Assumptions!$B$109</f>
        <v/>
      </c>
      <c r="AI259" s="41">
        <f>AI257*Assumptions!$B$135*Assumptions!$B$50*Assumptions!$B$35*Assumptions!$B$109</f>
        <v/>
      </c>
      <c r="AJ259" s="41">
        <f>AJ257*Assumptions!$B$135*Assumptions!$B$50*Assumptions!$B$35*Assumptions!$B$109</f>
        <v/>
      </c>
      <c r="AK259" s="41">
        <f>AK257*Assumptions!$B$135*Assumptions!$B$50*Assumptions!$B$35*Assumptions!$B$109</f>
        <v/>
      </c>
      <c r="AL259" s="41">
        <f>AL257*Assumptions!$B$135*Assumptions!$B$50*Assumptions!$B$35*Assumptions!$B$109</f>
        <v/>
      </c>
      <c r="AM259" s="41">
        <f>AM257*Assumptions!$B$135*Assumptions!$B$50*Assumptions!$B$35*Assumptions!$B$109</f>
        <v/>
      </c>
      <c r="AN259" s="41">
        <f>AN257*Assumptions!$B$135*Assumptions!$B$50*Assumptions!$B$35*Assumptions!$B$109</f>
        <v/>
      </c>
      <c r="AO259" s="41">
        <f>AO257*Assumptions!$B$135*Assumptions!$B$50*Assumptions!$B$35*Assumptions!$B$109</f>
        <v/>
      </c>
      <c r="AP259" s="41">
        <f>AP257*Assumptions!$B$135*Assumptions!$B$50*Assumptions!$B$35*Assumptions!$B$109</f>
        <v/>
      </c>
      <c r="AQ259" s="41">
        <f>AQ257*Assumptions!$B$135*Assumptions!$B$50*Assumptions!$B$35*Assumptions!$B$109</f>
        <v/>
      </c>
      <c r="AR259" s="41">
        <f>AR257*Assumptions!$B$135*Assumptions!$B$50*Assumptions!$B$35*Assumptions!$B$109</f>
        <v/>
      </c>
      <c r="AS259" s="41">
        <f>AS257*Assumptions!$B$135*Assumptions!$B$50*Assumptions!$B$35*Assumptions!$B$109</f>
        <v/>
      </c>
      <c r="AT259" s="41">
        <f>AT257*Assumptions!$B$135*Assumptions!$B$50*Assumptions!$B$35*Assumptions!$B$109</f>
        <v/>
      </c>
      <c r="AU259" s="41">
        <f>AU257*Assumptions!$B$135*Assumptions!$B$50*Assumptions!$B$35*Assumptions!$B$109</f>
        <v/>
      </c>
      <c r="AV259" s="41">
        <f>AV257*Assumptions!$B$135*Assumptions!$B$50*Assumptions!$B$35*Assumptions!$B$109</f>
        <v/>
      </c>
      <c r="AW259" s="41">
        <f>AW257*Assumptions!$B$135*Assumptions!$B$50*Assumptions!$B$35*Assumptions!$B$109</f>
        <v/>
      </c>
      <c r="AX259" s="41">
        <f>AX257*Assumptions!$B$135*Assumptions!$B$50*Assumptions!$B$35*Assumptions!$B$109</f>
        <v/>
      </c>
      <c r="AY259" s="41">
        <f>AY257*Assumptions!$B$135*Assumptions!$B$50*Assumptions!$B$35*Assumptions!$B$109</f>
        <v/>
      </c>
      <c r="AZ259" s="41">
        <f>AZ257*Assumptions!$B$135*Assumptions!$B$50*Assumptions!$B$35*Assumptions!$B$109</f>
        <v/>
      </c>
      <c r="BA259" s="41">
        <f>BA257*Assumptions!$B$135*Assumptions!$B$50*Assumptions!$B$35*Assumptions!$B$109</f>
        <v/>
      </c>
      <c r="BB259" s="41">
        <f>BB257*Assumptions!$B$135*Assumptions!$B$50*Assumptions!$B$35*Assumptions!$B$109</f>
        <v/>
      </c>
      <c r="BC259" s="41">
        <f>BC257*Assumptions!$B$135*Assumptions!$B$50*Assumptions!$B$35*Assumptions!$B$109</f>
        <v/>
      </c>
      <c r="BD259" s="41">
        <f>BD257*Assumptions!$B$135*Assumptions!$B$50*Assumptions!$B$35*Assumptions!$B$109</f>
        <v/>
      </c>
      <c r="BE259" s="41">
        <f>BE257*Assumptions!$B$135*Assumptions!$B$50*Assumptions!$B$35*Assumptions!$B$109</f>
        <v/>
      </c>
      <c r="BF259" s="41">
        <f>BF257*Assumptions!$B$135*Assumptions!$B$50*Assumptions!$B$35*Assumptions!$B$109</f>
        <v/>
      </c>
      <c r="BG259" s="41">
        <f>BG257*Assumptions!$B$135*Assumptions!$B$50*Assumptions!$B$35*Assumptions!$B$109</f>
        <v/>
      </c>
      <c r="BH259" s="41">
        <f>BH257*Assumptions!$B$135*Assumptions!$B$50*Assumptions!$B$35*Assumptions!$B$109</f>
        <v/>
      </c>
      <c r="BI259" s="41">
        <f>BI257*Assumptions!$B$135*Assumptions!$B$50*Assumptions!$B$35*Assumptions!$B$109</f>
        <v/>
      </c>
      <c r="BJ259" s="41">
        <f>BJ257*Assumptions!$B$135*Assumptions!$B$50*Assumptions!$B$35*Assumptions!$B$109</f>
        <v/>
      </c>
    </row>
    <row r="260">
      <c r="A260" s="3" t="inlineStr">
        <is>
          <t>Botswana &amp; Namibia: SME: Scale (upgraded or direct): closing</t>
        </is>
      </c>
      <c r="B260" s="17" t="inlineStr">
        <is>
          <t>workspaces</t>
        </is>
      </c>
      <c r="C260" s="44">
        <f>C257+C258-C259</f>
        <v/>
      </c>
      <c r="D260" s="44">
        <f>D257+D258-D259</f>
        <v/>
      </c>
      <c r="E260" s="44">
        <f>E257+E258-E259</f>
        <v/>
      </c>
      <c r="F260" s="44">
        <f>F257+F258-F259</f>
        <v/>
      </c>
      <c r="G260" s="44">
        <f>G257+G258-G259</f>
        <v/>
      </c>
      <c r="H260" s="44">
        <f>H257+H258-H259</f>
        <v/>
      </c>
      <c r="I260" s="44">
        <f>I257+I258-I259</f>
        <v/>
      </c>
      <c r="J260" s="44">
        <f>J257+J258-J259</f>
        <v/>
      </c>
      <c r="K260" s="44">
        <f>K257+K258-K259</f>
        <v/>
      </c>
      <c r="L260" s="44">
        <f>L257+L258-L259</f>
        <v/>
      </c>
      <c r="M260" s="44">
        <f>M257+M258-M259</f>
        <v/>
      </c>
      <c r="N260" s="44">
        <f>N257+N258-N259</f>
        <v/>
      </c>
      <c r="O260" s="44">
        <f>O257+O258-O259</f>
        <v/>
      </c>
      <c r="P260" s="44">
        <f>P257+P258-P259</f>
        <v/>
      </c>
      <c r="Q260" s="44">
        <f>Q257+Q258-Q259</f>
        <v/>
      </c>
      <c r="R260" s="44">
        <f>R257+R258-R259</f>
        <v/>
      </c>
      <c r="S260" s="44">
        <f>S257+S258-S259</f>
        <v/>
      </c>
      <c r="T260" s="44">
        <f>T257+T258-T259</f>
        <v/>
      </c>
      <c r="U260" s="44">
        <f>U257+U258-U259</f>
        <v/>
      </c>
      <c r="V260" s="44">
        <f>V257+V258-V259</f>
        <v/>
      </c>
      <c r="W260" s="44">
        <f>W257+W258-W259</f>
        <v/>
      </c>
      <c r="X260" s="44">
        <f>X257+X258-X259</f>
        <v/>
      </c>
      <c r="Y260" s="44">
        <f>Y257+Y258-Y259</f>
        <v/>
      </c>
      <c r="Z260" s="44">
        <f>Z257+Z258-Z259</f>
        <v/>
      </c>
      <c r="AA260" s="44">
        <f>AA257+AA258-AA259</f>
        <v/>
      </c>
      <c r="AB260" s="44">
        <f>AB257+AB258-AB259</f>
        <v/>
      </c>
      <c r="AC260" s="44">
        <f>AC257+AC258-AC259</f>
        <v/>
      </c>
      <c r="AD260" s="44">
        <f>AD257+AD258-AD259</f>
        <v/>
      </c>
      <c r="AE260" s="44">
        <f>AE257+AE258-AE259</f>
        <v/>
      </c>
      <c r="AF260" s="44">
        <f>AF257+AF258-AF259</f>
        <v/>
      </c>
      <c r="AG260" s="44">
        <f>AG257+AG258-AG259</f>
        <v/>
      </c>
      <c r="AH260" s="44">
        <f>AH257+AH258-AH259</f>
        <v/>
      </c>
      <c r="AI260" s="44">
        <f>AI257+AI258-AI259</f>
        <v/>
      </c>
      <c r="AJ260" s="44">
        <f>AJ257+AJ258-AJ259</f>
        <v/>
      </c>
      <c r="AK260" s="44">
        <f>AK257+AK258-AK259</f>
        <v/>
      </c>
      <c r="AL260" s="44">
        <f>AL257+AL258-AL259</f>
        <v/>
      </c>
      <c r="AM260" s="44">
        <f>AM257+AM258-AM259</f>
        <v/>
      </c>
      <c r="AN260" s="44">
        <f>AN257+AN258-AN259</f>
        <v/>
      </c>
      <c r="AO260" s="44">
        <f>AO257+AO258-AO259</f>
        <v/>
      </c>
      <c r="AP260" s="44">
        <f>AP257+AP258-AP259</f>
        <v/>
      </c>
      <c r="AQ260" s="44">
        <f>AQ257+AQ258-AQ259</f>
        <v/>
      </c>
      <c r="AR260" s="44">
        <f>AR257+AR258-AR259</f>
        <v/>
      </c>
      <c r="AS260" s="44">
        <f>AS257+AS258-AS259</f>
        <v/>
      </c>
      <c r="AT260" s="44">
        <f>AT257+AT258-AT259</f>
        <v/>
      </c>
      <c r="AU260" s="44">
        <f>AU257+AU258-AU259</f>
        <v/>
      </c>
      <c r="AV260" s="44">
        <f>AV257+AV258-AV259</f>
        <v/>
      </c>
      <c r="AW260" s="44">
        <f>AW257+AW258-AW259</f>
        <v/>
      </c>
      <c r="AX260" s="44">
        <f>AX257+AX258-AX259</f>
        <v/>
      </c>
      <c r="AY260" s="44">
        <f>AY257+AY258-AY259</f>
        <v/>
      </c>
      <c r="AZ260" s="44">
        <f>AZ257+AZ258-AZ259</f>
        <v/>
      </c>
      <c r="BA260" s="44">
        <f>BA257+BA258-BA259</f>
        <v/>
      </c>
      <c r="BB260" s="44">
        <f>BB257+BB258-BB259</f>
        <v/>
      </c>
      <c r="BC260" s="44">
        <f>BC257+BC258-BC259</f>
        <v/>
      </c>
      <c r="BD260" s="44">
        <f>BD257+BD258-BD259</f>
        <v/>
      </c>
      <c r="BE260" s="44">
        <f>BE257+BE258-BE259</f>
        <v/>
      </c>
      <c r="BF260" s="44">
        <f>BF257+BF258-BF259</f>
        <v/>
      </c>
      <c r="BG260" s="44">
        <f>BG257+BG258-BG259</f>
        <v/>
      </c>
      <c r="BH260" s="44">
        <f>BH257+BH258-BH259</f>
        <v/>
      </c>
      <c r="BI260" s="44">
        <f>BI257+BI258-BI259</f>
        <v/>
      </c>
      <c r="BJ260" s="44">
        <f>BJ257+BJ258-BJ259</f>
        <v/>
      </c>
    </row>
    <row r="261"/>
    <row r="262">
      <c r="A262" s="19" t="inlineStr">
        <is>
          <t>Paying workspaces: by market, segment and tier</t>
        </is>
      </c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19" t="n"/>
      <c r="V262" s="19" t="n"/>
      <c r="W262" s="19" t="n"/>
      <c r="X262" s="19" t="n"/>
      <c r="Y262" s="19" t="n"/>
      <c r="Z262" s="19" t="n"/>
      <c r="AA262" s="19" t="n"/>
      <c r="AB262" s="19" t="n"/>
      <c r="AC262" s="19" t="n"/>
      <c r="AD262" s="19" t="n"/>
      <c r="AE262" s="19" t="n"/>
      <c r="AF262" s="19" t="n"/>
      <c r="AG262" s="19" t="n"/>
      <c r="AH262" s="19" t="n"/>
      <c r="AI262" s="19" t="n"/>
      <c r="AJ262" s="19" t="n"/>
      <c r="AK262" s="19" t="n"/>
      <c r="AL262" s="19" t="n"/>
      <c r="AM262" s="19" t="n"/>
      <c r="AN262" s="19" t="n"/>
      <c r="AO262" s="19" t="n"/>
      <c r="AP262" s="19" t="n"/>
      <c r="AQ262" s="19" t="n"/>
      <c r="AR262" s="19" t="n"/>
      <c r="AS262" s="19" t="n"/>
      <c r="AT262" s="19" t="n"/>
      <c r="AU262" s="19" t="n"/>
      <c r="AV262" s="19" t="n"/>
      <c r="AW262" s="19" t="n"/>
      <c r="AX262" s="19" t="n"/>
      <c r="AY262" s="19" t="n"/>
      <c r="AZ262" s="19" t="n"/>
      <c r="BA262" s="19" t="n"/>
      <c r="BB262" s="19" t="n"/>
      <c r="BC262" s="19" t="n"/>
      <c r="BD262" s="19" t="n"/>
      <c r="BE262" s="19" t="n"/>
      <c r="BF262" s="19" t="n"/>
      <c r="BG262" s="19" t="n"/>
      <c r="BH262" s="19" t="n"/>
      <c r="BI262" s="19" t="n"/>
      <c r="BJ262" s="19" t="n"/>
    </row>
    <row r="263">
      <c r="A263" s="3" t="inlineStr">
        <is>
          <t>Paying workspaces: South Africa</t>
        </is>
      </c>
      <c r="B263" s="17" t="inlineStr">
        <is>
          <t>workspaces</t>
        </is>
      </c>
      <c r="C263" s="40">
        <f>C137+C141+C146+C150+C154+C158</f>
        <v/>
      </c>
      <c r="D263" s="40">
        <f>D137+D141+D146+D150+D154+D158</f>
        <v/>
      </c>
      <c r="E263" s="40">
        <f>E137+E141+E146+E150+E154+E158</f>
        <v/>
      </c>
      <c r="F263" s="40">
        <f>F137+F141+F146+F150+F154+F158</f>
        <v/>
      </c>
      <c r="G263" s="40">
        <f>G137+G141+G146+G150+G154+G158</f>
        <v/>
      </c>
      <c r="H263" s="40">
        <f>H137+H141+H146+H150+H154+H158</f>
        <v/>
      </c>
      <c r="I263" s="40">
        <f>I137+I141+I146+I150+I154+I158</f>
        <v/>
      </c>
      <c r="J263" s="40">
        <f>J137+J141+J146+J150+J154+J158</f>
        <v/>
      </c>
      <c r="K263" s="40">
        <f>K137+K141+K146+K150+K154+K158</f>
        <v/>
      </c>
      <c r="L263" s="40">
        <f>L137+L141+L146+L150+L154+L158</f>
        <v/>
      </c>
      <c r="M263" s="40">
        <f>M137+M141+M146+M150+M154+M158</f>
        <v/>
      </c>
      <c r="N263" s="40">
        <f>N137+N141+N146+N150+N154+N158</f>
        <v/>
      </c>
      <c r="O263" s="40">
        <f>O137+O141+O146+O150+O154+O158</f>
        <v/>
      </c>
      <c r="P263" s="40">
        <f>P137+P141+P146+P150+P154+P158</f>
        <v/>
      </c>
      <c r="Q263" s="40">
        <f>Q137+Q141+Q146+Q150+Q154+Q158</f>
        <v/>
      </c>
      <c r="R263" s="40">
        <f>R137+R141+R146+R150+R154+R158</f>
        <v/>
      </c>
      <c r="S263" s="40">
        <f>S137+S141+S146+S150+S154+S158</f>
        <v/>
      </c>
      <c r="T263" s="40">
        <f>T137+T141+T146+T150+T154+T158</f>
        <v/>
      </c>
      <c r="U263" s="40">
        <f>U137+U141+U146+U150+U154+U158</f>
        <v/>
      </c>
      <c r="V263" s="40">
        <f>V137+V141+V146+V150+V154+V158</f>
        <v/>
      </c>
      <c r="W263" s="40">
        <f>W137+W141+W146+W150+W154+W158</f>
        <v/>
      </c>
      <c r="X263" s="40">
        <f>X137+X141+X146+X150+X154+X158</f>
        <v/>
      </c>
      <c r="Y263" s="40">
        <f>Y137+Y141+Y146+Y150+Y154+Y158</f>
        <v/>
      </c>
      <c r="Z263" s="40">
        <f>Z137+Z141+Z146+Z150+Z154+Z158</f>
        <v/>
      </c>
      <c r="AA263" s="40">
        <f>AA137+AA141+AA146+AA150+AA154+AA158</f>
        <v/>
      </c>
      <c r="AB263" s="40">
        <f>AB137+AB141+AB146+AB150+AB154+AB158</f>
        <v/>
      </c>
      <c r="AC263" s="40">
        <f>AC137+AC141+AC146+AC150+AC154+AC158</f>
        <v/>
      </c>
      <c r="AD263" s="40">
        <f>AD137+AD141+AD146+AD150+AD154+AD158</f>
        <v/>
      </c>
      <c r="AE263" s="40">
        <f>AE137+AE141+AE146+AE150+AE154+AE158</f>
        <v/>
      </c>
      <c r="AF263" s="40">
        <f>AF137+AF141+AF146+AF150+AF154+AF158</f>
        <v/>
      </c>
      <c r="AG263" s="40">
        <f>AG137+AG141+AG146+AG150+AG154+AG158</f>
        <v/>
      </c>
      <c r="AH263" s="40">
        <f>AH137+AH141+AH146+AH150+AH154+AH158</f>
        <v/>
      </c>
      <c r="AI263" s="40">
        <f>AI137+AI141+AI146+AI150+AI154+AI158</f>
        <v/>
      </c>
      <c r="AJ263" s="40">
        <f>AJ137+AJ141+AJ146+AJ150+AJ154+AJ158</f>
        <v/>
      </c>
      <c r="AK263" s="40">
        <f>AK137+AK141+AK146+AK150+AK154+AK158</f>
        <v/>
      </c>
      <c r="AL263" s="40">
        <f>AL137+AL141+AL146+AL150+AL154+AL158</f>
        <v/>
      </c>
      <c r="AM263" s="40">
        <f>AM137+AM141+AM146+AM150+AM154+AM158</f>
        <v/>
      </c>
      <c r="AN263" s="40">
        <f>AN137+AN141+AN146+AN150+AN154+AN158</f>
        <v/>
      </c>
      <c r="AO263" s="40">
        <f>AO137+AO141+AO146+AO150+AO154+AO158</f>
        <v/>
      </c>
      <c r="AP263" s="40">
        <f>AP137+AP141+AP146+AP150+AP154+AP158</f>
        <v/>
      </c>
      <c r="AQ263" s="40">
        <f>AQ137+AQ141+AQ146+AQ150+AQ154+AQ158</f>
        <v/>
      </c>
      <c r="AR263" s="40">
        <f>AR137+AR141+AR146+AR150+AR154+AR158</f>
        <v/>
      </c>
      <c r="AS263" s="40">
        <f>AS137+AS141+AS146+AS150+AS154+AS158</f>
        <v/>
      </c>
      <c r="AT263" s="40">
        <f>AT137+AT141+AT146+AT150+AT154+AT158</f>
        <v/>
      </c>
      <c r="AU263" s="40">
        <f>AU137+AU141+AU146+AU150+AU154+AU158</f>
        <v/>
      </c>
      <c r="AV263" s="40">
        <f>AV137+AV141+AV146+AV150+AV154+AV158</f>
        <v/>
      </c>
      <c r="AW263" s="40">
        <f>AW137+AW141+AW146+AW150+AW154+AW158</f>
        <v/>
      </c>
      <c r="AX263" s="40">
        <f>AX137+AX141+AX146+AX150+AX154+AX158</f>
        <v/>
      </c>
      <c r="AY263" s="40">
        <f>AY137+AY141+AY146+AY150+AY154+AY158</f>
        <v/>
      </c>
      <c r="AZ263" s="40">
        <f>AZ137+AZ141+AZ146+AZ150+AZ154+AZ158</f>
        <v/>
      </c>
      <c r="BA263" s="40">
        <f>BA137+BA141+BA146+BA150+BA154+BA158</f>
        <v/>
      </c>
      <c r="BB263" s="40">
        <f>BB137+BB141+BB146+BB150+BB154+BB158</f>
        <v/>
      </c>
      <c r="BC263" s="40">
        <f>BC137+BC141+BC146+BC150+BC154+BC158</f>
        <v/>
      </c>
      <c r="BD263" s="40">
        <f>BD137+BD141+BD146+BD150+BD154+BD158</f>
        <v/>
      </c>
      <c r="BE263" s="40">
        <f>BE137+BE141+BE146+BE150+BE154+BE158</f>
        <v/>
      </c>
      <c r="BF263" s="40">
        <f>BF137+BF141+BF146+BF150+BF154+BF158</f>
        <v/>
      </c>
      <c r="BG263" s="40">
        <f>BG137+BG141+BG146+BG150+BG154+BG158</f>
        <v/>
      </c>
      <c r="BH263" s="40">
        <f>BH137+BH141+BH146+BH150+BH154+BH158</f>
        <v/>
      </c>
      <c r="BI263" s="40">
        <f>BI137+BI141+BI146+BI150+BI154+BI158</f>
        <v/>
      </c>
      <c r="BJ263" s="40">
        <f>BJ137+BJ141+BJ146+BJ150+BJ154+BJ158</f>
        <v/>
      </c>
    </row>
    <row r="264">
      <c r="A264" s="3" t="inlineStr">
        <is>
          <t>Paying workspaces: Nigeria</t>
        </is>
      </c>
      <c r="B264" s="17" t="inlineStr">
        <is>
          <t>workspaces</t>
        </is>
      </c>
      <c r="C264" s="40">
        <f>C163+C167+C172+C176+C180</f>
        <v/>
      </c>
      <c r="D264" s="40">
        <f>D163+D167+D172+D176+D180</f>
        <v/>
      </c>
      <c r="E264" s="40">
        <f>E163+E167+E172+E176+E180</f>
        <v/>
      </c>
      <c r="F264" s="40">
        <f>F163+F167+F172+F176+F180</f>
        <v/>
      </c>
      <c r="G264" s="40">
        <f>G163+G167+G172+G176+G180</f>
        <v/>
      </c>
      <c r="H264" s="40">
        <f>H163+H167+H172+H176+H180</f>
        <v/>
      </c>
      <c r="I264" s="40">
        <f>I163+I167+I172+I176+I180</f>
        <v/>
      </c>
      <c r="J264" s="40">
        <f>J163+J167+J172+J176+J180</f>
        <v/>
      </c>
      <c r="K264" s="40">
        <f>K163+K167+K172+K176+K180</f>
        <v/>
      </c>
      <c r="L264" s="40">
        <f>L163+L167+L172+L176+L180</f>
        <v/>
      </c>
      <c r="M264" s="40">
        <f>M163+M167+M172+M176+M180</f>
        <v/>
      </c>
      <c r="N264" s="40">
        <f>N163+N167+N172+N176+N180</f>
        <v/>
      </c>
      <c r="O264" s="40">
        <f>O163+O167+O172+O176+O180</f>
        <v/>
      </c>
      <c r="P264" s="40">
        <f>P163+P167+P172+P176+P180</f>
        <v/>
      </c>
      <c r="Q264" s="40">
        <f>Q163+Q167+Q172+Q176+Q180</f>
        <v/>
      </c>
      <c r="R264" s="40">
        <f>R163+R167+R172+R176+R180</f>
        <v/>
      </c>
      <c r="S264" s="40">
        <f>S163+S167+S172+S176+S180</f>
        <v/>
      </c>
      <c r="T264" s="40">
        <f>T163+T167+T172+T176+T180</f>
        <v/>
      </c>
      <c r="U264" s="40">
        <f>U163+U167+U172+U176+U180</f>
        <v/>
      </c>
      <c r="V264" s="40">
        <f>V163+V167+V172+V176+V180</f>
        <v/>
      </c>
      <c r="W264" s="40">
        <f>W163+W167+W172+W176+W180</f>
        <v/>
      </c>
      <c r="X264" s="40">
        <f>X163+X167+X172+X176+X180</f>
        <v/>
      </c>
      <c r="Y264" s="40">
        <f>Y163+Y167+Y172+Y176+Y180</f>
        <v/>
      </c>
      <c r="Z264" s="40">
        <f>Z163+Z167+Z172+Z176+Z180</f>
        <v/>
      </c>
      <c r="AA264" s="40">
        <f>AA163+AA167+AA172+AA176+AA180</f>
        <v/>
      </c>
      <c r="AB264" s="40">
        <f>AB163+AB167+AB172+AB176+AB180</f>
        <v/>
      </c>
      <c r="AC264" s="40">
        <f>AC163+AC167+AC172+AC176+AC180</f>
        <v/>
      </c>
      <c r="AD264" s="40">
        <f>AD163+AD167+AD172+AD176+AD180</f>
        <v/>
      </c>
      <c r="AE264" s="40">
        <f>AE163+AE167+AE172+AE176+AE180</f>
        <v/>
      </c>
      <c r="AF264" s="40">
        <f>AF163+AF167+AF172+AF176+AF180</f>
        <v/>
      </c>
      <c r="AG264" s="40">
        <f>AG163+AG167+AG172+AG176+AG180</f>
        <v/>
      </c>
      <c r="AH264" s="40">
        <f>AH163+AH167+AH172+AH176+AH180</f>
        <v/>
      </c>
      <c r="AI264" s="40">
        <f>AI163+AI167+AI172+AI176+AI180</f>
        <v/>
      </c>
      <c r="AJ264" s="40">
        <f>AJ163+AJ167+AJ172+AJ176+AJ180</f>
        <v/>
      </c>
      <c r="AK264" s="40">
        <f>AK163+AK167+AK172+AK176+AK180</f>
        <v/>
      </c>
      <c r="AL264" s="40">
        <f>AL163+AL167+AL172+AL176+AL180</f>
        <v/>
      </c>
      <c r="AM264" s="40">
        <f>AM163+AM167+AM172+AM176+AM180</f>
        <v/>
      </c>
      <c r="AN264" s="40">
        <f>AN163+AN167+AN172+AN176+AN180</f>
        <v/>
      </c>
      <c r="AO264" s="40">
        <f>AO163+AO167+AO172+AO176+AO180</f>
        <v/>
      </c>
      <c r="AP264" s="40">
        <f>AP163+AP167+AP172+AP176+AP180</f>
        <v/>
      </c>
      <c r="AQ264" s="40">
        <f>AQ163+AQ167+AQ172+AQ176+AQ180</f>
        <v/>
      </c>
      <c r="AR264" s="40">
        <f>AR163+AR167+AR172+AR176+AR180</f>
        <v/>
      </c>
      <c r="AS264" s="40">
        <f>AS163+AS167+AS172+AS176+AS180</f>
        <v/>
      </c>
      <c r="AT264" s="40">
        <f>AT163+AT167+AT172+AT176+AT180</f>
        <v/>
      </c>
      <c r="AU264" s="40">
        <f>AU163+AU167+AU172+AU176+AU180</f>
        <v/>
      </c>
      <c r="AV264" s="40">
        <f>AV163+AV167+AV172+AV176+AV180</f>
        <v/>
      </c>
      <c r="AW264" s="40">
        <f>AW163+AW167+AW172+AW176+AW180</f>
        <v/>
      </c>
      <c r="AX264" s="40">
        <f>AX163+AX167+AX172+AX176+AX180</f>
        <v/>
      </c>
      <c r="AY264" s="40">
        <f>AY163+AY167+AY172+AY176+AY180</f>
        <v/>
      </c>
      <c r="AZ264" s="40">
        <f>AZ163+AZ167+AZ172+AZ176+AZ180</f>
        <v/>
      </c>
      <c r="BA264" s="40">
        <f>BA163+BA167+BA172+BA176+BA180</f>
        <v/>
      </c>
      <c r="BB264" s="40">
        <f>BB163+BB167+BB172+BB176+BB180</f>
        <v/>
      </c>
      <c r="BC264" s="40">
        <f>BC163+BC167+BC172+BC176+BC180</f>
        <v/>
      </c>
      <c r="BD264" s="40">
        <f>BD163+BD167+BD172+BD176+BD180</f>
        <v/>
      </c>
      <c r="BE264" s="40">
        <f>BE163+BE167+BE172+BE176+BE180</f>
        <v/>
      </c>
      <c r="BF264" s="40">
        <f>BF163+BF167+BF172+BF176+BF180</f>
        <v/>
      </c>
      <c r="BG264" s="40">
        <f>BG163+BG167+BG172+BG176+BG180</f>
        <v/>
      </c>
      <c r="BH264" s="40">
        <f>BH163+BH167+BH172+BH176+BH180</f>
        <v/>
      </c>
      <c r="BI264" s="40">
        <f>BI163+BI167+BI172+BI176+BI180</f>
        <v/>
      </c>
      <c r="BJ264" s="40">
        <f>BJ163+BJ167+BJ172+BJ176+BJ180</f>
        <v/>
      </c>
    </row>
    <row r="265">
      <c r="A265" s="3" t="inlineStr">
        <is>
          <t>Paying workspaces: Kenya</t>
        </is>
      </c>
      <c r="B265" s="17" t="inlineStr">
        <is>
          <t>workspaces</t>
        </is>
      </c>
      <c r="C265" s="40">
        <f>C185+C189+C194+C198+C202</f>
        <v/>
      </c>
      <c r="D265" s="40">
        <f>D185+D189+D194+D198+D202</f>
        <v/>
      </c>
      <c r="E265" s="40">
        <f>E185+E189+E194+E198+E202</f>
        <v/>
      </c>
      <c r="F265" s="40">
        <f>F185+F189+F194+F198+F202</f>
        <v/>
      </c>
      <c r="G265" s="40">
        <f>G185+G189+G194+G198+G202</f>
        <v/>
      </c>
      <c r="H265" s="40">
        <f>H185+H189+H194+H198+H202</f>
        <v/>
      </c>
      <c r="I265" s="40">
        <f>I185+I189+I194+I198+I202</f>
        <v/>
      </c>
      <c r="J265" s="40">
        <f>J185+J189+J194+J198+J202</f>
        <v/>
      </c>
      <c r="K265" s="40">
        <f>K185+K189+K194+K198+K202</f>
        <v/>
      </c>
      <c r="L265" s="40">
        <f>L185+L189+L194+L198+L202</f>
        <v/>
      </c>
      <c r="M265" s="40">
        <f>M185+M189+M194+M198+M202</f>
        <v/>
      </c>
      <c r="N265" s="40">
        <f>N185+N189+N194+N198+N202</f>
        <v/>
      </c>
      <c r="O265" s="40">
        <f>O185+O189+O194+O198+O202</f>
        <v/>
      </c>
      <c r="P265" s="40">
        <f>P185+P189+P194+P198+P202</f>
        <v/>
      </c>
      <c r="Q265" s="40">
        <f>Q185+Q189+Q194+Q198+Q202</f>
        <v/>
      </c>
      <c r="R265" s="40">
        <f>R185+R189+R194+R198+R202</f>
        <v/>
      </c>
      <c r="S265" s="40">
        <f>S185+S189+S194+S198+S202</f>
        <v/>
      </c>
      <c r="T265" s="40">
        <f>T185+T189+T194+T198+T202</f>
        <v/>
      </c>
      <c r="U265" s="40">
        <f>U185+U189+U194+U198+U202</f>
        <v/>
      </c>
      <c r="V265" s="40">
        <f>V185+V189+V194+V198+V202</f>
        <v/>
      </c>
      <c r="W265" s="40">
        <f>W185+W189+W194+W198+W202</f>
        <v/>
      </c>
      <c r="X265" s="40">
        <f>X185+X189+X194+X198+X202</f>
        <v/>
      </c>
      <c r="Y265" s="40">
        <f>Y185+Y189+Y194+Y198+Y202</f>
        <v/>
      </c>
      <c r="Z265" s="40">
        <f>Z185+Z189+Z194+Z198+Z202</f>
        <v/>
      </c>
      <c r="AA265" s="40">
        <f>AA185+AA189+AA194+AA198+AA202</f>
        <v/>
      </c>
      <c r="AB265" s="40">
        <f>AB185+AB189+AB194+AB198+AB202</f>
        <v/>
      </c>
      <c r="AC265" s="40">
        <f>AC185+AC189+AC194+AC198+AC202</f>
        <v/>
      </c>
      <c r="AD265" s="40">
        <f>AD185+AD189+AD194+AD198+AD202</f>
        <v/>
      </c>
      <c r="AE265" s="40">
        <f>AE185+AE189+AE194+AE198+AE202</f>
        <v/>
      </c>
      <c r="AF265" s="40">
        <f>AF185+AF189+AF194+AF198+AF202</f>
        <v/>
      </c>
      <c r="AG265" s="40">
        <f>AG185+AG189+AG194+AG198+AG202</f>
        <v/>
      </c>
      <c r="AH265" s="40">
        <f>AH185+AH189+AH194+AH198+AH202</f>
        <v/>
      </c>
      <c r="AI265" s="40">
        <f>AI185+AI189+AI194+AI198+AI202</f>
        <v/>
      </c>
      <c r="AJ265" s="40">
        <f>AJ185+AJ189+AJ194+AJ198+AJ202</f>
        <v/>
      </c>
      <c r="AK265" s="40">
        <f>AK185+AK189+AK194+AK198+AK202</f>
        <v/>
      </c>
      <c r="AL265" s="40">
        <f>AL185+AL189+AL194+AL198+AL202</f>
        <v/>
      </c>
      <c r="AM265" s="40">
        <f>AM185+AM189+AM194+AM198+AM202</f>
        <v/>
      </c>
      <c r="AN265" s="40">
        <f>AN185+AN189+AN194+AN198+AN202</f>
        <v/>
      </c>
      <c r="AO265" s="40">
        <f>AO185+AO189+AO194+AO198+AO202</f>
        <v/>
      </c>
      <c r="AP265" s="40">
        <f>AP185+AP189+AP194+AP198+AP202</f>
        <v/>
      </c>
      <c r="AQ265" s="40">
        <f>AQ185+AQ189+AQ194+AQ198+AQ202</f>
        <v/>
      </c>
      <c r="AR265" s="40">
        <f>AR185+AR189+AR194+AR198+AR202</f>
        <v/>
      </c>
      <c r="AS265" s="40">
        <f>AS185+AS189+AS194+AS198+AS202</f>
        <v/>
      </c>
      <c r="AT265" s="40">
        <f>AT185+AT189+AT194+AT198+AT202</f>
        <v/>
      </c>
      <c r="AU265" s="40">
        <f>AU185+AU189+AU194+AU198+AU202</f>
        <v/>
      </c>
      <c r="AV265" s="40">
        <f>AV185+AV189+AV194+AV198+AV202</f>
        <v/>
      </c>
      <c r="AW265" s="40">
        <f>AW185+AW189+AW194+AW198+AW202</f>
        <v/>
      </c>
      <c r="AX265" s="40">
        <f>AX185+AX189+AX194+AX198+AX202</f>
        <v/>
      </c>
      <c r="AY265" s="40">
        <f>AY185+AY189+AY194+AY198+AY202</f>
        <v/>
      </c>
      <c r="AZ265" s="40">
        <f>AZ185+AZ189+AZ194+AZ198+AZ202</f>
        <v/>
      </c>
      <c r="BA265" s="40">
        <f>BA185+BA189+BA194+BA198+BA202</f>
        <v/>
      </c>
      <c r="BB265" s="40">
        <f>BB185+BB189+BB194+BB198+BB202</f>
        <v/>
      </c>
      <c r="BC265" s="40">
        <f>BC185+BC189+BC194+BC198+BC202</f>
        <v/>
      </c>
      <c r="BD265" s="40">
        <f>BD185+BD189+BD194+BD198+BD202</f>
        <v/>
      </c>
      <c r="BE265" s="40">
        <f>BE185+BE189+BE194+BE198+BE202</f>
        <v/>
      </c>
      <c r="BF265" s="40">
        <f>BF185+BF189+BF194+BF198+BF202</f>
        <v/>
      </c>
      <c r="BG265" s="40">
        <f>BG185+BG189+BG194+BG198+BG202</f>
        <v/>
      </c>
      <c r="BH265" s="40">
        <f>BH185+BH189+BH194+BH198+BH202</f>
        <v/>
      </c>
      <c r="BI265" s="40">
        <f>BI185+BI189+BI194+BI198+BI202</f>
        <v/>
      </c>
      <c r="BJ265" s="40">
        <f>BJ185+BJ189+BJ194+BJ198+BJ202</f>
        <v/>
      </c>
    </row>
    <row r="266">
      <c r="A266" s="3" t="inlineStr">
        <is>
          <t>Paying workspaces: Ghana</t>
        </is>
      </c>
      <c r="B266" s="17" t="inlineStr">
        <is>
          <t>workspaces</t>
        </is>
      </c>
      <c r="C266" s="40">
        <f>C207+C211+C216+C220+C224</f>
        <v/>
      </c>
      <c r="D266" s="40">
        <f>D207+D211+D216+D220+D224</f>
        <v/>
      </c>
      <c r="E266" s="40">
        <f>E207+E211+E216+E220+E224</f>
        <v/>
      </c>
      <c r="F266" s="40">
        <f>F207+F211+F216+F220+F224</f>
        <v/>
      </c>
      <c r="G266" s="40">
        <f>G207+G211+G216+G220+G224</f>
        <v/>
      </c>
      <c r="H266" s="40">
        <f>H207+H211+H216+H220+H224</f>
        <v/>
      </c>
      <c r="I266" s="40">
        <f>I207+I211+I216+I220+I224</f>
        <v/>
      </c>
      <c r="J266" s="40">
        <f>J207+J211+J216+J220+J224</f>
        <v/>
      </c>
      <c r="K266" s="40">
        <f>K207+K211+K216+K220+K224</f>
        <v/>
      </c>
      <c r="L266" s="40">
        <f>L207+L211+L216+L220+L224</f>
        <v/>
      </c>
      <c r="M266" s="40">
        <f>M207+M211+M216+M220+M224</f>
        <v/>
      </c>
      <c r="N266" s="40">
        <f>N207+N211+N216+N220+N224</f>
        <v/>
      </c>
      <c r="O266" s="40">
        <f>O207+O211+O216+O220+O224</f>
        <v/>
      </c>
      <c r="P266" s="40">
        <f>P207+P211+P216+P220+P224</f>
        <v/>
      </c>
      <c r="Q266" s="40">
        <f>Q207+Q211+Q216+Q220+Q224</f>
        <v/>
      </c>
      <c r="R266" s="40">
        <f>R207+R211+R216+R220+R224</f>
        <v/>
      </c>
      <c r="S266" s="40">
        <f>S207+S211+S216+S220+S224</f>
        <v/>
      </c>
      <c r="T266" s="40">
        <f>T207+T211+T216+T220+T224</f>
        <v/>
      </c>
      <c r="U266" s="40">
        <f>U207+U211+U216+U220+U224</f>
        <v/>
      </c>
      <c r="V266" s="40">
        <f>V207+V211+V216+V220+V224</f>
        <v/>
      </c>
      <c r="W266" s="40">
        <f>W207+W211+W216+W220+W224</f>
        <v/>
      </c>
      <c r="X266" s="40">
        <f>X207+X211+X216+X220+X224</f>
        <v/>
      </c>
      <c r="Y266" s="40">
        <f>Y207+Y211+Y216+Y220+Y224</f>
        <v/>
      </c>
      <c r="Z266" s="40">
        <f>Z207+Z211+Z216+Z220+Z224</f>
        <v/>
      </c>
      <c r="AA266" s="40">
        <f>AA207+AA211+AA216+AA220+AA224</f>
        <v/>
      </c>
      <c r="AB266" s="40">
        <f>AB207+AB211+AB216+AB220+AB224</f>
        <v/>
      </c>
      <c r="AC266" s="40">
        <f>AC207+AC211+AC216+AC220+AC224</f>
        <v/>
      </c>
      <c r="AD266" s="40">
        <f>AD207+AD211+AD216+AD220+AD224</f>
        <v/>
      </c>
      <c r="AE266" s="40">
        <f>AE207+AE211+AE216+AE220+AE224</f>
        <v/>
      </c>
      <c r="AF266" s="40">
        <f>AF207+AF211+AF216+AF220+AF224</f>
        <v/>
      </c>
      <c r="AG266" s="40">
        <f>AG207+AG211+AG216+AG220+AG224</f>
        <v/>
      </c>
      <c r="AH266" s="40">
        <f>AH207+AH211+AH216+AH220+AH224</f>
        <v/>
      </c>
      <c r="AI266" s="40">
        <f>AI207+AI211+AI216+AI220+AI224</f>
        <v/>
      </c>
      <c r="AJ266" s="40">
        <f>AJ207+AJ211+AJ216+AJ220+AJ224</f>
        <v/>
      </c>
      <c r="AK266" s="40">
        <f>AK207+AK211+AK216+AK220+AK224</f>
        <v/>
      </c>
      <c r="AL266" s="40">
        <f>AL207+AL211+AL216+AL220+AL224</f>
        <v/>
      </c>
      <c r="AM266" s="40">
        <f>AM207+AM211+AM216+AM220+AM224</f>
        <v/>
      </c>
      <c r="AN266" s="40">
        <f>AN207+AN211+AN216+AN220+AN224</f>
        <v/>
      </c>
      <c r="AO266" s="40">
        <f>AO207+AO211+AO216+AO220+AO224</f>
        <v/>
      </c>
      <c r="AP266" s="40">
        <f>AP207+AP211+AP216+AP220+AP224</f>
        <v/>
      </c>
      <c r="AQ266" s="40">
        <f>AQ207+AQ211+AQ216+AQ220+AQ224</f>
        <v/>
      </c>
      <c r="AR266" s="40">
        <f>AR207+AR211+AR216+AR220+AR224</f>
        <v/>
      </c>
      <c r="AS266" s="40">
        <f>AS207+AS211+AS216+AS220+AS224</f>
        <v/>
      </c>
      <c r="AT266" s="40">
        <f>AT207+AT211+AT216+AT220+AT224</f>
        <v/>
      </c>
      <c r="AU266" s="40">
        <f>AU207+AU211+AU216+AU220+AU224</f>
        <v/>
      </c>
      <c r="AV266" s="40">
        <f>AV207+AV211+AV216+AV220+AV224</f>
        <v/>
      </c>
      <c r="AW266" s="40">
        <f>AW207+AW211+AW216+AW220+AW224</f>
        <v/>
      </c>
      <c r="AX266" s="40">
        <f>AX207+AX211+AX216+AX220+AX224</f>
        <v/>
      </c>
      <c r="AY266" s="40">
        <f>AY207+AY211+AY216+AY220+AY224</f>
        <v/>
      </c>
      <c r="AZ266" s="40">
        <f>AZ207+AZ211+AZ216+AZ220+AZ224</f>
        <v/>
      </c>
      <c r="BA266" s="40">
        <f>BA207+BA211+BA216+BA220+BA224</f>
        <v/>
      </c>
      <c r="BB266" s="40">
        <f>BB207+BB211+BB216+BB220+BB224</f>
        <v/>
      </c>
      <c r="BC266" s="40">
        <f>BC207+BC211+BC216+BC220+BC224</f>
        <v/>
      </c>
      <c r="BD266" s="40">
        <f>BD207+BD211+BD216+BD220+BD224</f>
        <v/>
      </c>
      <c r="BE266" s="40">
        <f>BE207+BE211+BE216+BE220+BE224</f>
        <v/>
      </c>
      <c r="BF266" s="40">
        <f>BF207+BF211+BF216+BF220+BF224</f>
        <v/>
      </c>
      <c r="BG266" s="40">
        <f>BG207+BG211+BG216+BG220+BG224</f>
        <v/>
      </c>
      <c r="BH266" s="40">
        <f>BH207+BH211+BH216+BH220+BH224</f>
        <v/>
      </c>
      <c r="BI266" s="40">
        <f>BI207+BI211+BI216+BI220+BI224</f>
        <v/>
      </c>
      <c r="BJ266" s="40">
        <f>BJ207+BJ211+BJ216+BJ220+BJ224</f>
        <v/>
      </c>
    </row>
    <row r="267">
      <c r="A267" s="3" t="inlineStr">
        <is>
          <t>Paying workspaces: Rest of Africa (USD)</t>
        </is>
      </c>
      <c r="B267" s="17" t="inlineStr">
        <is>
          <t>workspaces</t>
        </is>
      </c>
      <c r="C267" s="40">
        <f>C229+C233+C238+C242</f>
        <v/>
      </c>
      <c r="D267" s="40">
        <f>D229+D233+D238+D242</f>
        <v/>
      </c>
      <c r="E267" s="40">
        <f>E229+E233+E238+E242</f>
        <v/>
      </c>
      <c r="F267" s="40">
        <f>F229+F233+F238+F242</f>
        <v/>
      </c>
      <c r="G267" s="40">
        <f>G229+G233+G238+G242</f>
        <v/>
      </c>
      <c r="H267" s="40">
        <f>H229+H233+H238+H242</f>
        <v/>
      </c>
      <c r="I267" s="40">
        <f>I229+I233+I238+I242</f>
        <v/>
      </c>
      <c r="J267" s="40">
        <f>J229+J233+J238+J242</f>
        <v/>
      </c>
      <c r="K267" s="40">
        <f>K229+K233+K238+K242</f>
        <v/>
      </c>
      <c r="L267" s="40">
        <f>L229+L233+L238+L242</f>
        <v/>
      </c>
      <c r="M267" s="40">
        <f>M229+M233+M238+M242</f>
        <v/>
      </c>
      <c r="N267" s="40">
        <f>N229+N233+N238+N242</f>
        <v/>
      </c>
      <c r="O267" s="40">
        <f>O229+O233+O238+O242</f>
        <v/>
      </c>
      <c r="P267" s="40">
        <f>P229+P233+P238+P242</f>
        <v/>
      </c>
      <c r="Q267" s="40">
        <f>Q229+Q233+Q238+Q242</f>
        <v/>
      </c>
      <c r="R267" s="40">
        <f>R229+R233+R238+R242</f>
        <v/>
      </c>
      <c r="S267" s="40">
        <f>S229+S233+S238+S242</f>
        <v/>
      </c>
      <c r="T267" s="40">
        <f>T229+T233+T238+T242</f>
        <v/>
      </c>
      <c r="U267" s="40">
        <f>U229+U233+U238+U242</f>
        <v/>
      </c>
      <c r="V267" s="40">
        <f>V229+V233+V238+V242</f>
        <v/>
      </c>
      <c r="W267" s="40">
        <f>W229+W233+W238+W242</f>
        <v/>
      </c>
      <c r="X267" s="40">
        <f>X229+X233+X238+X242</f>
        <v/>
      </c>
      <c r="Y267" s="40">
        <f>Y229+Y233+Y238+Y242</f>
        <v/>
      </c>
      <c r="Z267" s="40">
        <f>Z229+Z233+Z238+Z242</f>
        <v/>
      </c>
      <c r="AA267" s="40">
        <f>AA229+AA233+AA238+AA242</f>
        <v/>
      </c>
      <c r="AB267" s="40">
        <f>AB229+AB233+AB238+AB242</f>
        <v/>
      </c>
      <c r="AC267" s="40">
        <f>AC229+AC233+AC238+AC242</f>
        <v/>
      </c>
      <c r="AD267" s="40">
        <f>AD229+AD233+AD238+AD242</f>
        <v/>
      </c>
      <c r="AE267" s="40">
        <f>AE229+AE233+AE238+AE242</f>
        <v/>
      </c>
      <c r="AF267" s="40">
        <f>AF229+AF233+AF238+AF242</f>
        <v/>
      </c>
      <c r="AG267" s="40">
        <f>AG229+AG233+AG238+AG242</f>
        <v/>
      </c>
      <c r="AH267" s="40">
        <f>AH229+AH233+AH238+AH242</f>
        <v/>
      </c>
      <c r="AI267" s="40">
        <f>AI229+AI233+AI238+AI242</f>
        <v/>
      </c>
      <c r="AJ267" s="40">
        <f>AJ229+AJ233+AJ238+AJ242</f>
        <v/>
      </c>
      <c r="AK267" s="40">
        <f>AK229+AK233+AK238+AK242</f>
        <v/>
      </c>
      <c r="AL267" s="40">
        <f>AL229+AL233+AL238+AL242</f>
        <v/>
      </c>
      <c r="AM267" s="40">
        <f>AM229+AM233+AM238+AM242</f>
        <v/>
      </c>
      <c r="AN267" s="40">
        <f>AN229+AN233+AN238+AN242</f>
        <v/>
      </c>
      <c r="AO267" s="40">
        <f>AO229+AO233+AO238+AO242</f>
        <v/>
      </c>
      <c r="AP267" s="40">
        <f>AP229+AP233+AP238+AP242</f>
        <v/>
      </c>
      <c r="AQ267" s="40">
        <f>AQ229+AQ233+AQ238+AQ242</f>
        <v/>
      </c>
      <c r="AR267" s="40">
        <f>AR229+AR233+AR238+AR242</f>
        <v/>
      </c>
      <c r="AS267" s="40">
        <f>AS229+AS233+AS238+AS242</f>
        <v/>
      </c>
      <c r="AT267" s="40">
        <f>AT229+AT233+AT238+AT242</f>
        <v/>
      </c>
      <c r="AU267" s="40">
        <f>AU229+AU233+AU238+AU242</f>
        <v/>
      </c>
      <c r="AV267" s="40">
        <f>AV229+AV233+AV238+AV242</f>
        <v/>
      </c>
      <c r="AW267" s="40">
        <f>AW229+AW233+AW238+AW242</f>
        <v/>
      </c>
      <c r="AX267" s="40">
        <f>AX229+AX233+AX238+AX242</f>
        <v/>
      </c>
      <c r="AY267" s="40">
        <f>AY229+AY233+AY238+AY242</f>
        <v/>
      </c>
      <c r="AZ267" s="40">
        <f>AZ229+AZ233+AZ238+AZ242</f>
        <v/>
      </c>
      <c r="BA267" s="40">
        <f>BA229+BA233+BA238+BA242</f>
        <v/>
      </c>
      <c r="BB267" s="40">
        <f>BB229+BB233+BB238+BB242</f>
        <v/>
      </c>
      <c r="BC267" s="40">
        <f>BC229+BC233+BC238+BC242</f>
        <v/>
      </c>
      <c r="BD267" s="40">
        <f>BD229+BD233+BD238+BD242</f>
        <v/>
      </c>
      <c r="BE267" s="40">
        <f>BE229+BE233+BE238+BE242</f>
        <v/>
      </c>
      <c r="BF267" s="40">
        <f>BF229+BF233+BF238+BF242</f>
        <v/>
      </c>
      <c r="BG267" s="40">
        <f>BG229+BG233+BG238+BG242</f>
        <v/>
      </c>
      <c r="BH267" s="40">
        <f>BH229+BH233+BH238+BH242</f>
        <v/>
      </c>
      <c r="BI267" s="40">
        <f>BI229+BI233+BI238+BI242</f>
        <v/>
      </c>
      <c r="BJ267" s="40">
        <f>BJ229+BJ233+BJ238+BJ242</f>
        <v/>
      </c>
    </row>
    <row r="268">
      <c r="A268" s="3" t="inlineStr">
        <is>
          <t>Paying workspaces: Botswana &amp; Namibia</t>
        </is>
      </c>
      <c r="B268" s="17" t="inlineStr">
        <is>
          <t>workspaces</t>
        </is>
      </c>
      <c r="C268" s="40">
        <f>C247+C251+C256+C260</f>
        <v/>
      </c>
      <c r="D268" s="40">
        <f>D247+D251+D256+D260</f>
        <v/>
      </c>
      <c r="E268" s="40">
        <f>E247+E251+E256+E260</f>
        <v/>
      </c>
      <c r="F268" s="40">
        <f>F247+F251+F256+F260</f>
        <v/>
      </c>
      <c r="G268" s="40">
        <f>G247+G251+G256+G260</f>
        <v/>
      </c>
      <c r="H268" s="40">
        <f>H247+H251+H256+H260</f>
        <v/>
      </c>
      <c r="I268" s="40">
        <f>I247+I251+I256+I260</f>
        <v/>
      </c>
      <c r="J268" s="40">
        <f>J247+J251+J256+J260</f>
        <v/>
      </c>
      <c r="K268" s="40">
        <f>K247+K251+K256+K260</f>
        <v/>
      </c>
      <c r="L268" s="40">
        <f>L247+L251+L256+L260</f>
        <v/>
      </c>
      <c r="M268" s="40">
        <f>M247+M251+M256+M260</f>
        <v/>
      </c>
      <c r="N268" s="40">
        <f>N247+N251+N256+N260</f>
        <v/>
      </c>
      <c r="O268" s="40">
        <f>O247+O251+O256+O260</f>
        <v/>
      </c>
      <c r="P268" s="40">
        <f>P247+P251+P256+P260</f>
        <v/>
      </c>
      <c r="Q268" s="40">
        <f>Q247+Q251+Q256+Q260</f>
        <v/>
      </c>
      <c r="R268" s="40">
        <f>R247+R251+R256+R260</f>
        <v/>
      </c>
      <c r="S268" s="40">
        <f>S247+S251+S256+S260</f>
        <v/>
      </c>
      <c r="T268" s="40">
        <f>T247+T251+T256+T260</f>
        <v/>
      </c>
      <c r="U268" s="40">
        <f>U247+U251+U256+U260</f>
        <v/>
      </c>
      <c r="V268" s="40">
        <f>V247+V251+V256+V260</f>
        <v/>
      </c>
      <c r="W268" s="40">
        <f>W247+W251+W256+W260</f>
        <v/>
      </c>
      <c r="X268" s="40">
        <f>X247+X251+X256+X260</f>
        <v/>
      </c>
      <c r="Y268" s="40">
        <f>Y247+Y251+Y256+Y260</f>
        <v/>
      </c>
      <c r="Z268" s="40">
        <f>Z247+Z251+Z256+Z260</f>
        <v/>
      </c>
      <c r="AA268" s="40">
        <f>AA247+AA251+AA256+AA260</f>
        <v/>
      </c>
      <c r="AB268" s="40">
        <f>AB247+AB251+AB256+AB260</f>
        <v/>
      </c>
      <c r="AC268" s="40">
        <f>AC247+AC251+AC256+AC260</f>
        <v/>
      </c>
      <c r="AD268" s="40">
        <f>AD247+AD251+AD256+AD260</f>
        <v/>
      </c>
      <c r="AE268" s="40">
        <f>AE247+AE251+AE256+AE260</f>
        <v/>
      </c>
      <c r="AF268" s="40">
        <f>AF247+AF251+AF256+AF260</f>
        <v/>
      </c>
      <c r="AG268" s="40">
        <f>AG247+AG251+AG256+AG260</f>
        <v/>
      </c>
      <c r="AH268" s="40">
        <f>AH247+AH251+AH256+AH260</f>
        <v/>
      </c>
      <c r="AI268" s="40">
        <f>AI247+AI251+AI256+AI260</f>
        <v/>
      </c>
      <c r="AJ268" s="40">
        <f>AJ247+AJ251+AJ256+AJ260</f>
        <v/>
      </c>
      <c r="AK268" s="40">
        <f>AK247+AK251+AK256+AK260</f>
        <v/>
      </c>
      <c r="AL268" s="40">
        <f>AL247+AL251+AL256+AL260</f>
        <v/>
      </c>
      <c r="AM268" s="40">
        <f>AM247+AM251+AM256+AM260</f>
        <v/>
      </c>
      <c r="AN268" s="40">
        <f>AN247+AN251+AN256+AN260</f>
        <v/>
      </c>
      <c r="AO268" s="40">
        <f>AO247+AO251+AO256+AO260</f>
        <v/>
      </c>
      <c r="AP268" s="40">
        <f>AP247+AP251+AP256+AP260</f>
        <v/>
      </c>
      <c r="AQ268" s="40">
        <f>AQ247+AQ251+AQ256+AQ260</f>
        <v/>
      </c>
      <c r="AR268" s="40">
        <f>AR247+AR251+AR256+AR260</f>
        <v/>
      </c>
      <c r="AS268" s="40">
        <f>AS247+AS251+AS256+AS260</f>
        <v/>
      </c>
      <c r="AT268" s="40">
        <f>AT247+AT251+AT256+AT260</f>
        <v/>
      </c>
      <c r="AU268" s="40">
        <f>AU247+AU251+AU256+AU260</f>
        <v/>
      </c>
      <c r="AV268" s="40">
        <f>AV247+AV251+AV256+AV260</f>
        <v/>
      </c>
      <c r="AW268" s="40">
        <f>AW247+AW251+AW256+AW260</f>
        <v/>
      </c>
      <c r="AX268" s="40">
        <f>AX247+AX251+AX256+AX260</f>
        <v/>
      </c>
      <c r="AY268" s="40">
        <f>AY247+AY251+AY256+AY260</f>
        <v/>
      </c>
      <c r="AZ268" s="40">
        <f>AZ247+AZ251+AZ256+AZ260</f>
        <v/>
      </c>
      <c r="BA268" s="40">
        <f>BA247+BA251+BA256+BA260</f>
        <v/>
      </c>
      <c r="BB268" s="40">
        <f>BB247+BB251+BB256+BB260</f>
        <v/>
      </c>
      <c r="BC268" s="40">
        <f>BC247+BC251+BC256+BC260</f>
        <v/>
      </c>
      <c r="BD268" s="40">
        <f>BD247+BD251+BD256+BD260</f>
        <v/>
      </c>
      <c r="BE268" s="40">
        <f>BE247+BE251+BE256+BE260</f>
        <v/>
      </c>
      <c r="BF268" s="40">
        <f>BF247+BF251+BF256+BF260</f>
        <v/>
      </c>
      <c r="BG268" s="40">
        <f>BG247+BG251+BG256+BG260</f>
        <v/>
      </c>
      <c r="BH268" s="40">
        <f>BH247+BH251+BH256+BH260</f>
        <v/>
      </c>
      <c r="BI268" s="40">
        <f>BI247+BI251+BI256+BI260</f>
        <v/>
      </c>
      <c r="BJ268" s="40">
        <f>BJ247+BJ251+BJ256+BJ260</f>
        <v/>
      </c>
    </row>
    <row r="269">
      <c r="A269" s="4" t="inlineStr">
        <is>
          <t>Solo: opening</t>
        </is>
      </c>
      <c r="B269" s="17" t="inlineStr">
        <is>
          <t>workspaces</t>
        </is>
      </c>
      <c r="C269" s="41">
        <f>C133+C138+C159+C164+C181+C186+C203+C208+C225+C230+C243+C248</f>
        <v/>
      </c>
      <c r="D269" s="41">
        <f>D133+D138+D159+D164+D181+D186+D203+D208+D225+D230+D243+D248</f>
        <v/>
      </c>
      <c r="E269" s="41">
        <f>E133+E138+E159+E164+E181+E186+E203+E208+E225+E230+E243+E248</f>
        <v/>
      </c>
      <c r="F269" s="41">
        <f>F133+F138+F159+F164+F181+F186+F203+F208+F225+F230+F243+F248</f>
        <v/>
      </c>
      <c r="G269" s="41">
        <f>G133+G138+G159+G164+G181+G186+G203+G208+G225+G230+G243+G248</f>
        <v/>
      </c>
      <c r="H269" s="41">
        <f>H133+H138+H159+H164+H181+H186+H203+H208+H225+H230+H243+H248</f>
        <v/>
      </c>
      <c r="I269" s="41">
        <f>I133+I138+I159+I164+I181+I186+I203+I208+I225+I230+I243+I248</f>
        <v/>
      </c>
      <c r="J269" s="41">
        <f>J133+J138+J159+J164+J181+J186+J203+J208+J225+J230+J243+J248</f>
        <v/>
      </c>
      <c r="K269" s="41">
        <f>K133+K138+K159+K164+K181+K186+K203+K208+K225+K230+K243+K248</f>
        <v/>
      </c>
      <c r="L269" s="41">
        <f>L133+L138+L159+L164+L181+L186+L203+L208+L225+L230+L243+L248</f>
        <v/>
      </c>
      <c r="M269" s="41">
        <f>M133+M138+M159+M164+M181+M186+M203+M208+M225+M230+M243+M248</f>
        <v/>
      </c>
      <c r="N269" s="41">
        <f>N133+N138+N159+N164+N181+N186+N203+N208+N225+N230+N243+N248</f>
        <v/>
      </c>
      <c r="O269" s="41">
        <f>O133+O138+O159+O164+O181+O186+O203+O208+O225+O230+O243+O248</f>
        <v/>
      </c>
      <c r="P269" s="41">
        <f>P133+P138+P159+P164+P181+P186+P203+P208+P225+P230+P243+P248</f>
        <v/>
      </c>
      <c r="Q269" s="41">
        <f>Q133+Q138+Q159+Q164+Q181+Q186+Q203+Q208+Q225+Q230+Q243+Q248</f>
        <v/>
      </c>
      <c r="R269" s="41">
        <f>R133+R138+R159+R164+R181+R186+R203+R208+R225+R230+R243+R248</f>
        <v/>
      </c>
      <c r="S269" s="41">
        <f>S133+S138+S159+S164+S181+S186+S203+S208+S225+S230+S243+S248</f>
        <v/>
      </c>
      <c r="T269" s="41">
        <f>T133+T138+T159+T164+T181+T186+T203+T208+T225+T230+T243+T248</f>
        <v/>
      </c>
      <c r="U269" s="41">
        <f>U133+U138+U159+U164+U181+U186+U203+U208+U225+U230+U243+U248</f>
        <v/>
      </c>
      <c r="V269" s="41">
        <f>V133+V138+V159+V164+V181+V186+V203+V208+V225+V230+V243+V248</f>
        <v/>
      </c>
      <c r="W269" s="41">
        <f>W133+W138+W159+W164+W181+W186+W203+W208+W225+W230+W243+W248</f>
        <v/>
      </c>
      <c r="X269" s="41">
        <f>X133+X138+X159+X164+X181+X186+X203+X208+X225+X230+X243+X248</f>
        <v/>
      </c>
      <c r="Y269" s="41">
        <f>Y133+Y138+Y159+Y164+Y181+Y186+Y203+Y208+Y225+Y230+Y243+Y248</f>
        <v/>
      </c>
      <c r="Z269" s="41">
        <f>Z133+Z138+Z159+Z164+Z181+Z186+Z203+Z208+Z225+Z230+Z243+Z248</f>
        <v/>
      </c>
      <c r="AA269" s="41">
        <f>AA133+AA138+AA159+AA164+AA181+AA186+AA203+AA208+AA225+AA230+AA243+AA248</f>
        <v/>
      </c>
      <c r="AB269" s="41">
        <f>AB133+AB138+AB159+AB164+AB181+AB186+AB203+AB208+AB225+AB230+AB243+AB248</f>
        <v/>
      </c>
      <c r="AC269" s="41">
        <f>AC133+AC138+AC159+AC164+AC181+AC186+AC203+AC208+AC225+AC230+AC243+AC248</f>
        <v/>
      </c>
      <c r="AD269" s="41">
        <f>AD133+AD138+AD159+AD164+AD181+AD186+AD203+AD208+AD225+AD230+AD243+AD248</f>
        <v/>
      </c>
      <c r="AE269" s="41">
        <f>AE133+AE138+AE159+AE164+AE181+AE186+AE203+AE208+AE225+AE230+AE243+AE248</f>
        <v/>
      </c>
      <c r="AF269" s="41">
        <f>AF133+AF138+AF159+AF164+AF181+AF186+AF203+AF208+AF225+AF230+AF243+AF248</f>
        <v/>
      </c>
      <c r="AG269" s="41">
        <f>AG133+AG138+AG159+AG164+AG181+AG186+AG203+AG208+AG225+AG230+AG243+AG248</f>
        <v/>
      </c>
      <c r="AH269" s="41">
        <f>AH133+AH138+AH159+AH164+AH181+AH186+AH203+AH208+AH225+AH230+AH243+AH248</f>
        <v/>
      </c>
      <c r="AI269" s="41">
        <f>AI133+AI138+AI159+AI164+AI181+AI186+AI203+AI208+AI225+AI230+AI243+AI248</f>
        <v/>
      </c>
      <c r="AJ269" s="41">
        <f>AJ133+AJ138+AJ159+AJ164+AJ181+AJ186+AJ203+AJ208+AJ225+AJ230+AJ243+AJ248</f>
        <v/>
      </c>
      <c r="AK269" s="41">
        <f>AK133+AK138+AK159+AK164+AK181+AK186+AK203+AK208+AK225+AK230+AK243+AK248</f>
        <v/>
      </c>
      <c r="AL269" s="41">
        <f>AL133+AL138+AL159+AL164+AL181+AL186+AL203+AL208+AL225+AL230+AL243+AL248</f>
        <v/>
      </c>
      <c r="AM269" s="41">
        <f>AM133+AM138+AM159+AM164+AM181+AM186+AM203+AM208+AM225+AM230+AM243+AM248</f>
        <v/>
      </c>
      <c r="AN269" s="41">
        <f>AN133+AN138+AN159+AN164+AN181+AN186+AN203+AN208+AN225+AN230+AN243+AN248</f>
        <v/>
      </c>
      <c r="AO269" s="41">
        <f>AO133+AO138+AO159+AO164+AO181+AO186+AO203+AO208+AO225+AO230+AO243+AO248</f>
        <v/>
      </c>
      <c r="AP269" s="41">
        <f>AP133+AP138+AP159+AP164+AP181+AP186+AP203+AP208+AP225+AP230+AP243+AP248</f>
        <v/>
      </c>
      <c r="AQ269" s="41">
        <f>AQ133+AQ138+AQ159+AQ164+AQ181+AQ186+AQ203+AQ208+AQ225+AQ230+AQ243+AQ248</f>
        <v/>
      </c>
      <c r="AR269" s="41">
        <f>AR133+AR138+AR159+AR164+AR181+AR186+AR203+AR208+AR225+AR230+AR243+AR248</f>
        <v/>
      </c>
      <c r="AS269" s="41">
        <f>AS133+AS138+AS159+AS164+AS181+AS186+AS203+AS208+AS225+AS230+AS243+AS248</f>
        <v/>
      </c>
      <c r="AT269" s="41">
        <f>AT133+AT138+AT159+AT164+AT181+AT186+AT203+AT208+AT225+AT230+AT243+AT248</f>
        <v/>
      </c>
      <c r="AU269" s="41">
        <f>AU133+AU138+AU159+AU164+AU181+AU186+AU203+AU208+AU225+AU230+AU243+AU248</f>
        <v/>
      </c>
      <c r="AV269" s="41">
        <f>AV133+AV138+AV159+AV164+AV181+AV186+AV203+AV208+AV225+AV230+AV243+AV248</f>
        <v/>
      </c>
      <c r="AW269" s="41">
        <f>AW133+AW138+AW159+AW164+AW181+AW186+AW203+AW208+AW225+AW230+AW243+AW248</f>
        <v/>
      </c>
      <c r="AX269" s="41">
        <f>AX133+AX138+AX159+AX164+AX181+AX186+AX203+AX208+AX225+AX230+AX243+AX248</f>
        <v/>
      </c>
      <c r="AY269" s="41">
        <f>AY133+AY138+AY159+AY164+AY181+AY186+AY203+AY208+AY225+AY230+AY243+AY248</f>
        <v/>
      </c>
      <c r="AZ269" s="41">
        <f>AZ133+AZ138+AZ159+AZ164+AZ181+AZ186+AZ203+AZ208+AZ225+AZ230+AZ243+AZ248</f>
        <v/>
      </c>
      <c r="BA269" s="41">
        <f>BA133+BA138+BA159+BA164+BA181+BA186+BA203+BA208+BA225+BA230+BA243+BA248</f>
        <v/>
      </c>
      <c r="BB269" s="41">
        <f>BB133+BB138+BB159+BB164+BB181+BB186+BB203+BB208+BB225+BB230+BB243+BB248</f>
        <v/>
      </c>
      <c r="BC269" s="41">
        <f>BC133+BC138+BC159+BC164+BC181+BC186+BC203+BC208+BC225+BC230+BC243+BC248</f>
        <v/>
      </c>
      <c r="BD269" s="41">
        <f>BD133+BD138+BD159+BD164+BD181+BD186+BD203+BD208+BD225+BD230+BD243+BD248</f>
        <v/>
      </c>
      <c r="BE269" s="41">
        <f>BE133+BE138+BE159+BE164+BE181+BE186+BE203+BE208+BE225+BE230+BE243+BE248</f>
        <v/>
      </c>
      <c r="BF269" s="41">
        <f>BF133+BF138+BF159+BF164+BF181+BF186+BF203+BF208+BF225+BF230+BF243+BF248</f>
        <v/>
      </c>
      <c r="BG269" s="41">
        <f>BG133+BG138+BG159+BG164+BG181+BG186+BG203+BG208+BG225+BG230+BG243+BG248</f>
        <v/>
      </c>
      <c r="BH269" s="41">
        <f>BH133+BH138+BH159+BH164+BH181+BH186+BH203+BH208+BH225+BH230+BH243+BH248</f>
        <v/>
      </c>
      <c r="BI269" s="41">
        <f>BI133+BI138+BI159+BI164+BI181+BI186+BI203+BI208+BI225+BI230+BI243+BI248</f>
        <v/>
      </c>
      <c r="BJ269" s="41">
        <f>BJ133+BJ138+BJ159+BJ164+BJ181+BJ186+BJ203+BJ208+BJ225+BJ230+BJ243+BJ248</f>
        <v/>
      </c>
    </row>
    <row r="270">
      <c r="A270" s="3" t="inlineStr">
        <is>
          <t>Solo: closing</t>
        </is>
      </c>
      <c r="B270" s="17" t="inlineStr">
        <is>
          <t>workspaces</t>
        </is>
      </c>
      <c r="C270" s="44">
        <f>C137+C141+C163+C167+C185+C189+C207+C211+C229+C233+C247+C251</f>
        <v/>
      </c>
      <c r="D270" s="44">
        <f>D137+D141+D163+D167+D185+D189+D207+D211+D229+D233+D247+D251</f>
        <v/>
      </c>
      <c r="E270" s="44">
        <f>E137+E141+E163+E167+E185+E189+E207+E211+E229+E233+E247+E251</f>
        <v/>
      </c>
      <c r="F270" s="44">
        <f>F137+F141+F163+F167+F185+F189+F207+F211+F229+F233+F247+F251</f>
        <v/>
      </c>
      <c r="G270" s="44">
        <f>G137+G141+G163+G167+G185+G189+G207+G211+G229+G233+G247+G251</f>
        <v/>
      </c>
      <c r="H270" s="44">
        <f>H137+H141+H163+H167+H185+H189+H207+H211+H229+H233+H247+H251</f>
        <v/>
      </c>
      <c r="I270" s="44">
        <f>I137+I141+I163+I167+I185+I189+I207+I211+I229+I233+I247+I251</f>
        <v/>
      </c>
      <c r="J270" s="44">
        <f>J137+J141+J163+J167+J185+J189+J207+J211+J229+J233+J247+J251</f>
        <v/>
      </c>
      <c r="K270" s="44">
        <f>K137+K141+K163+K167+K185+K189+K207+K211+K229+K233+K247+K251</f>
        <v/>
      </c>
      <c r="L270" s="44">
        <f>L137+L141+L163+L167+L185+L189+L207+L211+L229+L233+L247+L251</f>
        <v/>
      </c>
      <c r="M270" s="44">
        <f>M137+M141+M163+M167+M185+M189+M207+M211+M229+M233+M247+M251</f>
        <v/>
      </c>
      <c r="N270" s="44">
        <f>N137+N141+N163+N167+N185+N189+N207+N211+N229+N233+N247+N251</f>
        <v/>
      </c>
      <c r="O270" s="44">
        <f>O137+O141+O163+O167+O185+O189+O207+O211+O229+O233+O247+O251</f>
        <v/>
      </c>
      <c r="P270" s="44">
        <f>P137+P141+P163+P167+P185+P189+P207+P211+P229+P233+P247+P251</f>
        <v/>
      </c>
      <c r="Q270" s="44">
        <f>Q137+Q141+Q163+Q167+Q185+Q189+Q207+Q211+Q229+Q233+Q247+Q251</f>
        <v/>
      </c>
      <c r="R270" s="44">
        <f>R137+R141+R163+R167+R185+R189+R207+R211+R229+R233+R247+R251</f>
        <v/>
      </c>
      <c r="S270" s="44">
        <f>S137+S141+S163+S167+S185+S189+S207+S211+S229+S233+S247+S251</f>
        <v/>
      </c>
      <c r="T270" s="44">
        <f>T137+T141+T163+T167+T185+T189+T207+T211+T229+T233+T247+T251</f>
        <v/>
      </c>
      <c r="U270" s="44">
        <f>U137+U141+U163+U167+U185+U189+U207+U211+U229+U233+U247+U251</f>
        <v/>
      </c>
      <c r="V270" s="44">
        <f>V137+V141+V163+V167+V185+V189+V207+V211+V229+V233+V247+V251</f>
        <v/>
      </c>
      <c r="W270" s="44">
        <f>W137+W141+W163+W167+W185+W189+W207+W211+W229+W233+W247+W251</f>
        <v/>
      </c>
      <c r="X270" s="44">
        <f>X137+X141+X163+X167+X185+X189+X207+X211+X229+X233+X247+X251</f>
        <v/>
      </c>
      <c r="Y270" s="44">
        <f>Y137+Y141+Y163+Y167+Y185+Y189+Y207+Y211+Y229+Y233+Y247+Y251</f>
        <v/>
      </c>
      <c r="Z270" s="44">
        <f>Z137+Z141+Z163+Z167+Z185+Z189+Z207+Z211+Z229+Z233+Z247+Z251</f>
        <v/>
      </c>
      <c r="AA270" s="44">
        <f>AA137+AA141+AA163+AA167+AA185+AA189+AA207+AA211+AA229+AA233+AA247+AA251</f>
        <v/>
      </c>
      <c r="AB270" s="44">
        <f>AB137+AB141+AB163+AB167+AB185+AB189+AB207+AB211+AB229+AB233+AB247+AB251</f>
        <v/>
      </c>
      <c r="AC270" s="44">
        <f>AC137+AC141+AC163+AC167+AC185+AC189+AC207+AC211+AC229+AC233+AC247+AC251</f>
        <v/>
      </c>
      <c r="AD270" s="44">
        <f>AD137+AD141+AD163+AD167+AD185+AD189+AD207+AD211+AD229+AD233+AD247+AD251</f>
        <v/>
      </c>
      <c r="AE270" s="44">
        <f>AE137+AE141+AE163+AE167+AE185+AE189+AE207+AE211+AE229+AE233+AE247+AE251</f>
        <v/>
      </c>
      <c r="AF270" s="44">
        <f>AF137+AF141+AF163+AF167+AF185+AF189+AF207+AF211+AF229+AF233+AF247+AF251</f>
        <v/>
      </c>
      <c r="AG270" s="44">
        <f>AG137+AG141+AG163+AG167+AG185+AG189+AG207+AG211+AG229+AG233+AG247+AG251</f>
        <v/>
      </c>
      <c r="AH270" s="44">
        <f>AH137+AH141+AH163+AH167+AH185+AH189+AH207+AH211+AH229+AH233+AH247+AH251</f>
        <v/>
      </c>
      <c r="AI270" s="44">
        <f>AI137+AI141+AI163+AI167+AI185+AI189+AI207+AI211+AI229+AI233+AI247+AI251</f>
        <v/>
      </c>
      <c r="AJ270" s="44">
        <f>AJ137+AJ141+AJ163+AJ167+AJ185+AJ189+AJ207+AJ211+AJ229+AJ233+AJ247+AJ251</f>
        <v/>
      </c>
      <c r="AK270" s="44">
        <f>AK137+AK141+AK163+AK167+AK185+AK189+AK207+AK211+AK229+AK233+AK247+AK251</f>
        <v/>
      </c>
      <c r="AL270" s="44">
        <f>AL137+AL141+AL163+AL167+AL185+AL189+AL207+AL211+AL229+AL233+AL247+AL251</f>
        <v/>
      </c>
      <c r="AM270" s="44">
        <f>AM137+AM141+AM163+AM167+AM185+AM189+AM207+AM211+AM229+AM233+AM247+AM251</f>
        <v/>
      </c>
      <c r="AN270" s="44">
        <f>AN137+AN141+AN163+AN167+AN185+AN189+AN207+AN211+AN229+AN233+AN247+AN251</f>
        <v/>
      </c>
      <c r="AO270" s="44">
        <f>AO137+AO141+AO163+AO167+AO185+AO189+AO207+AO211+AO229+AO233+AO247+AO251</f>
        <v/>
      </c>
      <c r="AP270" s="44">
        <f>AP137+AP141+AP163+AP167+AP185+AP189+AP207+AP211+AP229+AP233+AP247+AP251</f>
        <v/>
      </c>
      <c r="AQ270" s="44">
        <f>AQ137+AQ141+AQ163+AQ167+AQ185+AQ189+AQ207+AQ211+AQ229+AQ233+AQ247+AQ251</f>
        <v/>
      </c>
      <c r="AR270" s="44">
        <f>AR137+AR141+AR163+AR167+AR185+AR189+AR207+AR211+AR229+AR233+AR247+AR251</f>
        <v/>
      </c>
      <c r="AS270" s="44">
        <f>AS137+AS141+AS163+AS167+AS185+AS189+AS207+AS211+AS229+AS233+AS247+AS251</f>
        <v/>
      </c>
      <c r="AT270" s="44">
        <f>AT137+AT141+AT163+AT167+AT185+AT189+AT207+AT211+AT229+AT233+AT247+AT251</f>
        <v/>
      </c>
      <c r="AU270" s="44">
        <f>AU137+AU141+AU163+AU167+AU185+AU189+AU207+AU211+AU229+AU233+AU247+AU251</f>
        <v/>
      </c>
      <c r="AV270" s="44">
        <f>AV137+AV141+AV163+AV167+AV185+AV189+AV207+AV211+AV229+AV233+AV247+AV251</f>
        <v/>
      </c>
      <c r="AW270" s="44">
        <f>AW137+AW141+AW163+AW167+AW185+AW189+AW207+AW211+AW229+AW233+AW247+AW251</f>
        <v/>
      </c>
      <c r="AX270" s="44">
        <f>AX137+AX141+AX163+AX167+AX185+AX189+AX207+AX211+AX229+AX233+AX247+AX251</f>
        <v/>
      </c>
      <c r="AY270" s="44">
        <f>AY137+AY141+AY163+AY167+AY185+AY189+AY207+AY211+AY229+AY233+AY247+AY251</f>
        <v/>
      </c>
      <c r="AZ270" s="44">
        <f>AZ137+AZ141+AZ163+AZ167+AZ185+AZ189+AZ207+AZ211+AZ229+AZ233+AZ247+AZ251</f>
        <v/>
      </c>
      <c r="BA270" s="44">
        <f>BA137+BA141+BA163+BA167+BA185+BA189+BA207+BA211+BA229+BA233+BA247+BA251</f>
        <v/>
      </c>
      <c r="BB270" s="44">
        <f>BB137+BB141+BB163+BB167+BB185+BB189+BB207+BB211+BB229+BB233+BB247+BB251</f>
        <v/>
      </c>
      <c r="BC270" s="44">
        <f>BC137+BC141+BC163+BC167+BC185+BC189+BC207+BC211+BC229+BC233+BC247+BC251</f>
        <v/>
      </c>
      <c r="BD270" s="44">
        <f>BD137+BD141+BD163+BD167+BD185+BD189+BD207+BD211+BD229+BD233+BD247+BD251</f>
        <v/>
      </c>
      <c r="BE270" s="44">
        <f>BE137+BE141+BE163+BE167+BE185+BE189+BE207+BE211+BE229+BE233+BE247+BE251</f>
        <v/>
      </c>
      <c r="BF270" s="44">
        <f>BF137+BF141+BF163+BF167+BF185+BF189+BF207+BF211+BF229+BF233+BF247+BF251</f>
        <v/>
      </c>
      <c r="BG270" s="44">
        <f>BG137+BG141+BG163+BG167+BG185+BG189+BG207+BG211+BG229+BG233+BG247+BG251</f>
        <v/>
      </c>
      <c r="BH270" s="44">
        <f>BH137+BH141+BH163+BH167+BH185+BH189+BH207+BH211+BH229+BH233+BH247+BH251</f>
        <v/>
      </c>
      <c r="BI270" s="44">
        <f>BI137+BI141+BI163+BI167+BI185+BI189+BI207+BI211+BI229+BI233+BI247+BI251</f>
        <v/>
      </c>
      <c r="BJ270" s="44">
        <f>BJ137+BJ141+BJ163+BJ167+BJ185+BJ189+BJ207+BJ211+BJ229+BJ233+BJ247+BJ251</f>
        <v/>
      </c>
    </row>
    <row r="271">
      <c r="A271" s="4" t="inlineStr">
        <is>
          <t>Solo: churned</t>
        </is>
      </c>
      <c r="B271" s="17" t="inlineStr">
        <is>
          <t>workspaces</t>
        </is>
      </c>
      <c r="C271" s="41">
        <f>C135+C140+C161+C166+C183+C188+C205+C210+C227+C232+C245+C250</f>
        <v/>
      </c>
      <c r="D271" s="41">
        <f>D135+D140+D161+D166+D183+D188+D205+D210+D227+D232+D245+D250</f>
        <v/>
      </c>
      <c r="E271" s="41">
        <f>E135+E140+E161+E166+E183+E188+E205+E210+E227+E232+E245+E250</f>
        <v/>
      </c>
      <c r="F271" s="41">
        <f>F135+F140+F161+F166+F183+F188+F205+F210+F227+F232+F245+F250</f>
        <v/>
      </c>
      <c r="G271" s="41">
        <f>G135+G140+G161+G166+G183+G188+G205+G210+G227+G232+G245+G250</f>
        <v/>
      </c>
      <c r="H271" s="41">
        <f>H135+H140+H161+H166+H183+H188+H205+H210+H227+H232+H245+H250</f>
        <v/>
      </c>
      <c r="I271" s="41">
        <f>I135+I140+I161+I166+I183+I188+I205+I210+I227+I232+I245+I250</f>
        <v/>
      </c>
      <c r="J271" s="41">
        <f>J135+J140+J161+J166+J183+J188+J205+J210+J227+J232+J245+J250</f>
        <v/>
      </c>
      <c r="K271" s="41">
        <f>K135+K140+K161+K166+K183+K188+K205+K210+K227+K232+K245+K250</f>
        <v/>
      </c>
      <c r="L271" s="41">
        <f>L135+L140+L161+L166+L183+L188+L205+L210+L227+L232+L245+L250</f>
        <v/>
      </c>
      <c r="M271" s="41">
        <f>M135+M140+M161+M166+M183+M188+M205+M210+M227+M232+M245+M250</f>
        <v/>
      </c>
      <c r="N271" s="41">
        <f>N135+N140+N161+N166+N183+N188+N205+N210+N227+N232+N245+N250</f>
        <v/>
      </c>
      <c r="O271" s="41">
        <f>O135+O140+O161+O166+O183+O188+O205+O210+O227+O232+O245+O250</f>
        <v/>
      </c>
      <c r="P271" s="41">
        <f>P135+P140+P161+P166+P183+P188+P205+P210+P227+P232+P245+P250</f>
        <v/>
      </c>
      <c r="Q271" s="41">
        <f>Q135+Q140+Q161+Q166+Q183+Q188+Q205+Q210+Q227+Q232+Q245+Q250</f>
        <v/>
      </c>
      <c r="R271" s="41">
        <f>R135+R140+R161+R166+R183+R188+R205+R210+R227+R232+R245+R250</f>
        <v/>
      </c>
      <c r="S271" s="41">
        <f>S135+S140+S161+S166+S183+S188+S205+S210+S227+S232+S245+S250</f>
        <v/>
      </c>
      <c r="T271" s="41">
        <f>T135+T140+T161+T166+T183+T188+T205+T210+T227+T232+T245+T250</f>
        <v/>
      </c>
      <c r="U271" s="41">
        <f>U135+U140+U161+U166+U183+U188+U205+U210+U227+U232+U245+U250</f>
        <v/>
      </c>
      <c r="V271" s="41">
        <f>V135+V140+V161+V166+V183+V188+V205+V210+V227+V232+V245+V250</f>
        <v/>
      </c>
      <c r="W271" s="41">
        <f>W135+W140+W161+W166+W183+W188+W205+W210+W227+W232+W245+W250</f>
        <v/>
      </c>
      <c r="X271" s="41">
        <f>X135+X140+X161+X166+X183+X188+X205+X210+X227+X232+X245+X250</f>
        <v/>
      </c>
      <c r="Y271" s="41">
        <f>Y135+Y140+Y161+Y166+Y183+Y188+Y205+Y210+Y227+Y232+Y245+Y250</f>
        <v/>
      </c>
      <c r="Z271" s="41">
        <f>Z135+Z140+Z161+Z166+Z183+Z188+Z205+Z210+Z227+Z232+Z245+Z250</f>
        <v/>
      </c>
      <c r="AA271" s="41">
        <f>AA135+AA140+AA161+AA166+AA183+AA188+AA205+AA210+AA227+AA232+AA245+AA250</f>
        <v/>
      </c>
      <c r="AB271" s="41">
        <f>AB135+AB140+AB161+AB166+AB183+AB188+AB205+AB210+AB227+AB232+AB245+AB250</f>
        <v/>
      </c>
      <c r="AC271" s="41">
        <f>AC135+AC140+AC161+AC166+AC183+AC188+AC205+AC210+AC227+AC232+AC245+AC250</f>
        <v/>
      </c>
      <c r="AD271" s="41">
        <f>AD135+AD140+AD161+AD166+AD183+AD188+AD205+AD210+AD227+AD232+AD245+AD250</f>
        <v/>
      </c>
      <c r="AE271" s="41">
        <f>AE135+AE140+AE161+AE166+AE183+AE188+AE205+AE210+AE227+AE232+AE245+AE250</f>
        <v/>
      </c>
      <c r="AF271" s="41">
        <f>AF135+AF140+AF161+AF166+AF183+AF188+AF205+AF210+AF227+AF232+AF245+AF250</f>
        <v/>
      </c>
      <c r="AG271" s="41">
        <f>AG135+AG140+AG161+AG166+AG183+AG188+AG205+AG210+AG227+AG232+AG245+AG250</f>
        <v/>
      </c>
      <c r="AH271" s="41">
        <f>AH135+AH140+AH161+AH166+AH183+AH188+AH205+AH210+AH227+AH232+AH245+AH250</f>
        <v/>
      </c>
      <c r="AI271" s="41">
        <f>AI135+AI140+AI161+AI166+AI183+AI188+AI205+AI210+AI227+AI232+AI245+AI250</f>
        <v/>
      </c>
      <c r="AJ271" s="41">
        <f>AJ135+AJ140+AJ161+AJ166+AJ183+AJ188+AJ205+AJ210+AJ227+AJ232+AJ245+AJ250</f>
        <v/>
      </c>
      <c r="AK271" s="41">
        <f>AK135+AK140+AK161+AK166+AK183+AK188+AK205+AK210+AK227+AK232+AK245+AK250</f>
        <v/>
      </c>
      <c r="AL271" s="41">
        <f>AL135+AL140+AL161+AL166+AL183+AL188+AL205+AL210+AL227+AL232+AL245+AL250</f>
        <v/>
      </c>
      <c r="AM271" s="41">
        <f>AM135+AM140+AM161+AM166+AM183+AM188+AM205+AM210+AM227+AM232+AM245+AM250</f>
        <v/>
      </c>
      <c r="AN271" s="41">
        <f>AN135+AN140+AN161+AN166+AN183+AN188+AN205+AN210+AN227+AN232+AN245+AN250</f>
        <v/>
      </c>
      <c r="AO271" s="41">
        <f>AO135+AO140+AO161+AO166+AO183+AO188+AO205+AO210+AO227+AO232+AO245+AO250</f>
        <v/>
      </c>
      <c r="AP271" s="41">
        <f>AP135+AP140+AP161+AP166+AP183+AP188+AP205+AP210+AP227+AP232+AP245+AP250</f>
        <v/>
      </c>
      <c r="AQ271" s="41">
        <f>AQ135+AQ140+AQ161+AQ166+AQ183+AQ188+AQ205+AQ210+AQ227+AQ232+AQ245+AQ250</f>
        <v/>
      </c>
      <c r="AR271" s="41">
        <f>AR135+AR140+AR161+AR166+AR183+AR188+AR205+AR210+AR227+AR232+AR245+AR250</f>
        <v/>
      </c>
      <c r="AS271" s="41">
        <f>AS135+AS140+AS161+AS166+AS183+AS188+AS205+AS210+AS227+AS232+AS245+AS250</f>
        <v/>
      </c>
      <c r="AT271" s="41">
        <f>AT135+AT140+AT161+AT166+AT183+AT188+AT205+AT210+AT227+AT232+AT245+AT250</f>
        <v/>
      </c>
      <c r="AU271" s="41">
        <f>AU135+AU140+AU161+AU166+AU183+AU188+AU205+AU210+AU227+AU232+AU245+AU250</f>
        <v/>
      </c>
      <c r="AV271" s="41">
        <f>AV135+AV140+AV161+AV166+AV183+AV188+AV205+AV210+AV227+AV232+AV245+AV250</f>
        <v/>
      </c>
      <c r="AW271" s="41">
        <f>AW135+AW140+AW161+AW166+AW183+AW188+AW205+AW210+AW227+AW232+AW245+AW250</f>
        <v/>
      </c>
      <c r="AX271" s="41">
        <f>AX135+AX140+AX161+AX166+AX183+AX188+AX205+AX210+AX227+AX232+AX245+AX250</f>
        <v/>
      </c>
      <c r="AY271" s="41">
        <f>AY135+AY140+AY161+AY166+AY183+AY188+AY205+AY210+AY227+AY232+AY245+AY250</f>
        <v/>
      </c>
      <c r="AZ271" s="41">
        <f>AZ135+AZ140+AZ161+AZ166+AZ183+AZ188+AZ205+AZ210+AZ227+AZ232+AZ245+AZ250</f>
        <v/>
      </c>
      <c r="BA271" s="41">
        <f>BA135+BA140+BA161+BA166+BA183+BA188+BA205+BA210+BA227+BA232+BA245+BA250</f>
        <v/>
      </c>
      <c r="BB271" s="41">
        <f>BB135+BB140+BB161+BB166+BB183+BB188+BB205+BB210+BB227+BB232+BB245+BB250</f>
        <v/>
      </c>
      <c r="BC271" s="41">
        <f>BC135+BC140+BC161+BC166+BC183+BC188+BC205+BC210+BC227+BC232+BC245+BC250</f>
        <v/>
      </c>
      <c r="BD271" s="41">
        <f>BD135+BD140+BD161+BD166+BD183+BD188+BD205+BD210+BD227+BD232+BD245+BD250</f>
        <v/>
      </c>
      <c r="BE271" s="41">
        <f>BE135+BE140+BE161+BE166+BE183+BE188+BE205+BE210+BE227+BE232+BE245+BE250</f>
        <v/>
      </c>
      <c r="BF271" s="41">
        <f>BF135+BF140+BF161+BF166+BF183+BF188+BF205+BF210+BF227+BF232+BF245+BF250</f>
        <v/>
      </c>
      <c r="BG271" s="41">
        <f>BG135+BG140+BG161+BG166+BG183+BG188+BG205+BG210+BG227+BG232+BG245+BG250</f>
        <v/>
      </c>
      <c r="BH271" s="41">
        <f>BH135+BH140+BH161+BH166+BH183+BH188+BH205+BH210+BH227+BH232+BH245+BH250</f>
        <v/>
      </c>
      <c r="BI271" s="41">
        <f>BI135+BI140+BI161+BI166+BI183+BI188+BI205+BI210+BI227+BI232+BI245+BI250</f>
        <v/>
      </c>
      <c r="BJ271" s="41">
        <f>BJ135+BJ140+BJ161+BJ166+BJ183+BJ188+BJ205+BJ210+BJ227+BJ232+BJ245+BJ250</f>
        <v/>
      </c>
    </row>
    <row r="272">
      <c r="A272" s="4" t="inlineStr">
        <is>
          <t>Solo: new customers acquired (excl. upgrades)</t>
        </is>
      </c>
      <c r="B272" s="17" t="inlineStr">
        <is>
          <t>workspaces</t>
        </is>
      </c>
      <c r="C272" s="41">
        <f>C134+C139+C160+C165+C182+C187+C204+C209+C226+C231+C244+C249-C136-C162-C184-C206-C228-C246</f>
        <v/>
      </c>
      <c r="D272" s="41">
        <f>D134+D139+D160+D165+D182+D187+D204+D209+D226+D231+D244+D249-D136-D162-D184-D206-D228-D246</f>
        <v/>
      </c>
      <c r="E272" s="41">
        <f>E134+E139+E160+E165+E182+E187+E204+E209+E226+E231+E244+E249-E136-E162-E184-E206-E228-E246</f>
        <v/>
      </c>
      <c r="F272" s="41">
        <f>F134+F139+F160+F165+F182+F187+F204+F209+F226+F231+F244+F249-F136-F162-F184-F206-F228-F246</f>
        <v/>
      </c>
      <c r="G272" s="41">
        <f>G134+G139+G160+G165+G182+G187+G204+G209+G226+G231+G244+G249-G136-G162-G184-G206-G228-G246</f>
        <v/>
      </c>
      <c r="H272" s="41">
        <f>H134+H139+H160+H165+H182+H187+H204+H209+H226+H231+H244+H249-H136-H162-H184-H206-H228-H246</f>
        <v/>
      </c>
      <c r="I272" s="41">
        <f>I134+I139+I160+I165+I182+I187+I204+I209+I226+I231+I244+I249-I136-I162-I184-I206-I228-I246</f>
        <v/>
      </c>
      <c r="J272" s="41">
        <f>J134+J139+J160+J165+J182+J187+J204+J209+J226+J231+J244+J249-J136-J162-J184-J206-J228-J246</f>
        <v/>
      </c>
      <c r="K272" s="41">
        <f>K134+K139+K160+K165+K182+K187+K204+K209+K226+K231+K244+K249-K136-K162-K184-K206-K228-K246</f>
        <v/>
      </c>
      <c r="L272" s="41">
        <f>L134+L139+L160+L165+L182+L187+L204+L209+L226+L231+L244+L249-L136-L162-L184-L206-L228-L246</f>
        <v/>
      </c>
      <c r="M272" s="41">
        <f>M134+M139+M160+M165+M182+M187+M204+M209+M226+M231+M244+M249-M136-M162-M184-M206-M228-M246</f>
        <v/>
      </c>
      <c r="N272" s="41">
        <f>N134+N139+N160+N165+N182+N187+N204+N209+N226+N231+N244+N249-N136-N162-N184-N206-N228-N246</f>
        <v/>
      </c>
      <c r="O272" s="41">
        <f>O134+O139+O160+O165+O182+O187+O204+O209+O226+O231+O244+O249-O136-O162-O184-O206-O228-O246</f>
        <v/>
      </c>
      <c r="P272" s="41">
        <f>P134+P139+P160+P165+P182+P187+P204+P209+P226+P231+P244+P249-P136-P162-P184-P206-P228-P246</f>
        <v/>
      </c>
      <c r="Q272" s="41">
        <f>Q134+Q139+Q160+Q165+Q182+Q187+Q204+Q209+Q226+Q231+Q244+Q249-Q136-Q162-Q184-Q206-Q228-Q246</f>
        <v/>
      </c>
      <c r="R272" s="41">
        <f>R134+R139+R160+R165+R182+R187+R204+R209+R226+R231+R244+R249-R136-R162-R184-R206-R228-R246</f>
        <v/>
      </c>
      <c r="S272" s="41">
        <f>S134+S139+S160+S165+S182+S187+S204+S209+S226+S231+S244+S249-S136-S162-S184-S206-S228-S246</f>
        <v/>
      </c>
      <c r="T272" s="41">
        <f>T134+T139+T160+T165+T182+T187+T204+T209+T226+T231+T244+T249-T136-T162-T184-T206-T228-T246</f>
        <v/>
      </c>
      <c r="U272" s="41">
        <f>U134+U139+U160+U165+U182+U187+U204+U209+U226+U231+U244+U249-U136-U162-U184-U206-U228-U246</f>
        <v/>
      </c>
      <c r="V272" s="41">
        <f>V134+V139+V160+V165+V182+V187+V204+V209+V226+V231+V244+V249-V136-V162-V184-V206-V228-V246</f>
        <v/>
      </c>
      <c r="W272" s="41">
        <f>W134+W139+W160+W165+W182+W187+W204+W209+W226+W231+W244+W249-W136-W162-W184-W206-W228-W246</f>
        <v/>
      </c>
      <c r="X272" s="41">
        <f>X134+X139+X160+X165+X182+X187+X204+X209+X226+X231+X244+X249-X136-X162-X184-X206-X228-X246</f>
        <v/>
      </c>
      <c r="Y272" s="41">
        <f>Y134+Y139+Y160+Y165+Y182+Y187+Y204+Y209+Y226+Y231+Y244+Y249-Y136-Y162-Y184-Y206-Y228-Y246</f>
        <v/>
      </c>
      <c r="Z272" s="41">
        <f>Z134+Z139+Z160+Z165+Z182+Z187+Z204+Z209+Z226+Z231+Z244+Z249-Z136-Z162-Z184-Z206-Z228-Z246</f>
        <v/>
      </c>
      <c r="AA272" s="41">
        <f>AA134+AA139+AA160+AA165+AA182+AA187+AA204+AA209+AA226+AA231+AA244+AA249-AA136-AA162-AA184-AA206-AA228-AA246</f>
        <v/>
      </c>
      <c r="AB272" s="41">
        <f>AB134+AB139+AB160+AB165+AB182+AB187+AB204+AB209+AB226+AB231+AB244+AB249-AB136-AB162-AB184-AB206-AB228-AB246</f>
        <v/>
      </c>
      <c r="AC272" s="41">
        <f>AC134+AC139+AC160+AC165+AC182+AC187+AC204+AC209+AC226+AC231+AC244+AC249-AC136-AC162-AC184-AC206-AC228-AC246</f>
        <v/>
      </c>
      <c r="AD272" s="41">
        <f>AD134+AD139+AD160+AD165+AD182+AD187+AD204+AD209+AD226+AD231+AD244+AD249-AD136-AD162-AD184-AD206-AD228-AD246</f>
        <v/>
      </c>
      <c r="AE272" s="41">
        <f>AE134+AE139+AE160+AE165+AE182+AE187+AE204+AE209+AE226+AE231+AE244+AE249-AE136-AE162-AE184-AE206-AE228-AE246</f>
        <v/>
      </c>
      <c r="AF272" s="41">
        <f>AF134+AF139+AF160+AF165+AF182+AF187+AF204+AF209+AF226+AF231+AF244+AF249-AF136-AF162-AF184-AF206-AF228-AF246</f>
        <v/>
      </c>
      <c r="AG272" s="41">
        <f>AG134+AG139+AG160+AG165+AG182+AG187+AG204+AG209+AG226+AG231+AG244+AG249-AG136-AG162-AG184-AG206-AG228-AG246</f>
        <v/>
      </c>
      <c r="AH272" s="41">
        <f>AH134+AH139+AH160+AH165+AH182+AH187+AH204+AH209+AH226+AH231+AH244+AH249-AH136-AH162-AH184-AH206-AH228-AH246</f>
        <v/>
      </c>
      <c r="AI272" s="41">
        <f>AI134+AI139+AI160+AI165+AI182+AI187+AI204+AI209+AI226+AI231+AI244+AI249-AI136-AI162-AI184-AI206-AI228-AI246</f>
        <v/>
      </c>
      <c r="AJ272" s="41">
        <f>AJ134+AJ139+AJ160+AJ165+AJ182+AJ187+AJ204+AJ209+AJ226+AJ231+AJ244+AJ249-AJ136-AJ162-AJ184-AJ206-AJ228-AJ246</f>
        <v/>
      </c>
      <c r="AK272" s="41">
        <f>AK134+AK139+AK160+AK165+AK182+AK187+AK204+AK209+AK226+AK231+AK244+AK249-AK136-AK162-AK184-AK206-AK228-AK246</f>
        <v/>
      </c>
      <c r="AL272" s="41">
        <f>AL134+AL139+AL160+AL165+AL182+AL187+AL204+AL209+AL226+AL231+AL244+AL249-AL136-AL162-AL184-AL206-AL228-AL246</f>
        <v/>
      </c>
      <c r="AM272" s="41">
        <f>AM134+AM139+AM160+AM165+AM182+AM187+AM204+AM209+AM226+AM231+AM244+AM249-AM136-AM162-AM184-AM206-AM228-AM246</f>
        <v/>
      </c>
      <c r="AN272" s="41">
        <f>AN134+AN139+AN160+AN165+AN182+AN187+AN204+AN209+AN226+AN231+AN244+AN249-AN136-AN162-AN184-AN206-AN228-AN246</f>
        <v/>
      </c>
      <c r="AO272" s="41">
        <f>AO134+AO139+AO160+AO165+AO182+AO187+AO204+AO209+AO226+AO231+AO244+AO249-AO136-AO162-AO184-AO206-AO228-AO246</f>
        <v/>
      </c>
      <c r="AP272" s="41">
        <f>AP134+AP139+AP160+AP165+AP182+AP187+AP204+AP209+AP226+AP231+AP244+AP249-AP136-AP162-AP184-AP206-AP228-AP246</f>
        <v/>
      </c>
      <c r="AQ272" s="41">
        <f>AQ134+AQ139+AQ160+AQ165+AQ182+AQ187+AQ204+AQ209+AQ226+AQ231+AQ244+AQ249-AQ136-AQ162-AQ184-AQ206-AQ228-AQ246</f>
        <v/>
      </c>
      <c r="AR272" s="41">
        <f>AR134+AR139+AR160+AR165+AR182+AR187+AR204+AR209+AR226+AR231+AR244+AR249-AR136-AR162-AR184-AR206-AR228-AR246</f>
        <v/>
      </c>
      <c r="AS272" s="41">
        <f>AS134+AS139+AS160+AS165+AS182+AS187+AS204+AS209+AS226+AS231+AS244+AS249-AS136-AS162-AS184-AS206-AS228-AS246</f>
        <v/>
      </c>
      <c r="AT272" s="41">
        <f>AT134+AT139+AT160+AT165+AT182+AT187+AT204+AT209+AT226+AT231+AT244+AT249-AT136-AT162-AT184-AT206-AT228-AT246</f>
        <v/>
      </c>
      <c r="AU272" s="41">
        <f>AU134+AU139+AU160+AU165+AU182+AU187+AU204+AU209+AU226+AU231+AU244+AU249-AU136-AU162-AU184-AU206-AU228-AU246</f>
        <v/>
      </c>
      <c r="AV272" s="41">
        <f>AV134+AV139+AV160+AV165+AV182+AV187+AV204+AV209+AV226+AV231+AV244+AV249-AV136-AV162-AV184-AV206-AV228-AV246</f>
        <v/>
      </c>
      <c r="AW272" s="41">
        <f>AW134+AW139+AW160+AW165+AW182+AW187+AW204+AW209+AW226+AW231+AW244+AW249-AW136-AW162-AW184-AW206-AW228-AW246</f>
        <v/>
      </c>
      <c r="AX272" s="41">
        <f>AX134+AX139+AX160+AX165+AX182+AX187+AX204+AX209+AX226+AX231+AX244+AX249-AX136-AX162-AX184-AX206-AX228-AX246</f>
        <v/>
      </c>
      <c r="AY272" s="41">
        <f>AY134+AY139+AY160+AY165+AY182+AY187+AY204+AY209+AY226+AY231+AY244+AY249-AY136-AY162-AY184-AY206-AY228-AY246</f>
        <v/>
      </c>
      <c r="AZ272" s="41">
        <f>AZ134+AZ139+AZ160+AZ165+AZ182+AZ187+AZ204+AZ209+AZ226+AZ231+AZ244+AZ249-AZ136-AZ162-AZ184-AZ206-AZ228-AZ246</f>
        <v/>
      </c>
      <c r="BA272" s="41">
        <f>BA134+BA139+BA160+BA165+BA182+BA187+BA204+BA209+BA226+BA231+BA244+BA249-BA136-BA162-BA184-BA206-BA228-BA246</f>
        <v/>
      </c>
      <c r="BB272" s="41">
        <f>BB134+BB139+BB160+BB165+BB182+BB187+BB204+BB209+BB226+BB231+BB244+BB249-BB136-BB162-BB184-BB206-BB228-BB246</f>
        <v/>
      </c>
      <c r="BC272" s="41">
        <f>BC134+BC139+BC160+BC165+BC182+BC187+BC204+BC209+BC226+BC231+BC244+BC249-BC136-BC162-BC184-BC206-BC228-BC246</f>
        <v/>
      </c>
      <c r="BD272" s="41">
        <f>BD134+BD139+BD160+BD165+BD182+BD187+BD204+BD209+BD226+BD231+BD244+BD249-BD136-BD162-BD184-BD206-BD228-BD246</f>
        <v/>
      </c>
      <c r="BE272" s="41">
        <f>BE134+BE139+BE160+BE165+BE182+BE187+BE204+BE209+BE226+BE231+BE244+BE249-BE136-BE162-BE184-BE206-BE228-BE246</f>
        <v/>
      </c>
      <c r="BF272" s="41">
        <f>BF134+BF139+BF160+BF165+BF182+BF187+BF204+BF209+BF226+BF231+BF244+BF249-BF136-BF162-BF184-BF206-BF228-BF246</f>
        <v/>
      </c>
      <c r="BG272" s="41">
        <f>BG134+BG139+BG160+BG165+BG182+BG187+BG204+BG209+BG226+BG231+BG244+BG249-BG136-BG162-BG184-BG206-BG228-BG246</f>
        <v/>
      </c>
      <c r="BH272" s="41">
        <f>BH134+BH139+BH160+BH165+BH182+BH187+BH204+BH209+BH226+BH231+BH244+BH249-BH136-BH162-BH184-BH206-BH228-BH246</f>
        <v/>
      </c>
      <c r="BI272" s="41">
        <f>BI134+BI139+BI160+BI165+BI182+BI187+BI204+BI209+BI226+BI231+BI244+BI249-BI136-BI162-BI184-BI206-BI228-BI246</f>
        <v/>
      </c>
      <c r="BJ272" s="41">
        <f>BJ134+BJ139+BJ160+BJ165+BJ182+BJ187+BJ204+BJ209+BJ226+BJ231+BJ244+BJ249-BJ136-BJ162-BJ184-BJ206-BJ228-BJ246</f>
        <v/>
      </c>
    </row>
    <row r="273">
      <c r="A273" s="4" t="inlineStr">
        <is>
          <t>SMEs: opening</t>
        </is>
      </c>
      <c r="B273" s="17" t="inlineStr">
        <is>
          <t>workspaces</t>
        </is>
      </c>
      <c r="C273" s="41">
        <f>C142+C147+C168+C173+C190+C195+C212+C217+C234+C239+C252+C257</f>
        <v/>
      </c>
      <c r="D273" s="41">
        <f>D142+D147+D168+D173+D190+D195+D212+D217+D234+D239+D252+D257</f>
        <v/>
      </c>
      <c r="E273" s="41">
        <f>E142+E147+E168+E173+E190+E195+E212+E217+E234+E239+E252+E257</f>
        <v/>
      </c>
      <c r="F273" s="41">
        <f>F142+F147+F168+F173+F190+F195+F212+F217+F234+F239+F252+F257</f>
        <v/>
      </c>
      <c r="G273" s="41">
        <f>G142+G147+G168+G173+G190+G195+G212+G217+G234+G239+G252+G257</f>
        <v/>
      </c>
      <c r="H273" s="41">
        <f>H142+H147+H168+H173+H190+H195+H212+H217+H234+H239+H252+H257</f>
        <v/>
      </c>
      <c r="I273" s="41">
        <f>I142+I147+I168+I173+I190+I195+I212+I217+I234+I239+I252+I257</f>
        <v/>
      </c>
      <c r="J273" s="41">
        <f>J142+J147+J168+J173+J190+J195+J212+J217+J234+J239+J252+J257</f>
        <v/>
      </c>
      <c r="K273" s="41">
        <f>K142+K147+K168+K173+K190+K195+K212+K217+K234+K239+K252+K257</f>
        <v/>
      </c>
      <c r="L273" s="41">
        <f>L142+L147+L168+L173+L190+L195+L212+L217+L234+L239+L252+L257</f>
        <v/>
      </c>
      <c r="M273" s="41">
        <f>M142+M147+M168+M173+M190+M195+M212+M217+M234+M239+M252+M257</f>
        <v/>
      </c>
      <c r="N273" s="41">
        <f>N142+N147+N168+N173+N190+N195+N212+N217+N234+N239+N252+N257</f>
        <v/>
      </c>
      <c r="O273" s="41">
        <f>O142+O147+O168+O173+O190+O195+O212+O217+O234+O239+O252+O257</f>
        <v/>
      </c>
      <c r="P273" s="41">
        <f>P142+P147+P168+P173+P190+P195+P212+P217+P234+P239+P252+P257</f>
        <v/>
      </c>
      <c r="Q273" s="41">
        <f>Q142+Q147+Q168+Q173+Q190+Q195+Q212+Q217+Q234+Q239+Q252+Q257</f>
        <v/>
      </c>
      <c r="R273" s="41">
        <f>R142+R147+R168+R173+R190+R195+R212+R217+R234+R239+R252+R257</f>
        <v/>
      </c>
      <c r="S273" s="41">
        <f>S142+S147+S168+S173+S190+S195+S212+S217+S234+S239+S252+S257</f>
        <v/>
      </c>
      <c r="T273" s="41">
        <f>T142+T147+T168+T173+T190+T195+T212+T217+T234+T239+T252+T257</f>
        <v/>
      </c>
      <c r="U273" s="41">
        <f>U142+U147+U168+U173+U190+U195+U212+U217+U234+U239+U252+U257</f>
        <v/>
      </c>
      <c r="V273" s="41">
        <f>V142+V147+V168+V173+V190+V195+V212+V217+V234+V239+V252+V257</f>
        <v/>
      </c>
      <c r="W273" s="41">
        <f>W142+W147+W168+W173+W190+W195+W212+W217+W234+W239+W252+W257</f>
        <v/>
      </c>
      <c r="X273" s="41">
        <f>X142+X147+X168+X173+X190+X195+X212+X217+X234+X239+X252+X257</f>
        <v/>
      </c>
      <c r="Y273" s="41">
        <f>Y142+Y147+Y168+Y173+Y190+Y195+Y212+Y217+Y234+Y239+Y252+Y257</f>
        <v/>
      </c>
      <c r="Z273" s="41">
        <f>Z142+Z147+Z168+Z173+Z190+Z195+Z212+Z217+Z234+Z239+Z252+Z257</f>
        <v/>
      </c>
      <c r="AA273" s="41">
        <f>AA142+AA147+AA168+AA173+AA190+AA195+AA212+AA217+AA234+AA239+AA252+AA257</f>
        <v/>
      </c>
      <c r="AB273" s="41">
        <f>AB142+AB147+AB168+AB173+AB190+AB195+AB212+AB217+AB234+AB239+AB252+AB257</f>
        <v/>
      </c>
      <c r="AC273" s="41">
        <f>AC142+AC147+AC168+AC173+AC190+AC195+AC212+AC217+AC234+AC239+AC252+AC257</f>
        <v/>
      </c>
      <c r="AD273" s="41">
        <f>AD142+AD147+AD168+AD173+AD190+AD195+AD212+AD217+AD234+AD239+AD252+AD257</f>
        <v/>
      </c>
      <c r="AE273" s="41">
        <f>AE142+AE147+AE168+AE173+AE190+AE195+AE212+AE217+AE234+AE239+AE252+AE257</f>
        <v/>
      </c>
      <c r="AF273" s="41">
        <f>AF142+AF147+AF168+AF173+AF190+AF195+AF212+AF217+AF234+AF239+AF252+AF257</f>
        <v/>
      </c>
      <c r="AG273" s="41">
        <f>AG142+AG147+AG168+AG173+AG190+AG195+AG212+AG217+AG234+AG239+AG252+AG257</f>
        <v/>
      </c>
      <c r="AH273" s="41">
        <f>AH142+AH147+AH168+AH173+AH190+AH195+AH212+AH217+AH234+AH239+AH252+AH257</f>
        <v/>
      </c>
      <c r="AI273" s="41">
        <f>AI142+AI147+AI168+AI173+AI190+AI195+AI212+AI217+AI234+AI239+AI252+AI257</f>
        <v/>
      </c>
      <c r="AJ273" s="41">
        <f>AJ142+AJ147+AJ168+AJ173+AJ190+AJ195+AJ212+AJ217+AJ234+AJ239+AJ252+AJ257</f>
        <v/>
      </c>
      <c r="AK273" s="41">
        <f>AK142+AK147+AK168+AK173+AK190+AK195+AK212+AK217+AK234+AK239+AK252+AK257</f>
        <v/>
      </c>
      <c r="AL273" s="41">
        <f>AL142+AL147+AL168+AL173+AL190+AL195+AL212+AL217+AL234+AL239+AL252+AL257</f>
        <v/>
      </c>
      <c r="AM273" s="41">
        <f>AM142+AM147+AM168+AM173+AM190+AM195+AM212+AM217+AM234+AM239+AM252+AM257</f>
        <v/>
      </c>
      <c r="AN273" s="41">
        <f>AN142+AN147+AN168+AN173+AN190+AN195+AN212+AN217+AN234+AN239+AN252+AN257</f>
        <v/>
      </c>
      <c r="AO273" s="41">
        <f>AO142+AO147+AO168+AO173+AO190+AO195+AO212+AO217+AO234+AO239+AO252+AO257</f>
        <v/>
      </c>
      <c r="AP273" s="41">
        <f>AP142+AP147+AP168+AP173+AP190+AP195+AP212+AP217+AP234+AP239+AP252+AP257</f>
        <v/>
      </c>
      <c r="AQ273" s="41">
        <f>AQ142+AQ147+AQ168+AQ173+AQ190+AQ195+AQ212+AQ217+AQ234+AQ239+AQ252+AQ257</f>
        <v/>
      </c>
      <c r="AR273" s="41">
        <f>AR142+AR147+AR168+AR173+AR190+AR195+AR212+AR217+AR234+AR239+AR252+AR257</f>
        <v/>
      </c>
      <c r="AS273" s="41">
        <f>AS142+AS147+AS168+AS173+AS190+AS195+AS212+AS217+AS234+AS239+AS252+AS257</f>
        <v/>
      </c>
      <c r="AT273" s="41">
        <f>AT142+AT147+AT168+AT173+AT190+AT195+AT212+AT217+AT234+AT239+AT252+AT257</f>
        <v/>
      </c>
      <c r="AU273" s="41">
        <f>AU142+AU147+AU168+AU173+AU190+AU195+AU212+AU217+AU234+AU239+AU252+AU257</f>
        <v/>
      </c>
      <c r="AV273" s="41">
        <f>AV142+AV147+AV168+AV173+AV190+AV195+AV212+AV217+AV234+AV239+AV252+AV257</f>
        <v/>
      </c>
      <c r="AW273" s="41">
        <f>AW142+AW147+AW168+AW173+AW190+AW195+AW212+AW217+AW234+AW239+AW252+AW257</f>
        <v/>
      </c>
      <c r="AX273" s="41">
        <f>AX142+AX147+AX168+AX173+AX190+AX195+AX212+AX217+AX234+AX239+AX252+AX257</f>
        <v/>
      </c>
      <c r="AY273" s="41">
        <f>AY142+AY147+AY168+AY173+AY190+AY195+AY212+AY217+AY234+AY239+AY252+AY257</f>
        <v/>
      </c>
      <c r="AZ273" s="41">
        <f>AZ142+AZ147+AZ168+AZ173+AZ190+AZ195+AZ212+AZ217+AZ234+AZ239+AZ252+AZ257</f>
        <v/>
      </c>
      <c r="BA273" s="41">
        <f>BA142+BA147+BA168+BA173+BA190+BA195+BA212+BA217+BA234+BA239+BA252+BA257</f>
        <v/>
      </c>
      <c r="BB273" s="41">
        <f>BB142+BB147+BB168+BB173+BB190+BB195+BB212+BB217+BB234+BB239+BB252+BB257</f>
        <v/>
      </c>
      <c r="BC273" s="41">
        <f>BC142+BC147+BC168+BC173+BC190+BC195+BC212+BC217+BC234+BC239+BC252+BC257</f>
        <v/>
      </c>
      <c r="BD273" s="41">
        <f>BD142+BD147+BD168+BD173+BD190+BD195+BD212+BD217+BD234+BD239+BD252+BD257</f>
        <v/>
      </c>
      <c r="BE273" s="41">
        <f>BE142+BE147+BE168+BE173+BE190+BE195+BE212+BE217+BE234+BE239+BE252+BE257</f>
        <v/>
      </c>
      <c r="BF273" s="41">
        <f>BF142+BF147+BF168+BF173+BF190+BF195+BF212+BF217+BF234+BF239+BF252+BF257</f>
        <v/>
      </c>
      <c r="BG273" s="41">
        <f>BG142+BG147+BG168+BG173+BG190+BG195+BG212+BG217+BG234+BG239+BG252+BG257</f>
        <v/>
      </c>
      <c r="BH273" s="41">
        <f>BH142+BH147+BH168+BH173+BH190+BH195+BH212+BH217+BH234+BH239+BH252+BH257</f>
        <v/>
      </c>
      <c r="BI273" s="41">
        <f>BI142+BI147+BI168+BI173+BI190+BI195+BI212+BI217+BI234+BI239+BI252+BI257</f>
        <v/>
      </c>
      <c r="BJ273" s="41">
        <f>BJ142+BJ147+BJ168+BJ173+BJ190+BJ195+BJ212+BJ217+BJ234+BJ239+BJ252+BJ257</f>
        <v/>
      </c>
    </row>
    <row r="274">
      <c r="A274" s="3" t="inlineStr">
        <is>
          <t>SMEs: closing</t>
        </is>
      </c>
      <c r="B274" s="17" t="inlineStr">
        <is>
          <t>workspaces</t>
        </is>
      </c>
      <c r="C274" s="44">
        <f>C146+C150+C172+C176+C194+C198+C216+C220+C238+C242+C256+C260</f>
        <v/>
      </c>
      <c r="D274" s="44">
        <f>D146+D150+D172+D176+D194+D198+D216+D220+D238+D242+D256+D260</f>
        <v/>
      </c>
      <c r="E274" s="44">
        <f>E146+E150+E172+E176+E194+E198+E216+E220+E238+E242+E256+E260</f>
        <v/>
      </c>
      <c r="F274" s="44">
        <f>F146+F150+F172+F176+F194+F198+F216+F220+F238+F242+F256+F260</f>
        <v/>
      </c>
      <c r="G274" s="44">
        <f>G146+G150+G172+G176+G194+G198+G216+G220+G238+G242+G256+G260</f>
        <v/>
      </c>
      <c r="H274" s="44">
        <f>H146+H150+H172+H176+H194+H198+H216+H220+H238+H242+H256+H260</f>
        <v/>
      </c>
      <c r="I274" s="44">
        <f>I146+I150+I172+I176+I194+I198+I216+I220+I238+I242+I256+I260</f>
        <v/>
      </c>
      <c r="J274" s="44">
        <f>J146+J150+J172+J176+J194+J198+J216+J220+J238+J242+J256+J260</f>
        <v/>
      </c>
      <c r="K274" s="44">
        <f>K146+K150+K172+K176+K194+K198+K216+K220+K238+K242+K256+K260</f>
        <v/>
      </c>
      <c r="L274" s="44">
        <f>L146+L150+L172+L176+L194+L198+L216+L220+L238+L242+L256+L260</f>
        <v/>
      </c>
      <c r="M274" s="44">
        <f>M146+M150+M172+M176+M194+M198+M216+M220+M238+M242+M256+M260</f>
        <v/>
      </c>
      <c r="N274" s="44">
        <f>N146+N150+N172+N176+N194+N198+N216+N220+N238+N242+N256+N260</f>
        <v/>
      </c>
      <c r="O274" s="44">
        <f>O146+O150+O172+O176+O194+O198+O216+O220+O238+O242+O256+O260</f>
        <v/>
      </c>
      <c r="P274" s="44">
        <f>P146+P150+P172+P176+P194+P198+P216+P220+P238+P242+P256+P260</f>
        <v/>
      </c>
      <c r="Q274" s="44">
        <f>Q146+Q150+Q172+Q176+Q194+Q198+Q216+Q220+Q238+Q242+Q256+Q260</f>
        <v/>
      </c>
      <c r="R274" s="44">
        <f>R146+R150+R172+R176+R194+R198+R216+R220+R238+R242+R256+R260</f>
        <v/>
      </c>
      <c r="S274" s="44">
        <f>S146+S150+S172+S176+S194+S198+S216+S220+S238+S242+S256+S260</f>
        <v/>
      </c>
      <c r="T274" s="44">
        <f>T146+T150+T172+T176+T194+T198+T216+T220+T238+T242+T256+T260</f>
        <v/>
      </c>
      <c r="U274" s="44">
        <f>U146+U150+U172+U176+U194+U198+U216+U220+U238+U242+U256+U260</f>
        <v/>
      </c>
      <c r="V274" s="44">
        <f>V146+V150+V172+V176+V194+V198+V216+V220+V238+V242+V256+V260</f>
        <v/>
      </c>
      <c r="W274" s="44">
        <f>W146+W150+W172+W176+W194+W198+W216+W220+W238+W242+W256+W260</f>
        <v/>
      </c>
      <c r="X274" s="44">
        <f>X146+X150+X172+X176+X194+X198+X216+X220+X238+X242+X256+X260</f>
        <v/>
      </c>
      <c r="Y274" s="44">
        <f>Y146+Y150+Y172+Y176+Y194+Y198+Y216+Y220+Y238+Y242+Y256+Y260</f>
        <v/>
      </c>
      <c r="Z274" s="44">
        <f>Z146+Z150+Z172+Z176+Z194+Z198+Z216+Z220+Z238+Z242+Z256+Z260</f>
        <v/>
      </c>
      <c r="AA274" s="44">
        <f>AA146+AA150+AA172+AA176+AA194+AA198+AA216+AA220+AA238+AA242+AA256+AA260</f>
        <v/>
      </c>
      <c r="AB274" s="44">
        <f>AB146+AB150+AB172+AB176+AB194+AB198+AB216+AB220+AB238+AB242+AB256+AB260</f>
        <v/>
      </c>
      <c r="AC274" s="44">
        <f>AC146+AC150+AC172+AC176+AC194+AC198+AC216+AC220+AC238+AC242+AC256+AC260</f>
        <v/>
      </c>
      <c r="AD274" s="44">
        <f>AD146+AD150+AD172+AD176+AD194+AD198+AD216+AD220+AD238+AD242+AD256+AD260</f>
        <v/>
      </c>
      <c r="AE274" s="44">
        <f>AE146+AE150+AE172+AE176+AE194+AE198+AE216+AE220+AE238+AE242+AE256+AE260</f>
        <v/>
      </c>
      <c r="AF274" s="44">
        <f>AF146+AF150+AF172+AF176+AF194+AF198+AF216+AF220+AF238+AF242+AF256+AF260</f>
        <v/>
      </c>
      <c r="AG274" s="44">
        <f>AG146+AG150+AG172+AG176+AG194+AG198+AG216+AG220+AG238+AG242+AG256+AG260</f>
        <v/>
      </c>
      <c r="AH274" s="44">
        <f>AH146+AH150+AH172+AH176+AH194+AH198+AH216+AH220+AH238+AH242+AH256+AH260</f>
        <v/>
      </c>
      <c r="AI274" s="44">
        <f>AI146+AI150+AI172+AI176+AI194+AI198+AI216+AI220+AI238+AI242+AI256+AI260</f>
        <v/>
      </c>
      <c r="AJ274" s="44">
        <f>AJ146+AJ150+AJ172+AJ176+AJ194+AJ198+AJ216+AJ220+AJ238+AJ242+AJ256+AJ260</f>
        <v/>
      </c>
      <c r="AK274" s="44">
        <f>AK146+AK150+AK172+AK176+AK194+AK198+AK216+AK220+AK238+AK242+AK256+AK260</f>
        <v/>
      </c>
      <c r="AL274" s="44">
        <f>AL146+AL150+AL172+AL176+AL194+AL198+AL216+AL220+AL238+AL242+AL256+AL260</f>
        <v/>
      </c>
      <c r="AM274" s="44">
        <f>AM146+AM150+AM172+AM176+AM194+AM198+AM216+AM220+AM238+AM242+AM256+AM260</f>
        <v/>
      </c>
      <c r="AN274" s="44">
        <f>AN146+AN150+AN172+AN176+AN194+AN198+AN216+AN220+AN238+AN242+AN256+AN260</f>
        <v/>
      </c>
      <c r="AO274" s="44">
        <f>AO146+AO150+AO172+AO176+AO194+AO198+AO216+AO220+AO238+AO242+AO256+AO260</f>
        <v/>
      </c>
      <c r="AP274" s="44">
        <f>AP146+AP150+AP172+AP176+AP194+AP198+AP216+AP220+AP238+AP242+AP256+AP260</f>
        <v/>
      </c>
      <c r="AQ274" s="44">
        <f>AQ146+AQ150+AQ172+AQ176+AQ194+AQ198+AQ216+AQ220+AQ238+AQ242+AQ256+AQ260</f>
        <v/>
      </c>
      <c r="AR274" s="44">
        <f>AR146+AR150+AR172+AR176+AR194+AR198+AR216+AR220+AR238+AR242+AR256+AR260</f>
        <v/>
      </c>
      <c r="AS274" s="44">
        <f>AS146+AS150+AS172+AS176+AS194+AS198+AS216+AS220+AS238+AS242+AS256+AS260</f>
        <v/>
      </c>
      <c r="AT274" s="44">
        <f>AT146+AT150+AT172+AT176+AT194+AT198+AT216+AT220+AT238+AT242+AT256+AT260</f>
        <v/>
      </c>
      <c r="AU274" s="44">
        <f>AU146+AU150+AU172+AU176+AU194+AU198+AU216+AU220+AU238+AU242+AU256+AU260</f>
        <v/>
      </c>
      <c r="AV274" s="44">
        <f>AV146+AV150+AV172+AV176+AV194+AV198+AV216+AV220+AV238+AV242+AV256+AV260</f>
        <v/>
      </c>
      <c r="AW274" s="44">
        <f>AW146+AW150+AW172+AW176+AW194+AW198+AW216+AW220+AW238+AW242+AW256+AW260</f>
        <v/>
      </c>
      <c r="AX274" s="44">
        <f>AX146+AX150+AX172+AX176+AX194+AX198+AX216+AX220+AX238+AX242+AX256+AX260</f>
        <v/>
      </c>
      <c r="AY274" s="44">
        <f>AY146+AY150+AY172+AY176+AY194+AY198+AY216+AY220+AY238+AY242+AY256+AY260</f>
        <v/>
      </c>
      <c r="AZ274" s="44">
        <f>AZ146+AZ150+AZ172+AZ176+AZ194+AZ198+AZ216+AZ220+AZ238+AZ242+AZ256+AZ260</f>
        <v/>
      </c>
      <c r="BA274" s="44">
        <f>BA146+BA150+BA172+BA176+BA194+BA198+BA216+BA220+BA238+BA242+BA256+BA260</f>
        <v/>
      </c>
      <c r="BB274" s="44">
        <f>BB146+BB150+BB172+BB176+BB194+BB198+BB216+BB220+BB238+BB242+BB256+BB260</f>
        <v/>
      </c>
      <c r="BC274" s="44">
        <f>BC146+BC150+BC172+BC176+BC194+BC198+BC216+BC220+BC238+BC242+BC256+BC260</f>
        <v/>
      </c>
      <c r="BD274" s="44">
        <f>BD146+BD150+BD172+BD176+BD194+BD198+BD216+BD220+BD238+BD242+BD256+BD260</f>
        <v/>
      </c>
      <c r="BE274" s="44">
        <f>BE146+BE150+BE172+BE176+BE194+BE198+BE216+BE220+BE238+BE242+BE256+BE260</f>
        <v/>
      </c>
      <c r="BF274" s="44">
        <f>BF146+BF150+BF172+BF176+BF194+BF198+BF216+BF220+BF238+BF242+BF256+BF260</f>
        <v/>
      </c>
      <c r="BG274" s="44">
        <f>BG146+BG150+BG172+BG176+BG194+BG198+BG216+BG220+BG238+BG242+BG256+BG260</f>
        <v/>
      </c>
      <c r="BH274" s="44">
        <f>BH146+BH150+BH172+BH176+BH194+BH198+BH216+BH220+BH238+BH242+BH256+BH260</f>
        <v/>
      </c>
      <c r="BI274" s="44">
        <f>BI146+BI150+BI172+BI176+BI194+BI198+BI216+BI220+BI238+BI242+BI256+BI260</f>
        <v/>
      </c>
      <c r="BJ274" s="44">
        <f>BJ146+BJ150+BJ172+BJ176+BJ194+BJ198+BJ216+BJ220+BJ238+BJ242+BJ256+BJ260</f>
        <v/>
      </c>
    </row>
    <row r="275">
      <c r="A275" s="4" t="inlineStr">
        <is>
          <t>SMEs: churned</t>
        </is>
      </c>
      <c r="B275" s="17" t="inlineStr">
        <is>
          <t>workspaces</t>
        </is>
      </c>
      <c r="C275" s="41">
        <f>C144+C149+C170+C175+C192+C197+C214+C219+C236+C241+C254+C259</f>
        <v/>
      </c>
      <c r="D275" s="41">
        <f>D144+D149+D170+D175+D192+D197+D214+D219+D236+D241+D254+D259</f>
        <v/>
      </c>
      <c r="E275" s="41">
        <f>E144+E149+E170+E175+E192+E197+E214+E219+E236+E241+E254+E259</f>
        <v/>
      </c>
      <c r="F275" s="41">
        <f>F144+F149+F170+F175+F192+F197+F214+F219+F236+F241+F254+F259</f>
        <v/>
      </c>
      <c r="G275" s="41">
        <f>G144+G149+G170+G175+G192+G197+G214+G219+G236+G241+G254+G259</f>
        <v/>
      </c>
      <c r="H275" s="41">
        <f>H144+H149+H170+H175+H192+H197+H214+H219+H236+H241+H254+H259</f>
        <v/>
      </c>
      <c r="I275" s="41">
        <f>I144+I149+I170+I175+I192+I197+I214+I219+I236+I241+I254+I259</f>
        <v/>
      </c>
      <c r="J275" s="41">
        <f>J144+J149+J170+J175+J192+J197+J214+J219+J236+J241+J254+J259</f>
        <v/>
      </c>
      <c r="K275" s="41">
        <f>K144+K149+K170+K175+K192+K197+K214+K219+K236+K241+K254+K259</f>
        <v/>
      </c>
      <c r="L275" s="41">
        <f>L144+L149+L170+L175+L192+L197+L214+L219+L236+L241+L254+L259</f>
        <v/>
      </c>
      <c r="M275" s="41">
        <f>M144+M149+M170+M175+M192+M197+M214+M219+M236+M241+M254+M259</f>
        <v/>
      </c>
      <c r="N275" s="41">
        <f>N144+N149+N170+N175+N192+N197+N214+N219+N236+N241+N254+N259</f>
        <v/>
      </c>
      <c r="O275" s="41">
        <f>O144+O149+O170+O175+O192+O197+O214+O219+O236+O241+O254+O259</f>
        <v/>
      </c>
      <c r="P275" s="41">
        <f>P144+P149+P170+P175+P192+P197+P214+P219+P236+P241+P254+P259</f>
        <v/>
      </c>
      <c r="Q275" s="41">
        <f>Q144+Q149+Q170+Q175+Q192+Q197+Q214+Q219+Q236+Q241+Q254+Q259</f>
        <v/>
      </c>
      <c r="R275" s="41">
        <f>R144+R149+R170+R175+R192+R197+R214+R219+R236+R241+R254+R259</f>
        <v/>
      </c>
      <c r="S275" s="41">
        <f>S144+S149+S170+S175+S192+S197+S214+S219+S236+S241+S254+S259</f>
        <v/>
      </c>
      <c r="T275" s="41">
        <f>T144+T149+T170+T175+T192+T197+T214+T219+T236+T241+T254+T259</f>
        <v/>
      </c>
      <c r="U275" s="41">
        <f>U144+U149+U170+U175+U192+U197+U214+U219+U236+U241+U254+U259</f>
        <v/>
      </c>
      <c r="V275" s="41">
        <f>V144+V149+V170+V175+V192+V197+V214+V219+V236+V241+V254+V259</f>
        <v/>
      </c>
      <c r="W275" s="41">
        <f>W144+W149+W170+W175+W192+W197+W214+W219+W236+W241+W254+W259</f>
        <v/>
      </c>
      <c r="X275" s="41">
        <f>X144+X149+X170+X175+X192+X197+X214+X219+X236+X241+X254+X259</f>
        <v/>
      </c>
      <c r="Y275" s="41">
        <f>Y144+Y149+Y170+Y175+Y192+Y197+Y214+Y219+Y236+Y241+Y254+Y259</f>
        <v/>
      </c>
      <c r="Z275" s="41">
        <f>Z144+Z149+Z170+Z175+Z192+Z197+Z214+Z219+Z236+Z241+Z254+Z259</f>
        <v/>
      </c>
      <c r="AA275" s="41">
        <f>AA144+AA149+AA170+AA175+AA192+AA197+AA214+AA219+AA236+AA241+AA254+AA259</f>
        <v/>
      </c>
      <c r="AB275" s="41">
        <f>AB144+AB149+AB170+AB175+AB192+AB197+AB214+AB219+AB236+AB241+AB254+AB259</f>
        <v/>
      </c>
      <c r="AC275" s="41">
        <f>AC144+AC149+AC170+AC175+AC192+AC197+AC214+AC219+AC236+AC241+AC254+AC259</f>
        <v/>
      </c>
      <c r="AD275" s="41">
        <f>AD144+AD149+AD170+AD175+AD192+AD197+AD214+AD219+AD236+AD241+AD254+AD259</f>
        <v/>
      </c>
      <c r="AE275" s="41">
        <f>AE144+AE149+AE170+AE175+AE192+AE197+AE214+AE219+AE236+AE241+AE254+AE259</f>
        <v/>
      </c>
      <c r="AF275" s="41">
        <f>AF144+AF149+AF170+AF175+AF192+AF197+AF214+AF219+AF236+AF241+AF254+AF259</f>
        <v/>
      </c>
      <c r="AG275" s="41">
        <f>AG144+AG149+AG170+AG175+AG192+AG197+AG214+AG219+AG236+AG241+AG254+AG259</f>
        <v/>
      </c>
      <c r="AH275" s="41">
        <f>AH144+AH149+AH170+AH175+AH192+AH197+AH214+AH219+AH236+AH241+AH254+AH259</f>
        <v/>
      </c>
      <c r="AI275" s="41">
        <f>AI144+AI149+AI170+AI175+AI192+AI197+AI214+AI219+AI236+AI241+AI254+AI259</f>
        <v/>
      </c>
      <c r="AJ275" s="41">
        <f>AJ144+AJ149+AJ170+AJ175+AJ192+AJ197+AJ214+AJ219+AJ236+AJ241+AJ254+AJ259</f>
        <v/>
      </c>
      <c r="AK275" s="41">
        <f>AK144+AK149+AK170+AK175+AK192+AK197+AK214+AK219+AK236+AK241+AK254+AK259</f>
        <v/>
      </c>
      <c r="AL275" s="41">
        <f>AL144+AL149+AL170+AL175+AL192+AL197+AL214+AL219+AL236+AL241+AL254+AL259</f>
        <v/>
      </c>
      <c r="AM275" s="41">
        <f>AM144+AM149+AM170+AM175+AM192+AM197+AM214+AM219+AM236+AM241+AM254+AM259</f>
        <v/>
      </c>
      <c r="AN275" s="41">
        <f>AN144+AN149+AN170+AN175+AN192+AN197+AN214+AN219+AN236+AN241+AN254+AN259</f>
        <v/>
      </c>
      <c r="AO275" s="41">
        <f>AO144+AO149+AO170+AO175+AO192+AO197+AO214+AO219+AO236+AO241+AO254+AO259</f>
        <v/>
      </c>
      <c r="AP275" s="41">
        <f>AP144+AP149+AP170+AP175+AP192+AP197+AP214+AP219+AP236+AP241+AP254+AP259</f>
        <v/>
      </c>
      <c r="AQ275" s="41">
        <f>AQ144+AQ149+AQ170+AQ175+AQ192+AQ197+AQ214+AQ219+AQ236+AQ241+AQ254+AQ259</f>
        <v/>
      </c>
      <c r="AR275" s="41">
        <f>AR144+AR149+AR170+AR175+AR192+AR197+AR214+AR219+AR236+AR241+AR254+AR259</f>
        <v/>
      </c>
      <c r="AS275" s="41">
        <f>AS144+AS149+AS170+AS175+AS192+AS197+AS214+AS219+AS236+AS241+AS254+AS259</f>
        <v/>
      </c>
      <c r="AT275" s="41">
        <f>AT144+AT149+AT170+AT175+AT192+AT197+AT214+AT219+AT236+AT241+AT254+AT259</f>
        <v/>
      </c>
      <c r="AU275" s="41">
        <f>AU144+AU149+AU170+AU175+AU192+AU197+AU214+AU219+AU236+AU241+AU254+AU259</f>
        <v/>
      </c>
      <c r="AV275" s="41">
        <f>AV144+AV149+AV170+AV175+AV192+AV197+AV214+AV219+AV236+AV241+AV254+AV259</f>
        <v/>
      </c>
      <c r="AW275" s="41">
        <f>AW144+AW149+AW170+AW175+AW192+AW197+AW214+AW219+AW236+AW241+AW254+AW259</f>
        <v/>
      </c>
      <c r="AX275" s="41">
        <f>AX144+AX149+AX170+AX175+AX192+AX197+AX214+AX219+AX236+AX241+AX254+AX259</f>
        <v/>
      </c>
      <c r="AY275" s="41">
        <f>AY144+AY149+AY170+AY175+AY192+AY197+AY214+AY219+AY236+AY241+AY254+AY259</f>
        <v/>
      </c>
      <c r="AZ275" s="41">
        <f>AZ144+AZ149+AZ170+AZ175+AZ192+AZ197+AZ214+AZ219+AZ236+AZ241+AZ254+AZ259</f>
        <v/>
      </c>
      <c r="BA275" s="41">
        <f>BA144+BA149+BA170+BA175+BA192+BA197+BA214+BA219+BA236+BA241+BA254+BA259</f>
        <v/>
      </c>
      <c r="BB275" s="41">
        <f>BB144+BB149+BB170+BB175+BB192+BB197+BB214+BB219+BB236+BB241+BB254+BB259</f>
        <v/>
      </c>
      <c r="BC275" s="41">
        <f>BC144+BC149+BC170+BC175+BC192+BC197+BC214+BC219+BC236+BC241+BC254+BC259</f>
        <v/>
      </c>
      <c r="BD275" s="41">
        <f>BD144+BD149+BD170+BD175+BD192+BD197+BD214+BD219+BD236+BD241+BD254+BD259</f>
        <v/>
      </c>
      <c r="BE275" s="41">
        <f>BE144+BE149+BE170+BE175+BE192+BE197+BE214+BE219+BE236+BE241+BE254+BE259</f>
        <v/>
      </c>
      <c r="BF275" s="41">
        <f>BF144+BF149+BF170+BF175+BF192+BF197+BF214+BF219+BF236+BF241+BF254+BF259</f>
        <v/>
      </c>
      <c r="BG275" s="41">
        <f>BG144+BG149+BG170+BG175+BG192+BG197+BG214+BG219+BG236+BG241+BG254+BG259</f>
        <v/>
      </c>
      <c r="BH275" s="41">
        <f>BH144+BH149+BH170+BH175+BH192+BH197+BH214+BH219+BH236+BH241+BH254+BH259</f>
        <v/>
      </c>
      <c r="BI275" s="41">
        <f>BI144+BI149+BI170+BI175+BI192+BI197+BI214+BI219+BI236+BI241+BI254+BI259</f>
        <v/>
      </c>
      <c r="BJ275" s="41">
        <f>BJ144+BJ149+BJ170+BJ175+BJ192+BJ197+BJ214+BJ219+BJ236+BJ241+BJ254+BJ259</f>
        <v/>
      </c>
    </row>
    <row r="276">
      <c r="A276" s="4" t="inlineStr">
        <is>
          <t>SMEs: new customers acquired (excl. upgrades)</t>
        </is>
      </c>
      <c r="B276" s="17" t="inlineStr">
        <is>
          <t>workspaces</t>
        </is>
      </c>
      <c r="C276" s="41">
        <f>C143+C148+C169+C174+C191+C196+C213+C218+C235+C240+C253+C258-C145-C171-C193-C215-C237-C255</f>
        <v/>
      </c>
      <c r="D276" s="41">
        <f>D143+D148+D169+D174+D191+D196+D213+D218+D235+D240+D253+D258-D145-D171-D193-D215-D237-D255</f>
        <v/>
      </c>
      <c r="E276" s="41">
        <f>E143+E148+E169+E174+E191+E196+E213+E218+E235+E240+E253+E258-E145-E171-E193-E215-E237-E255</f>
        <v/>
      </c>
      <c r="F276" s="41">
        <f>F143+F148+F169+F174+F191+F196+F213+F218+F235+F240+F253+F258-F145-F171-F193-F215-F237-F255</f>
        <v/>
      </c>
      <c r="G276" s="41">
        <f>G143+G148+G169+G174+G191+G196+G213+G218+G235+G240+G253+G258-G145-G171-G193-G215-G237-G255</f>
        <v/>
      </c>
      <c r="H276" s="41">
        <f>H143+H148+H169+H174+H191+H196+H213+H218+H235+H240+H253+H258-H145-H171-H193-H215-H237-H255</f>
        <v/>
      </c>
      <c r="I276" s="41">
        <f>I143+I148+I169+I174+I191+I196+I213+I218+I235+I240+I253+I258-I145-I171-I193-I215-I237-I255</f>
        <v/>
      </c>
      <c r="J276" s="41">
        <f>J143+J148+J169+J174+J191+J196+J213+J218+J235+J240+J253+J258-J145-J171-J193-J215-J237-J255</f>
        <v/>
      </c>
      <c r="K276" s="41">
        <f>K143+K148+K169+K174+K191+K196+K213+K218+K235+K240+K253+K258-K145-K171-K193-K215-K237-K255</f>
        <v/>
      </c>
      <c r="L276" s="41">
        <f>L143+L148+L169+L174+L191+L196+L213+L218+L235+L240+L253+L258-L145-L171-L193-L215-L237-L255</f>
        <v/>
      </c>
      <c r="M276" s="41">
        <f>M143+M148+M169+M174+M191+M196+M213+M218+M235+M240+M253+M258-M145-M171-M193-M215-M237-M255</f>
        <v/>
      </c>
      <c r="N276" s="41">
        <f>N143+N148+N169+N174+N191+N196+N213+N218+N235+N240+N253+N258-N145-N171-N193-N215-N237-N255</f>
        <v/>
      </c>
      <c r="O276" s="41">
        <f>O143+O148+O169+O174+O191+O196+O213+O218+O235+O240+O253+O258-O145-O171-O193-O215-O237-O255</f>
        <v/>
      </c>
      <c r="P276" s="41">
        <f>P143+P148+P169+P174+P191+P196+P213+P218+P235+P240+P253+P258-P145-P171-P193-P215-P237-P255</f>
        <v/>
      </c>
      <c r="Q276" s="41">
        <f>Q143+Q148+Q169+Q174+Q191+Q196+Q213+Q218+Q235+Q240+Q253+Q258-Q145-Q171-Q193-Q215-Q237-Q255</f>
        <v/>
      </c>
      <c r="R276" s="41">
        <f>R143+R148+R169+R174+R191+R196+R213+R218+R235+R240+R253+R258-R145-R171-R193-R215-R237-R255</f>
        <v/>
      </c>
      <c r="S276" s="41">
        <f>S143+S148+S169+S174+S191+S196+S213+S218+S235+S240+S253+S258-S145-S171-S193-S215-S237-S255</f>
        <v/>
      </c>
      <c r="T276" s="41">
        <f>T143+T148+T169+T174+T191+T196+T213+T218+T235+T240+T253+T258-T145-T171-T193-T215-T237-T255</f>
        <v/>
      </c>
      <c r="U276" s="41">
        <f>U143+U148+U169+U174+U191+U196+U213+U218+U235+U240+U253+U258-U145-U171-U193-U215-U237-U255</f>
        <v/>
      </c>
      <c r="V276" s="41">
        <f>V143+V148+V169+V174+V191+V196+V213+V218+V235+V240+V253+V258-V145-V171-V193-V215-V237-V255</f>
        <v/>
      </c>
      <c r="W276" s="41">
        <f>W143+W148+W169+W174+W191+W196+W213+W218+W235+W240+W253+W258-W145-W171-W193-W215-W237-W255</f>
        <v/>
      </c>
      <c r="X276" s="41">
        <f>X143+X148+X169+X174+X191+X196+X213+X218+X235+X240+X253+X258-X145-X171-X193-X215-X237-X255</f>
        <v/>
      </c>
      <c r="Y276" s="41">
        <f>Y143+Y148+Y169+Y174+Y191+Y196+Y213+Y218+Y235+Y240+Y253+Y258-Y145-Y171-Y193-Y215-Y237-Y255</f>
        <v/>
      </c>
      <c r="Z276" s="41">
        <f>Z143+Z148+Z169+Z174+Z191+Z196+Z213+Z218+Z235+Z240+Z253+Z258-Z145-Z171-Z193-Z215-Z237-Z255</f>
        <v/>
      </c>
      <c r="AA276" s="41">
        <f>AA143+AA148+AA169+AA174+AA191+AA196+AA213+AA218+AA235+AA240+AA253+AA258-AA145-AA171-AA193-AA215-AA237-AA255</f>
        <v/>
      </c>
      <c r="AB276" s="41">
        <f>AB143+AB148+AB169+AB174+AB191+AB196+AB213+AB218+AB235+AB240+AB253+AB258-AB145-AB171-AB193-AB215-AB237-AB255</f>
        <v/>
      </c>
      <c r="AC276" s="41">
        <f>AC143+AC148+AC169+AC174+AC191+AC196+AC213+AC218+AC235+AC240+AC253+AC258-AC145-AC171-AC193-AC215-AC237-AC255</f>
        <v/>
      </c>
      <c r="AD276" s="41">
        <f>AD143+AD148+AD169+AD174+AD191+AD196+AD213+AD218+AD235+AD240+AD253+AD258-AD145-AD171-AD193-AD215-AD237-AD255</f>
        <v/>
      </c>
      <c r="AE276" s="41">
        <f>AE143+AE148+AE169+AE174+AE191+AE196+AE213+AE218+AE235+AE240+AE253+AE258-AE145-AE171-AE193-AE215-AE237-AE255</f>
        <v/>
      </c>
      <c r="AF276" s="41">
        <f>AF143+AF148+AF169+AF174+AF191+AF196+AF213+AF218+AF235+AF240+AF253+AF258-AF145-AF171-AF193-AF215-AF237-AF255</f>
        <v/>
      </c>
      <c r="AG276" s="41">
        <f>AG143+AG148+AG169+AG174+AG191+AG196+AG213+AG218+AG235+AG240+AG253+AG258-AG145-AG171-AG193-AG215-AG237-AG255</f>
        <v/>
      </c>
      <c r="AH276" s="41">
        <f>AH143+AH148+AH169+AH174+AH191+AH196+AH213+AH218+AH235+AH240+AH253+AH258-AH145-AH171-AH193-AH215-AH237-AH255</f>
        <v/>
      </c>
      <c r="AI276" s="41">
        <f>AI143+AI148+AI169+AI174+AI191+AI196+AI213+AI218+AI235+AI240+AI253+AI258-AI145-AI171-AI193-AI215-AI237-AI255</f>
        <v/>
      </c>
      <c r="AJ276" s="41">
        <f>AJ143+AJ148+AJ169+AJ174+AJ191+AJ196+AJ213+AJ218+AJ235+AJ240+AJ253+AJ258-AJ145-AJ171-AJ193-AJ215-AJ237-AJ255</f>
        <v/>
      </c>
      <c r="AK276" s="41">
        <f>AK143+AK148+AK169+AK174+AK191+AK196+AK213+AK218+AK235+AK240+AK253+AK258-AK145-AK171-AK193-AK215-AK237-AK255</f>
        <v/>
      </c>
      <c r="AL276" s="41">
        <f>AL143+AL148+AL169+AL174+AL191+AL196+AL213+AL218+AL235+AL240+AL253+AL258-AL145-AL171-AL193-AL215-AL237-AL255</f>
        <v/>
      </c>
      <c r="AM276" s="41">
        <f>AM143+AM148+AM169+AM174+AM191+AM196+AM213+AM218+AM235+AM240+AM253+AM258-AM145-AM171-AM193-AM215-AM237-AM255</f>
        <v/>
      </c>
      <c r="AN276" s="41">
        <f>AN143+AN148+AN169+AN174+AN191+AN196+AN213+AN218+AN235+AN240+AN253+AN258-AN145-AN171-AN193-AN215-AN237-AN255</f>
        <v/>
      </c>
      <c r="AO276" s="41">
        <f>AO143+AO148+AO169+AO174+AO191+AO196+AO213+AO218+AO235+AO240+AO253+AO258-AO145-AO171-AO193-AO215-AO237-AO255</f>
        <v/>
      </c>
      <c r="AP276" s="41">
        <f>AP143+AP148+AP169+AP174+AP191+AP196+AP213+AP218+AP235+AP240+AP253+AP258-AP145-AP171-AP193-AP215-AP237-AP255</f>
        <v/>
      </c>
      <c r="AQ276" s="41">
        <f>AQ143+AQ148+AQ169+AQ174+AQ191+AQ196+AQ213+AQ218+AQ235+AQ240+AQ253+AQ258-AQ145-AQ171-AQ193-AQ215-AQ237-AQ255</f>
        <v/>
      </c>
      <c r="AR276" s="41">
        <f>AR143+AR148+AR169+AR174+AR191+AR196+AR213+AR218+AR235+AR240+AR253+AR258-AR145-AR171-AR193-AR215-AR237-AR255</f>
        <v/>
      </c>
      <c r="AS276" s="41">
        <f>AS143+AS148+AS169+AS174+AS191+AS196+AS213+AS218+AS235+AS240+AS253+AS258-AS145-AS171-AS193-AS215-AS237-AS255</f>
        <v/>
      </c>
      <c r="AT276" s="41">
        <f>AT143+AT148+AT169+AT174+AT191+AT196+AT213+AT218+AT235+AT240+AT253+AT258-AT145-AT171-AT193-AT215-AT237-AT255</f>
        <v/>
      </c>
      <c r="AU276" s="41">
        <f>AU143+AU148+AU169+AU174+AU191+AU196+AU213+AU218+AU235+AU240+AU253+AU258-AU145-AU171-AU193-AU215-AU237-AU255</f>
        <v/>
      </c>
      <c r="AV276" s="41">
        <f>AV143+AV148+AV169+AV174+AV191+AV196+AV213+AV218+AV235+AV240+AV253+AV258-AV145-AV171-AV193-AV215-AV237-AV255</f>
        <v/>
      </c>
      <c r="AW276" s="41">
        <f>AW143+AW148+AW169+AW174+AW191+AW196+AW213+AW218+AW235+AW240+AW253+AW258-AW145-AW171-AW193-AW215-AW237-AW255</f>
        <v/>
      </c>
      <c r="AX276" s="41">
        <f>AX143+AX148+AX169+AX174+AX191+AX196+AX213+AX218+AX235+AX240+AX253+AX258-AX145-AX171-AX193-AX215-AX237-AX255</f>
        <v/>
      </c>
      <c r="AY276" s="41">
        <f>AY143+AY148+AY169+AY174+AY191+AY196+AY213+AY218+AY235+AY240+AY253+AY258-AY145-AY171-AY193-AY215-AY237-AY255</f>
        <v/>
      </c>
      <c r="AZ276" s="41">
        <f>AZ143+AZ148+AZ169+AZ174+AZ191+AZ196+AZ213+AZ218+AZ235+AZ240+AZ253+AZ258-AZ145-AZ171-AZ193-AZ215-AZ237-AZ255</f>
        <v/>
      </c>
      <c r="BA276" s="41">
        <f>BA143+BA148+BA169+BA174+BA191+BA196+BA213+BA218+BA235+BA240+BA253+BA258-BA145-BA171-BA193-BA215-BA237-BA255</f>
        <v/>
      </c>
      <c r="BB276" s="41">
        <f>BB143+BB148+BB169+BB174+BB191+BB196+BB213+BB218+BB235+BB240+BB253+BB258-BB145-BB171-BB193-BB215-BB237-BB255</f>
        <v/>
      </c>
      <c r="BC276" s="41">
        <f>BC143+BC148+BC169+BC174+BC191+BC196+BC213+BC218+BC235+BC240+BC253+BC258-BC145-BC171-BC193-BC215-BC237-BC255</f>
        <v/>
      </c>
      <c r="BD276" s="41">
        <f>BD143+BD148+BD169+BD174+BD191+BD196+BD213+BD218+BD235+BD240+BD253+BD258-BD145-BD171-BD193-BD215-BD237-BD255</f>
        <v/>
      </c>
      <c r="BE276" s="41">
        <f>BE143+BE148+BE169+BE174+BE191+BE196+BE213+BE218+BE235+BE240+BE253+BE258-BE145-BE171-BE193-BE215-BE237-BE255</f>
        <v/>
      </c>
      <c r="BF276" s="41">
        <f>BF143+BF148+BF169+BF174+BF191+BF196+BF213+BF218+BF235+BF240+BF253+BF258-BF145-BF171-BF193-BF215-BF237-BF255</f>
        <v/>
      </c>
      <c r="BG276" s="41">
        <f>BG143+BG148+BG169+BG174+BG191+BG196+BG213+BG218+BG235+BG240+BG253+BG258-BG145-BG171-BG193-BG215-BG237-BG255</f>
        <v/>
      </c>
      <c r="BH276" s="41">
        <f>BH143+BH148+BH169+BH174+BH191+BH196+BH213+BH218+BH235+BH240+BH253+BH258-BH145-BH171-BH193-BH215-BH237-BH255</f>
        <v/>
      </c>
      <c r="BI276" s="41">
        <f>BI143+BI148+BI169+BI174+BI191+BI196+BI213+BI218+BI235+BI240+BI253+BI258-BI145-BI171-BI193-BI215-BI237-BI255</f>
        <v/>
      </c>
      <c r="BJ276" s="41">
        <f>BJ143+BJ148+BJ169+BJ174+BJ191+BJ196+BJ213+BJ218+BJ235+BJ240+BJ253+BJ258-BJ145-BJ171-BJ193-BJ215-BJ237-BJ255</f>
        <v/>
      </c>
    </row>
    <row r="277">
      <c r="A277" s="4" t="inlineStr">
        <is>
          <t>Agencies: opening</t>
        </is>
      </c>
      <c r="B277" s="17" t="inlineStr">
        <is>
          <t>workspaces</t>
        </is>
      </c>
      <c r="C277" s="41">
        <f>C151+C177+C199+C221</f>
        <v/>
      </c>
      <c r="D277" s="41">
        <f>D151+D177+D199+D221</f>
        <v/>
      </c>
      <c r="E277" s="41">
        <f>E151+E177+E199+E221</f>
        <v/>
      </c>
      <c r="F277" s="41">
        <f>F151+F177+F199+F221</f>
        <v/>
      </c>
      <c r="G277" s="41">
        <f>G151+G177+G199+G221</f>
        <v/>
      </c>
      <c r="H277" s="41">
        <f>H151+H177+H199+H221</f>
        <v/>
      </c>
      <c r="I277" s="41">
        <f>I151+I177+I199+I221</f>
        <v/>
      </c>
      <c r="J277" s="41">
        <f>J151+J177+J199+J221</f>
        <v/>
      </c>
      <c r="K277" s="41">
        <f>K151+K177+K199+K221</f>
        <v/>
      </c>
      <c r="L277" s="41">
        <f>L151+L177+L199+L221</f>
        <v/>
      </c>
      <c r="M277" s="41">
        <f>M151+M177+M199+M221</f>
        <v/>
      </c>
      <c r="N277" s="41">
        <f>N151+N177+N199+N221</f>
        <v/>
      </c>
      <c r="O277" s="41">
        <f>O151+O177+O199+O221</f>
        <v/>
      </c>
      <c r="P277" s="41">
        <f>P151+P177+P199+P221</f>
        <v/>
      </c>
      <c r="Q277" s="41">
        <f>Q151+Q177+Q199+Q221</f>
        <v/>
      </c>
      <c r="R277" s="41">
        <f>R151+R177+R199+R221</f>
        <v/>
      </c>
      <c r="S277" s="41">
        <f>S151+S177+S199+S221</f>
        <v/>
      </c>
      <c r="T277" s="41">
        <f>T151+T177+T199+T221</f>
        <v/>
      </c>
      <c r="U277" s="41">
        <f>U151+U177+U199+U221</f>
        <v/>
      </c>
      <c r="V277" s="41">
        <f>V151+V177+V199+V221</f>
        <v/>
      </c>
      <c r="W277" s="41">
        <f>W151+W177+W199+W221</f>
        <v/>
      </c>
      <c r="X277" s="41">
        <f>X151+X177+X199+X221</f>
        <v/>
      </c>
      <c r="Y277" s="41">
        <f>Y151+Y177+Y199+Y221</f>
        <v/>
      </c>
      <c r="Z277" s="41">
        <f>Z151+Z177+Z199+Z221</f>
        <v/>
      </c>
      <c r="AA277" s="41">
        <f>AA151+AA177+AA199+AA221</f>
        <v/>
      </c>
      <c r="AB277" s="41">
        <f>AB151+AB177+AB199+AB221</f>
        <v/>
      </c>
      <c r="AC277" s="41">
        <f>AC151+AC177+AC199+AC221</f>
        <v/>
      </c>
      <c r="AD277" s="41">
        <f>AD151+AD177+AD199+AD221</f>
        <v/>
      </c>
      <c r="AE277" s="41">
        <f>AE151+AE177+AE199+AE221</f>
        <v/>
      </c>
      <c r="AF277" s="41">
        <f>AF151+AF177+AF199+AF221</f>
        <v/>
      </c>
      <c r="AG277" s="41">
        <f>AG151+AG177+AG199+AG221</f>
        <v/>
      </c>
      <c r="AH277" s="41">
        <f>AH151+AH177+AH199+AH221</f>
        <v/>
      </c>
      <c r="AI277" s="41">
        <f>AI151+AI177+AI199+AI221</f>
        <v/>
      </c>
      <c r="AJ277" s="41">
        <f>AJ151+AJ177+AJ199+AJ221</f>
        <v/>
      </c>
      <c r="AK277" s="41">
        <f>AK151+AK177+AK199+AK221</f>
        <v/>
      </c>
      <c r="AL277" s="41">
        <f>AL151+AL177+AL199+AL221</f>
        <v/>
      </c>
      <c r="AM277" s="41">
        <f>AM151+AM177+AM199+AM221</f>
        <v/>
      </c>
      <c r="AN277" s="41">
        <f>AN151+AN177+AN199+AN221</f>
        <v/>
      </c>
      <c r="AO277" s="41">
        <f>AO151+AO177+AO199+AO221</f>
        <v/>
      </c>
      <c r="AP277" s="41">
        <f>AP151+AP177+AP199+AP221</f>
        <v/>
      </c>
      <c r="AQ277" s="41">
        <f>AQ151+AQ177+AQ199+AQ221</f>
        <v/>
      </c>
      <c r="AR277" s="41">
        <f>AR151+AR177+AR199+AR221</f>
        <v/>
      </c>
      <c r="AS277" s="41">
        <f>AS151+AS177+AS199+AS221</f>
        <v/>
      </c>
      <c r="AT277" s="41">
        <f>AT151+AT177+AT199+AT221</f>
        <v/>
      </c>
      <c r="AU277" s="41">
        <f>AU151+AU177+AU199+AU221</f>
        <v/>
      </c>
      <c r="AV277" s="41">
        <f>AV151+AV177+AV199+AV221</f>
        <v/>
      </c>
      <c r="AW277" s="41">
        <f>AW151+AW177+AW199+AW221</f>
        <v/>
      </c>
      <c r="AX277" s="41">
        <f>AX151+AX177+AX199+AX221</f>
        <v/>
      </c>
      <c r="AY277" s="41">
        <f>AY151+AY177+AY199+AY221</f>
        <v/>
      </c>
      <c r="AZ277" s="41">
        <f>AZ151+AZ177+AZ199+AZ221</f>
        <v/>
      </c>
      <c r="BA277" s="41">
        <f>BA151+BA177+BA199+BA221</f>
        <v/>
      </c>
      <c r="BB277" s="41">
        <f>BB151+BB177+BB199+BB221</f>
        <v/>
      </c>
      <c r="BC277" s="41">
        <f>BC151+BC177+BC199+BC221</f>
        <v/>
      </c>
      <c r="BD277" s="41">
        <f>BD151+BD177+BD199+BD221</f>
        <v/>
      </c>
      <c r="BE277" s="41">
        <f>BE151+BE177+BE199+BE221</f>
        <v/>
      </c>
      <c r="BF277" s="41">
        <f>BF151+BF177+BF199+BF221</f>
        <v/>
      </c>
      <c r="BG277" s="41">
        <f>BG151+BG177+BG199+BG221</f>
        <v/>
      </c>
      <c r="BH277" s="41">
        <f>BH151+BH177+BH199+BH221</f>
        <v/>
      </c>
      <c r="BI277" s="41">
        <f>BI151+BI177+BI199+BI221</f>
        <v/>
      </c>
      <c r="BJ277" s="41">
        <f>BJ151+BJ177+BJ199+BJ221</f>
        <v/>
      </c>
    </row>
    <row r="278">
      <c r="A278" s="3" t="inlineStr">
        <is>
          <t>Agencies: closing</t>
        </is>
      </c>
      <c r="B278" s="17" t="inlineStr">
        <is>
          <t>workspaces</t>
        </is>
      </c>
      <c r="C278" s="44">
        <f>C154+C180+C202+C224</f>
        <v/>
      </c>
      <c r="D278" s="44">
        <f>D154+D180+D202+D224</f>
        <v/>
      </c>
      <c r="E278" s="44">
        <f>E154+E180+E202+E224</f>
        <v/>
      </c>
      <c r="F278" s="44">
        <f>F154+F180+F202+F224</f>
        <v/>
      </c>
      <c r="G278" s="44">
        <f>G154+G180+G202+G224</f>
        <v/>
      </c>
      <c r="H278" s="44">
        <f>H154+H180+H202+H224</f>
        <v/>
      </c>
      <c r="I278" s="44">
        <f>I154+I180+I202+I224</f>
        <v/>
      </c>
      <c r="J278" s="44">
        <f>J154+J180+J202+J224</f>
        <v/>
      </c>
      <c r="K278" s="44">
        <f>K154+K180+K202+K224</f>
        <v/>
      </c>
      <c r="L278" s="44">
        <f>L154+L180+L202+L224</f>
        <v/>
      </c>
      <c r="M278" s="44">
        <f>M154+M180+M202+M224</f>
        <v/>
      </c>
      <c r="N278" s="44">
        <f>N154+N180+N202+N224</f>
        <v/>
      </c>
      <c r="O278" s="44">
        <f>O154+O180+O202+O224</f>
        <v/>
      </c>
      <c r="P278" s="44">
        <f>P154+P180+P202+P224</f>
        <v/>
      </c>
      <c r="Q278" s="44">
        <f>Q154+Q180+Q202+Q224</f>
        <v/>
      </c>
      <c r="R278" s="44">
        <f>R154+R180+R202+R224</f>
        <v/>
      </c>
      <c r="S278" s="44">
        <f>S154+S180+S202+S224</f>
        <v/>
      </c>
      <c r="T278" s="44">
        <f>T154+T180+T202+T224</f>
        <v/>
      </c>
      <c r="U278" s="44">
        <f>U154+U180+U202+U224</f>
        <v/>
      </c>
      <c r="V278" s="44">
        <f>V154+V180+V202+V224</f>
        <v/>
      </c>
      <c r="W278" s="44">
        <f>W154+W180+W202+W224</f>
        <v/>
      </c>
      <c r="X278" s="44">
        <f>X154+X180+X202+X224</f>
        <v/>
      </c>
      <c r="Y278" s="44">
        <f>Y154+Y180+Y202+Y224</f>
        <v/>
      </c>
      <c r="Z278" s="44">
        <f>Z154+Z180+Z202+Z224</f>
        <v/>
      </c>
      <c r="AA278" s="44">
        <f>AA154+AA180+AA202+AA224</f>
        <v/>
      </c>
      <c r="AB278" s="44">
        <f>AB154+AB180+AB202+AB224</f>
        <v/>
      </c>
      <c r="AC278" s="44">
        <f>AC154+AC180+AC202+AC224</f>
        <v/>
      </c>
      <c r="AD278" s="44">
        <f>AD154+AD180+AD202+AD224</f>
        <v/>
      </c>
      <c r="AE278" s="44">
        <f>AE154+AE180+AE202+AE224</f>
        <v/>
      </c>
      <c r="AF278" s="44">
        <f>AF154+AF180+AF202+AF224</f>
        <v/>
      </c>
      <c r="AG278" s="44">
        <f>AG154+AG180+AG202+AG224</f>
        <v/>
      </c>
      <c r="AH278" s="44">
        <f>AH154+AH180+AH202+AH224</f>
        <v/>
      </c>
      <c r="AI278" s="44">
        <f>AI154+AI180+AI202+AI224</f>
        <v/>
      </c>
      <c r="AJ278" s="44">
        <f>AJ154+AJ180+AJ202+AJ224</f>
        <v/>
      </c>
      <c r="AK278" s="44">
        <f>AK154+AK180+AK202+AK224</f>
        <v/>
      </c>
      <c r="AL278" s="44">
        <f>AL154+AL180+AL202+AL224</f>
        <v/>
      </c>
      <c r="AM278" s="44">
        <f>AM154+AM180+AM202+AM224</f>
        <v/>
      </c>
      <c r="AN278" s="44">
        <f>AN154+AN180+AN202+AN224</f>
        <v/>
      </c>
      <c r="AO278" s="44">
        <f>AO154+AO180+AO202+AO224</f>
        <v/>
      </c>
      <c r="AP278" s="44">
        <f>AP154+AP180+AP202+AP224</f>
        <v/>
      </c>
      <c r="AQ278" s="44">
        <f>AQ154+AQ180+AQ202+AQ224</f>
        <v/>
      </c>
      <c r="AR278" s="44">
        <f>AR154+AR180+AR202+AR224</f>
        <v/>
      </c>
      <c r="AS278" s="44">
        <f>AS154+AS180+AS202+AS224</f>
        <v/>
      </c>
      <c r="AT278" s="44">
        <f>AT154+AT180+AT202+AT224</f>
        <v/>
      </c>
      <c r="AU278" s="44">
        <f>AU154+AU180+AU202+AU224</f>
        <v/>
      </c>
      <c r="AV278" s="44">
        <f>AV154+AV180+AV202+AV224</f>
        <v/>
      </c>
      <c r="AW278" s="44">
        <f>AW154+AW180+AW202+AW224</f>
        <v/>
      </c>
      <c r="AX278" s="44">
        <f>AX154+AX180+AX202+AX224</f>
        <v/>
      </c>
      <c r="AY278" s="44">
        <f>AY154+AY180+AY202+AY224</f>
        <v/>
      </c>
      <c r="AZ278" s="44">
        <f>AZ154+AZ180+AZ202+AZ224</f>
        <v/>
      </c>
      <c r="BA278" s="44">
        <f>BA154+BA180+BA202+BA224</f>
        <v/>
      </c>
      <c r="BB278" s="44">
        <f>BB154+BB180+BB202+BB224</f>
        <v/>
      </c>
      <c r="BC278" s="44">
        <f>BC154+BC180+BC202+BC224</f>
        <v/>
      </c>
      <c r="BD278" s="44">
        <f>BD154+BD180+BD202+BD224</f>
        <v/>
      </c>
      <c r="BE278" s="44">
        <f>BE154+BE180+BE202+BE224</f>
        <v/>
      </c>
      <c r="BF278" s="44">
        <f>BF154+BF180+BF202+BF224</f>
        <v/>
      </c>
      <c r="BG278" s="44">
        <f>BG154+BG180+BG202+BG224</f>
        <v/>
      </c>
      <c r="BH278" s="44">
        <f>BH154+BH180+BH202+BH224</f>
        <v/>
      </c>
      <c r="BI278" s="44">
        <f>BI154+BI180+BI202+BI224</f>
        <v/>
      </c>
      <c r="BJ278" s="44">
        <f>BJ154+BJ180+BJ202+BJ224</f>
        <v/>
      </c>
    </row>
    <row r="279">
      <c r="A279" s="4" t="inlineStr">
        <is>
          <t>Agencies: churned</t>
        </is>
      </c>
      <c r="B279" s="17" t="inlineStr">
        <is>
          <t>workspaces</t>
        </is>
      </c>
      <c r="C279" s="41">
        <f>C153+C179+C201+C223</f>
        <v/>
      </c>
      <c r="D279" s="41">
        <f>D153+D179+D201+D223</f>
        <v/>
      </c>
      <c r="E279" s="41">
        <f>E153+E179+E201+E223</f>
        <v/>
      </c>
      <c r="F279" s="41">
        <f>F153+F179+F201+F223</f>
        <v/>
      </c>
      <c r="G279" s="41">
        <f>G153+G179+G201+G223</f>
        <v/>
      </c>
      <c r="H279" s="41">
        <f>H153+H179+H201+H223</f>
        <v/>
      </c>
      <c r="I279" s="41">
        <f>I153+I179+I201+I223</f>
        <v/>
      </c>
      <c r="J279" s="41">
        <f>J153+J179+J201+J223</f>
        <v/>
      </c>
      <c r="K279" s="41">
        <f>K153+K179+K201+K223</f>
        <v/>
      </c>
      <c r="L279" s="41">
        <f>L153+L179+L201+L223</f>
        <v/>
      </c>
      <c r="M279" s="41">
        <f>M153+M179+M201+M223</f>
        <v/>
      </c>
      <c r="N279" s="41">
        <f>N153+N179+N201+N223</f>
        <v/>
      </c>
      <c r="O279" s="41">
        <f>O153+O179+O201+O223</f>
        <v/>
      </c>
      <c r="P279" s="41">
        <f>P153+P179+P201+P223</f>
        <v/>
      </c>
      <c r="Q279" s="41">
        <f>Q153+Q179+Q201+Q223</f>
        <v/>
      </c>
      <c r="R279" s="41">
        <f>R153+R179+R201+R223</f>
        <v/>
      </c>
      <c r="S279" s="41">
        <f>S153+S179+S201+S223</f>
        <v/>
      </c>
      <c r="T279" s="41">
        <f>T153+T179+T201+T223</f>
        <v/>
      </c>
      <c r="U279" s="41">
        <f>U153+U179+U201+U223</f>
        <v/>
      </c>
      <c r="V279" s="41">
        <f>V153+V179+V201+V223</f>
        <v/>
      </c>
      <c r="W279" s="41">
        <f>W153+W179+W201+W223</f>
        <v/>
      </c>
      <c r="X279" s="41">
        <f>X153+X179+X201+X223</f>
        <v/>
      </c>
      <c r="Y279" s="41">
        <f>Y153+Y179+Y201+Y223</f>
        <v/>
      </c>
      <c r="Z279" s="41">
        <f>Z153+Z179+Z201+Z223</f>
        <v/>
      </c>
      <c r="AA279" s="41">
        <f>AA153+AA179+AA201+AA223</f>
        <v/>
      </c>
      <c r="AB279" s="41">
        <f>AB153+AB179+AB201+AB223</f>
        <v/>
      </c>
      <c r="AC279" s="41">
        <f>AC153+AC179+AC201+AC223</f>
        <v/>
      </c>
      <c r="AD279" s="41">
        <f>AD153+AD179+AD201+AD223</f>
        <v/>
      </c>
      <c r="AE279" s="41">
        <f>AE153+AE179+AE201+AE223</f>
        <v/>
      </c>
      <c r="AF279" s="41">
        <f>AF153+AF179+AF201+AF223</f>
        <v/>
      </c>
      <c r="AG279" s="41">
        <f>AG153+AG179+AG201+AG223</f>
        <v/>
      </c>
      <c r="AH279" s="41">
        <f>AH153+AH179+AH201+AH223</f>
        <v/>
      </c>
      <c r="AI279" s="41">
        <f>AI153+AI179+AI201+AI223</f>
        <v/>
      </c>
      <c r="AJ279" s="41">
        <f>AJ153+AJ179+AJ201+AJ223</f>
        <v/>
      </c>
      <c r="AK279" s="41">
        <f>AK153+AK179+AK201+AK223</f>
        <v/>
      </c>
      <c r="AL279" s="41">
        <f>AL153+AL179+AL201+AL223</f>
        <v/>
      </c>
      <c r="AM279" s="41">
        <f>AM153+AM179+AM201+AM223</f>
        <v/>
      </c>
      <c r="AN279" s="41">
        <f>AN153+AN179+AN201+AN223</f>
        <v/>
      </c>
      <c r="AO279" s="41">
        <f>AO153+AO179+AO201+AO223</f>
        <v/>
      </c>
      <c r="AP279" s="41">
        <f>AP153+AP179+AP201+AP223</f>
        <v/>
      </c>
      <c r="AQ279" s="41">
        <f>AQ153+AQ179+AQ201+AQ223</f>
        <v/>
      </c>
      <c r="AR279" s="41">
        <f>AR153+AR179+AR201+AR223</f>
        <v/>
      </c>
      <c r="AS279" s="41">
        <f>AS153+AS179+AS201+AS223</f>
        <v/>
      </c>
      <c r="AT279" s="41">
        <f>AT153+AT179+AT201+AT223</f>
        <v/>
      </c>
      <c r="AU279" s="41">
        <f>AU153+AU179+AU201+AU223</f>
        <v/>
      </c>
      <c r="AV279" s="41">
        <f>AV153+AV179+AV201+AV223</f>
        <v/>
      </c>
      <c r="AW279" s="41">
        <f>AW153+AW179+AW201+AW223</f>
        <v/>
      </c>
      <c r="AX279" s="41">
        <f>AX153+AX179+AX201+AX223</f>
        <v/>
      </c>
      <c r="AY279" s="41">
        <f>AY153+AY179+AY201+AY223</f>
        <v/>
      </c>
      <c r="AZ279" s="41">
        <f>AZ153+AZ179+AZ201+AZ223</f>
        <v/>
      </c>
      <c r="BA279" s="41">
        <f>BA153+BA179+BA201+BA223</f>
        <v/>
      </c>
      <c r="BB279" s="41">
        <f>BB153+BB179+BB201+BB223</f>
        <v/>
      </c>
      <c r="BC279" s="41">
        <f>BC153+BC179+BC201+BC223</f>
        <v/>
      </c>
      <c r="BD279" s="41">
        <f>BD153+BD179+BD201+BD223</f>
        <v/>
      </c>
      <c r="BE279" s="41">
        <f>BE153+BE179+BE201+BE223</f>
        <v/>
      </c>
      <c r="BF279" s="41">
        <f>BF153+BF179+BF201+BF223</f>
        <v/>
      </c>
      <c r="BG279" s="41">
        <f>BG153+BG179+BG201+BG223</f>
        <v/>
      </c>
      <c r="BH279" s="41">
        <f>BH153+BH179+BH201+BH223</f>
        <v/>
      </c>
      <c r="BI279" s="41">
        <f>BI153+BI179+BI201+BI223</f>
        <v/>
      </c>
      <c r="BJ279" s="41">
        <f>BJ153+BJ179+BJ201+BJ223</f>
        <v/>
      </c>
    </row>
    <row r="280">
      <c r="A280" s="4" t="inlineStr">
        <is>
          <t>Agencies: new customers acquired (excl. upgrades)</t>
        </is>
      </c>
      <c r="B280" s="17" t="inlineStr">
        <is>
          <t>workspaces</t>
        </is>
      </c>
      <c r="C280" s="41">
        <f>C152+C178+C200+C222</f>
        <v/>
      </c>
      <c r="D280" s="41">
        <f>D152+D178+D200+D222</f>
        <v/>
      </c>
      <c r="E280" s="41">
        <f>E152+E178+E200+E222</f>
        <v/>
      </c>
      <c r="F280" s="41">
        <f>F152+F178+F200+F222</f>
        <v/>
      </c>
      <c r="G280" s="41">
        <f>G152+G178+G200+G222</f>
        <v/>
      </c>
      <c r="H280" s="41">
        <f>H152+H178+H200+H222</f>
        <v/>
      </c>
      <c r="I280" s="41">
        <f>I152+I178+I200+I222</f>
        <v/>
      </c>
      <c r="J280" s="41">
        <f>J152+J178+J200+J222</f>
        <v/>
      </c>
      <c r="K280" s="41">
        <f>K152+K178+K200+K222</f>
        <v/>
      </c>
      <c r="L280" s="41">
        <f>L152+L178+L200+L222</f>
        <v/>
      </c>
      <c r="M280" s="41">
        <f>M152+M178+M200+M222</f>
        <v/>
      </c>
      <c r="N280" s="41">
        <f>N152+N178+N200+N222</f>
        <v/>
      </c>
      <c r="O280" s="41">
        <f>O152+O178+O200+O222</f>
        <v/>
      </c>
      <c r="P280" s="41">
        <f>P152+P178+P200+P222</f>
        <v/>
      </c>
      <c r="Q280" s="41">
        <f>Q152+Q178+Q200+Q222</f>
        <v/>
      </c>
      <c r="R280" s="41">
        <f>R152+R178+R200+R222</f>
        <v/>
      </c>
      <c r="S280" s="41">
        <f>S152+S178+S200+S222</f>
        <v/>
      </c>
      <c r="T280" s="41">
        <f>T152+T178+T200+T222</f>
        <v/>
      </c>
      <c r="U280" s="41">
        <f>U152+U178+U200+U222</f>
        <v/>
      </c>
      <c r="V280" s="41">
        <f>V152+V178+V200+V222</f>
        <v/>
      </c>
      <c r="W280" s="41">
        <f>W152+W178+W200+W222</f>
        <v/>
      </c>
      <c r="X280" s="41">
        <f>X152+X178+X200+X222</f>
        <v/>
      </c>
      <c r="Y280" s="41">
        <f>Y152+Y178+Y200+Y222</f>
        <v/>
      </c>
      <c r="Z280" s="41">
        <f>Z152+Z178+Z200+Z222</f>
        <v/>
      </c>
      <c r="AA280" s="41">
        <f>AA152+AA178+AA200+AA222</f>
        <v/>
      </c>
      <c r="AB280" s="41">
        <f>AB152+AB178+AB200+AB222</f>
        <v/>
      </c>
      <c r="AC280" s="41">
        <f>AC152+AC178+AC200+AC222</f>
        <v/>
      </c>
      <c r="AD280" s="41">
        <f>AD152+AD178+AD200+AD222</f>
        <v/>
      </c>
      <c r="AE280" s="41">
        <f>AE152+AE178+AE200+AE222</f>
        <v/>
      </c>
      <c r="AF280" s="41">
        <f>AF152+AF178+AF200+AF222</f>
        <v/>
      </c>
      <c r="AG280" s="41">
        <f>AG152+AG178+AG200+AG222</f>
        <v/>
      </c>
      <c r="AH280" s="41">
        <f>AH152+AH178+AH200+AH222</f>
        <v/>
      </c>
      <c r="AI280" s="41">
        <f>AI152+AI178+AI200+AI222</f>
        <v/>
      </c>
      <c r="AJ280" s="41">
        <f>AJ152+AJ178+AJ200+AJ222</f>
        <v/>
      </c>
      <c r="AK280" s="41">
        <f>AK152+AK178+AK200+AK222</f>
        <v/>
      </c>
      <c r="AL280" s="41">
        <f>AL152+AL178+AL200+AL222</f>
        <v/>
      </c>
      <c r="AM280" s="41">
        <f>AM152+AM178+AM200+AM222</f>
        <v/>
      </c>
      <c r="AN280" s="41">
        <f>AN152+AN178+AN200+AN222</f>
        <v/>
      </c>
      <c r="AO280" s="41">
        <f>AO152+AO178+AO200+AO222</f>
        <v/>
      </c>
      <c r="AP280" s="41">
        <f>AP152+AP178+AP200+AP222</f>
        <v/>
      </c>
      <c r="AQ280" s="41">
        <f>AQ152+AQ178+AQ200+AQ222</f>
        <v/>
      </c>
      <c r="AR280" s="41">
        <f>AR152+AR178+AR200+AR222</f>
        <v/>
      </c>
      <c r="AS280" s="41">
        <f>AS152+AS178+AS200+AS222</f>
        <v/>
      </c>
      <c r="AT280" s="41">
        <f>AT152+AT178+AT200+AT222</f>
        <v/>
      </c>
      <c r="AU280" s="41">
        <f>AU152+AU178+AU200+AU222</f>
        <v/>
      </c>
      <c r="AV280" s="41">
        <f>AV152+AV178+AV200+AV222</f>
        <v/>
      </c>
      <c r="AW280" s="41">
        <f>AW152+AW178+AW200+AW222</f>
        <v/>
      </c>
      <c r="AX280" s="41">
        <f>AX152+AX178+AX200+AX222</f>
        <v/>
      </c>
      <c r="AY280" s="41">
        <f>AY152+AY178+AY200+AY222</f>
        <v/>
      </c>
      <c r="AZ280" s="41">
        <f>AZ152+AZ178+AZ200+AZ222</f>
        <v/>
      </c>
      <c r="BA280" s="41">
        <f>BA152+BA178+BA200+BA222</f>
        <v/>
      </c>
      <c r="BB280" s="41">
        <f>BB152+BB178+BB200+BB222</f>
        <v/>
      </c>
      <c r="BC280" s="41">
        <f>BC152+BC178+BC200+BC222</f>
        <v/>
      </c>
      <c r="BD280" s="41">
        <f>BD152+BD178+BD200+BD222</f>
        <v/>
      </c>
      <c r="BE280" s="41">
        <f>BE152+BE178+BE200+BE222</f>
        <v/>
      </c>
      <c r="BF280" s="41">
        <f>BF152+BF178+BF200+BF222</f>
        <v/>
      </c>
      <c r="BG280" s="41">
        <f>BG152+BG178+BG200+BG222</f>
        <v/>
      </c>
      <c r="BH280" s="41">
        <f>BH152+BH178+BH200+BH222</f>
        <v/>
      </c>
      <c r="BI280" s="41">
        <f>BI152+BI178+BI200+BI222</f>
        <v/>
      </c>
      <c r="BJ280" s="41">
        <f>BJ152+BJ178+BJ200+BJ222</f>
        <v/>
      </c>
    </row>
    <row r="281">
      <c r="A281" s="4" t="inlineStr">
        <is>
          <t>Enterprise: opening</t>
        </is>
      </c>
      <c r="B281" s="17" t="inlineStr">
        <is>
          <t>workspaces</t>
        </is>
      </c>
      <c r="C281" s="41">
        <f>C155</f>
        <v/>
      </c>
      <c r="D281" s="41">
        <f>D155</f>
        <v/>
      </c>
      <c r="E281" s="41">
        <f>E155</f>
        <v/>
      </c>
      <c r="F281" s="41">
        <f>F155</f>
        <v/>
      </c>
      <c r="G281" s="41">
        <f>G155</f>
        <v/>
      </c>
      <c r="H281" s="41">
        <f>H155</f>
        <v/>
      </c>
      <c r="I281" s="41">
        <f>I155</f>
        <v/>
      </c>
      <c r="J281" s="41">
        <f>J155</f>
        <v/>
      </c>
      <c r="K281" s="41">
        <f>K155</f>
        <v/>
      </c>
      <c r="L281" s="41">
        <f>L155</f>
        <v/>
      </c>
      <c r="M281" s="41">
        <f>M155</f>
        <v/>
      </c>
      <c r="N281" s="41">
        <f>N155</f>
        <v/>
      </c>
      <c r="O281" s="41">
        <f>O155</f>
        <v/>
      </c>
      <c r="P281" s="41">
        <f>P155</f>
        <v/>
      </c>
      <c r="Q281" s="41">
        <f>Q155</f>
        <v/>
      </c>
      <c r="R281" s="41">
        <f>R155</f>
        <v/>
      </c>
      <c r="S281" s="41">
        <f>S155</f>
        <v/>
      </c>
      <c r="T281" s="41">
        <f>T155</f>
        <v/>
      </c>
      <c r="U281" s="41">
        <f>U155</f>
        <v/>
      </c>
      <c r="V281" s="41">
        <f>V155</f>
        <v/>
      </c>
      <c r="W281" s="41">
        <f>W155</f>
        <v/>
      </c>
      <c r="X281" s="41">
        <f>X155</f>
        <v/>
      </c>
      <c r="Y281" s="41">
        <f>Y155</f>
        <v/>
      </c>
      <c r="Z281" s="41">
        <f>Z155</f>
        <v/>
      </c>
      <c r="AA281" s="41">
        <f>AA155</f>
        <v/>
      </c>
      <c r="AB281" s="41">
        <f>AB155</f>
        <v/>
      </c>
      <c r="AC281" s="41">
        <f>AC155</f>
        <v/>
      </c>
      <c r="AD281" s="41">
        <f>AD155</f>
        <v/>
      </c>
      <c r="AE281" s="41">
        <f>AE155</f>
        <v/>
      </c>
      <c r="AF281" s="41">
        <f>AF155</f>
        <v/>
      </c>
      <c r="AG281" s="41">
        <f>AG155</f>
        <v/>
      </c>
      <c r="AH281" s="41">
        <f>AH155</f>
        <v/>
      </c>
      <c r="AI281" s="41">
        <f>AI155</f>
        <v/>
      </c>
      <c r="AJ281" s="41">
        <f>AJ155</f>
        <v/>
      </c>
      <c r="AK281" s="41">
        <f>AK155</f>
        <v/>
      </c>
      <c r="AL281" s="41">
        <f>AL155</f>
        <v/>
      </c>
      <c r="AM281" s="41">
        <f>AM155</f>
        <v/>
      </c>
      <c r="AN281" s="41">
        <f>AN155</f>
        <v/>
      </c>
      <c r="AO281" s="41">
        <f>AO155</f>
        <v/>
      </c>
      <c r="AP281" s="41">
        <f>AP155</f>
        <v/>
      </c>
      <c r="AQ281" s="41">
        <f>AQ155</f>
        <v/>
      </c>
      <c r="AR281" s="41">
        <f>AR155</f>
        <v/>
      </c>
      <c r="AS281" s="41">
        <f>AS155</f>
        <v/>
      </c>
      <c r="AT281" s="41">
        <f>AT155</f>
        <v/>
      </c>
      <c r="AU281" s="41">
        <f>AU155</f>
        <v/>
      </c>
      <c r="AV281" s="41">
        <f>AV155</f>
        <v/>
      </c>
      <c r="AW281" s="41">
        <f>AW155</f>
        <v/>
      </c>
      <c r="AX281" s="41">
        <f>AX155</f>
        <v/>
      </c>
      <c r="AY281" s="41">
        <f>AY155</f>
        <v/>
      </c>
      <c r="AZ281" s="41">
        <f>AZ155</f>
        <v/>
      </c>
      <c r="BA281" s="41">
        <f>BA155</f>
        <v/>
      </c>
      <c r="BB281" s="41">
        <f>BB155</f>
        <v/>
      </c>
      <c r="BC281" s="41">
        <f>BC155</f>
        <v/>
      </c>
      <c r="BD281" s="41">
        <f>BD155</f>
        <v/>
      </c>
      <c r="BE281" s="41">
        <f>BE155</f>
        <v/>
      </c>
      <c r="BF281" s="41">
        <f>BF155</f>
        <v/>
      </c>
      <c r="BG281" s="41">
        <f>BG155</f>
        <v/>
      </c>
      <c r="BH281" s="41">
        <f>BH155</f>
        <v/>
      </c>
      <c r="BI281" s="41">
        <f>BI155</f>
        <v/>
      </c>
      <c r="BJ281" s="41">
        <f>BJ155</f>
        <v/>
      </c>
    </row>
    <row r="282">
      <c r="A282" s="3" t="inlineStr">
        <is>
          <t>Enterprise: closing</t>
        </is>
      </c>
      <c r="B282" s="17" t="inlineStr">
        <is>
          <t>workspaces</t>
        </is>
      </c>
      <c r="C282" s="44">
        <f>C158</f>
        <v/>
      </c>
      <c r="D282" s="44">
        <f>D158</f>
        <v/>
      </c>
      <c r="E282" s="44">
        <f>E158</f>
        <v/>
      </c>
      <c r="F282" s="44">
        <f>F158</f>
        <v/>
      </c>
      <c r="G282" s="44">
        <f>G158</f>
        <v/>
      </c>
      <c r="H282" s="44">
        <f>H158</f>
        <v/>
      </c>
      <c r="I282" s="44">
        <f>I158</f>
        <v/>
      </c>
      <c r="J282" s="44">
        <f>J158</f>
        <v/>
      </c>
      <c r="K282" s="44">
        <f>K158</f>
        <v/>
      </c>
      <c r="L282" s="44">
        <f>L158</f>
        <v/>
      </c>
      <c r="M282" s="44">
        <f>M158</f>
        <v/>
      </c>
      <c r="N282" s="44">
        <f>N158</f>
        <v/>
      </c>
      <c r="O282" s="44">
        <f>O158</f>
        <v/>
      </c>
      <c r="P282" s="44">
        <f>P158</f>
        <v/>
      </c>
      <c r="Q282" s="44">
        <f>Q158</f>
        <v/>
      </c>
      <c r="R282" s="44">
        <f>R158</f>
        <v/>
      </c>
      <c r="S282" s="44">
        <f>S158</f>
        <v/>
      </c>
      <c r="T282" s="44">
        <f>T158</f>
        <v/>
      </c>
      <c r="U282" s="44">
        <f>U158</f>
        <v/>
      </c>
      <c r="V282" s="44">
        <f>V158</f>
        <v/>
      </c>
      <c r="W282" s="44">
        <f>W158</f>
        <v/>
      </c>
      <c r="X282" s="44">
        <f>X158</f>
        <v/>
      </c>
      <c r="Y282" s="44">
        <f>Y158</f>
        <v/>
      </c>
      <c r="Z282" s="44">
        <f>Z158</f>
        <v/>
      </c>
      <c r="AA282" s="44">
        <f>AA158</f>
        <v/>
      </c>
      <c r="AB282" s="44">
        <f>AB158</f>
        <v/>
      </c>
      <c r="AC282" s="44">
        <f>AC158</f>
        <v/>
      </c>
      <c r="AD282" s="44">
        <f>AD158</f>
        <v/>
      </c>
      <c r="AE282" s="44">
        <f>AE158</f>
        <v/>
      </c>
      <c r="AF282" s="44">
        <f>AF158</f>
        <v/>
      </c>
      <c r="AG282" s="44">
        <f>AG158</f>
        <v/>
      </c>
      <c r="AH282" s="44">
        <f>AH158</f>
        <v/>
      </c>
      <c r="AI282" s="44">
        <f>AI158</f>
        <v/>
      </c>
      <c r="AJ282" s="44">
        <f>AJ158</f>
        <v/>
      </c>
      <c r="AK282" s="44">
        <f>AK158</f>
        <v/>
      </c>
      <c r="AL282" s="44">
        <f>AL158</f>
        <v/>
      </c>
      <c r="AM282" s="44">
        <f>AM158</f>
        <v/>
      </c>
      <c r="AN282" s="44">
        <f>AN158</f>
        <v/>
      </c>
      <c r="AO282" s="44">
        <f>AO158</f>
        <v/>
      </c>
      <c r="AP282" s="44">
        <f>AP158</f>
        <v/>
      </c>
      <c r="AQ282" s="44">
        <f>AQ158</f>
        <v/>
      </c>
      <c r="AR282" s="44">
        <f>AR158</f>
        <v/>
      </c>
      <c r="AS282" s="44">
        <f>AS158</f>
        <v/>
      </c>
      <c r="AT282" s="44">
        <f>AT158</f>
        <v/>
      </c>
      <c r="AU282" s="44">
        <f>AU158</f>
        <v/>
      </c>
      <c r="AV282" s="44">
        <f>AV158</f>
        <v/>
      </c>
      <c r="AW282" s="44">
        <f>AW158</f>
        <v/>
      </c>
      <c r="AX282" s="44">
        <f>AX158</f>
        <v/>
      </c>
      <c r="AY282" s="44">
        <f>AY158</f>
        <v/>
      </c>
      <c r="AZ282" s="44">
        <f>AZ158</f>
        <v/>
      </c>
      <c r="BA282" s="44">
        <f>BA158</f>
        <v/>
      </c>
      <c r="BB282" s="44">
        <f>BB158</f>
        <v/>
      </c>
      <c r="BC282" s="44">
        <f>BC158</f>
        <v/>
      </c>
      <c r="BD282" s="44">
        <f>BD158</f>
        <v/>
      </c>
      <c r="BE282" s="44">
        <f>BE158</f>
        <v/>
      </c>
      <c r="BF282" s="44">
        <f>BF158</f>
        <v/>
      </c>
      <c r="BG282" s="44">
        <f>BG158</f>
        <v/>
      </c>
      <c r="BH282" s="44">
        <f>BH158</f>
        <v/>
      </c>
      <c r="BI282" s="44">
        <f>BI158</f>
        <v/>
      </c>
      <c r="BJ282" s="44">
        <f>BJ158</f>
        <v/>
      </c>
    </row>
    <row r="283">
      <c r="A283" s="4" t="inlineStr">
        <is>
          <t>Enterprise: churned</t>
        </is>
      </c>
      <c r="B283" s="17" t="inlineStr">
        <is>
          <t>workspaces</t>
        </is>
      </c>
      <c r="C283" s="41">
        <f>C157</f>
        <v/>
      </c>
      <c r="D283" s="41">
        <f>D157</f>
        <v/>
      </c>
      <c r="E283" s="41">
        <f>E157</f>
        <v/>
      </c>
      <c r="F283" s="41">
        <f>F157</f>
        <v/>
      </c>
      <c r="G283" s="41">
        <f>G157</f>
        <v/>
      </c>
      <c r="H283" s="41">
        <f>H157</f>
        <v/>
      </c>
      <c r="I283" s="41">
        <f>I157</f>
        <v/>
      </c>
      <c r="J283" s="41">
        <f>J157</f>
        <v/>
      </c>
      <c r="K283" s="41">
        <f>K157</f>
        <v/>
      </c>
      <c r="L283" s="41">
        <f>L157</f>
        <v/>
      </c>
      <c r="M283" s="41">
        <f>M157</f>
        <v/>
      </c>
      <c r="N283" s="41">
        <f>N157</f>
        <v/>
      </c>
      <c r="O283" s="41">
        <f>O157</f>
        <v/>
      </c>
      <c r="P283" s="41">
        <f>P157</f>
        <v/>
      </c>
      <c r="Q283" s="41">
        <f>Q157</f>
        <v/>
      </c>
      <c r="R283" s="41">
        <f>R157</f>
        <v/>
      </c>
      <c r="S283" s="41">
        <f>S157</f>
        <v/>
      </c>
      <c r="T283" s="41">
        <f>T157</f>
        <v/>
      </c>
      <c r="U283" s="41">
        <f>U157</f>
        <v/>
      </c>
      <c r="V283" s="41">
        <f>V157</f>
        <v/>
      </c>
      <c r="W283" s="41">
        <f>W157</f>
        <v/>
      </c>
      <c r="X283" s="41">
        <f>X157</f>
        <v/>
      </c>
      <c r="Y283" s="41">
        <f>Y157</f>
        <v/>
      </c>
      <c r="Z283" s="41">
        <f>Z157</f>
        <v/>
      </c>
      <c r="AA283" s="41">
        <f>AA157</f>
        <v/>
      </c>
      <c r="AB283" s="41">
        <f>AB157</f>
        <v/>
      </c>
      <c r="AC283" s="41">
        <f>AC157</f>
        <v/>
      </c>
      <c r="AD283" s="41">
        <f>AD157</f>
        <v/>
      </c>
      <c r="AE283" s="41">
        <f>AE157</f>
        <v/>
      </c>
      <c r="AF283" s="41">
        <f>AF157</f>
        <v/>
      </c>
      <c r="AG283" s="41">
        <f>AG157</f>
        <v/>
      </c>
      <c r="AH283" s="41">
        <f>AH157</f>
        <v/>
      </c>
      <c r="AI283" s="41">
        <f>AI157</f>
        <v/>
      </c>
      <c r="AJ283" s="41">
        <f>AJ157</f>
        <v/>
      </c>
      <c r="AK283" s="41">
        <f>AK157</f>
        <v/>
      </c>
      <c r="AL283" s="41">
        <f>AL157</f>
        <v/>
      </c>
      <c r="AM283" s="41">
        <f>AM157</f>
        <v/>
      </c>
      <c r="AN283" s="41">
        <f>AN157</f>
        <v/>
      </c>
      <c r="AO283" s="41">
        <f>AO157</f>
        <v/>
      </c>
      <c r="AP283" s="41">
        <f>AP157</f>
        <v/>
      </c>
      <c r="AQ283" s="41">
        <f>AQ157</f>
        <v/>
      </c>
      <c r="AR283" s="41">
        <f>AR157</f>
        <v/>
      </c>
      <c r="AS283" s="41">
        <f>AS157</f>
        <v/>
      </c>
      <c r="AT283" s="41">
        <f>AT157</f>
        <v/>
      </c>
      <c r="AU283" s="41">
        <f>AU157</f>
        <v/>
      </c>
      <c r="AV283" s="41">
        <f>AV157</f>
        <v/>
      </c>
      <c r="AW283" s="41">
        <f>AW157</f>
        <v/>
      </c>
      <c r="AX283" s="41">
        <f>AX157</f>
        <v/>
      </c>
      <c r="AY283" s="41">
        <f>AY157</f>
        <v/>
      </c>
      <c r="AZ283" s="41">
        <f>AZ157</f>
        <v/>
      </c>
      <c r="BA283" s="41">
        <f>BA157</f>
        <v/>
      </c>
      <c r="BB283" s="41">
        <f>BB157</f>
        <v/>
      </c>
      <c r="BC283" s="41">
        <f>BC157</f>
        <v/>
      </c>
      <c r="BD283" s="41">
        <f>BD157</f>
        <v/>
      </c>
      <c r="BE283" s="41">
        <f>BE157</f>
        <v/>
      </c>
      <c r="BF283" s="41">
        <f>BF157</f>
        <v/>
      </c>
      <c r="BG283" s="41">
        <f>BG157</f>
        <v/>
      </c>
      <c r="BH283" s="41">
        <f>BH157</f>
        <v/>
      </c>
      <c r="BI283" s="41">
        <f>BI157</f>
        <v/>
      </c>
      <c r="BJ283" s="41">
        <f>BJ157</f>
        <v/>
      </c>
    </row>
    <row r="284">
      <c r="A284" s="4" t="inlineStr">
        <is>
          <t>Enterprise: new customers acquired (excl. upgrades)</t>
        </is>
      </c>
      <c r="B284" s="17" t="inlineStr">
        <is>
          <t>workspaces</t>
        </is>
      </c>
      <c r="C284" s="41">
        <f>C156</f>
        <v/>
      </c>
      <c r="D284" s="41">
        <f>D156</f>
        <v/>
      </c>
      <c r="E284" s="41">
        <f>E156</f>
        <v/>
      </c>
      <c r="F284" s="41">
        <f>F156</f>
        <v/>
      </c>
      <c r="G284" s="41">
        <f>G156</f>
        <v/>
      </c>
      <c r="H284" s="41">
        <f>H156</f>
        <v/>
      </c>
      <c r="I284" s="41">
        <f>I156</f>
        <v/>
      </c>
      <c r="J284" s="41">
        <f>J156</f>
        <v/>
      </c>
      <c r="K284" s="41">
        <f>K156</f>
        <v/>
      </c>
      <c r="L284" s="41">
        <f>L156</f>
        <v/>
      </c>
      <c r="M284" s="41">
        <f>M156</f>
        <v/>
      </c>
      <c r="N284" s="41">
        <f>N156</f>
        <v/>
      </c>
      <c r="O284" s="41">
        <f>O156</f>
        <v/>
      </c>
      <c r="P284" s="41">
        <f>P156</f>
        <v/>
      </c>
      <c r="Q284" s="41">
        <f>Q156</f>
        <v/>
      </c>
      <c r="R284" s="41">
        <f>R156</f>
        <v/>
      </c>
      <c r="S284" s="41">
        <f>S156</f>
        <v/>
      </c>
      <c r="T284" s="41">
        <f>T156</f>
        <v/>
      </c>
      <c r="U284" s="41">
        <f>U156</f>
        <v/>
      </c>
      <c r="V284" s="41">
        <f>V156</f>
        <v/>
      </c>
      <c r="W284" s="41">
        <f>W156</f>
        <v/>
      </c>
      <c r="X284" s="41">
        <f>X156</f>
        <v/>
      </c>
      <c r="Y284" s="41">
        <f>Y156</f>
        <v/>
      </c>
      <c r="Z284" s="41">
        <f>Z156</f>
        <v/>
      </c>
      <c r="AA284" s="41">
        <f>AA156</f>
        <v/>
      </c>
      <c r="AB284" s="41">
        <f>AB156</f>
        <v/>
      </c>
      <c r="AC284" s="41">
        <f>AC156</f>
        <v/>
      </c>
      <c r="AD284" s="41">
        <f>AD156</f>
        <v/>
      </c>
      <c r="AE284" s="41">
        <f>AE156</f>
        <v/>
      </c>
      <c r="AF284" s="41">
        <f>AF156</f>
        <v/>
      </c>
      <c r="AG284" s="41">
        <f>AG156</f>
        <v/>
      </c>
      <c r="AH284" s="41">
        <f>AH156</f>
        <v/>
      </c>
      <c r="AI284" s="41">
        <f>AI156</f>
        <v/>
      </c>
      <c r="AJ284" s="41">
        <f>AJ156</f>
        <v/>
      </c>
      <c r="AK284" s="41">
        <f>AK156</f>
        <v/>
      </c>
      <c r="AL284" s="41">
        <f>AL156</f>
        <v/>
      </c>
      <c r="AM284" s="41">
        <f>AM156</f>
        <v/>
      </c>
      <c r="AN284" s="41">
        <f>AN156</f>
        <v/>
      </c>
      <c r="AO284" s="41">
        <f>AO156</f>
        <v/>
      </c>
      <c r="AP284" s="41">
        <f>AP156</f>
        <v/>
      </c>
      <c r="AQ284" s="41">
        <f>AQ156</f>
        <v/>
      </c>
      <c r="AR284" s="41">
        <f>AR156</f>
        <v/>
      </c>
      <c r="AS284" s="41">
        <f>AS156</f>
        <v/>
      </c>
      <c r="AT284" s="41">
        <f>AT156</f>
        <v/>
      </c>
      <c r="AU284" s="41">
        <f>AU156</f>
        <v/>
      </c>
      <c r="AV284" s="41">
        <f>AV156</f>
        <v/>
      </c>
      <c r="AW284" s="41">
        <f>AW156</f>
        <v/>
      </c>
      <c r="AX284" s="41">
        <f>AX156</f>
        <v/>
      </c>
      <c r="AY284" s="41">
        <f>AY156</f>
        <v/>
      </c>
      <c r="AZ284" s="41">
        <f>AZ156</f>
        <v/>
      </c>
      <c r="BA284" s="41">
        <f>BA156</f>
        <v/>
      </c>
      <c r="BB284" s="41">
        <f>BB156</f>
        <v/>
      </c>
      <c r="BC284" s="41">
        <f>BC156</f>
        <v/>
      </c>
      <c r="BD284" s="41">
        <f>BD156</f>
        <v/>
      </c>
      <c r="BE284" s="41">
        <f>BE156</f>
        <v/>
      </c>
      <c r="BF284" s="41">
        <f>BF156</f>
        <v/>
      </c>
      <c r="BG284" s="41">
        <f>BG156</f>
        <v/>
      </c>
      <c r="BH284" s="41">
        <f>BH156</f>
        <v/>
      </c>
      <c r="BI284" s="41">
        <f>BI156</f>
        <v/>
      </c>
      <c r="BJ284" s="41">
        <f>BJ156</f>
        <v/>
      </c>
    </row>
    <row r="285">
      <c r="A285" s="4" t="inlineStr">
        <is>
          <t>Starter tier: opening</t>
        </is>
      </c>
      <c r="B285" s="17" t="inlineStr">
        <is>
          <t>workspaces</t>
        </is>
      </c>
      <c r="C285" s="41">
        <f>C133+C159+C181+C203+C225+C243</f>
        <v/>
      </c>
      <c r="D285" s="41">
        <f>D133+D159+D181+D203+D225+D243</f>
        <v/>
      </c>
      <c r="E285" s="41">
        <f>E133+E159+E181+E203+E225+E243</f>
        <v/>
      </c>
      <c r="F285" s="41">
        <f>F133+F159+F181+F203+F225+F243</f>
        <v/>
      </c>
      <c r="G285" s="41">
        <f>G133+G159+G181+G203+G225+G243</f>
        <v/>
      </c>
      <c r="H285" s="41">
        <f>H133+H159+H181+H203+H225+H243</f>
        <v/>
      </c>
      <c r="I285" s="41">
        <f>I133+I159+I181+I203+I225+I243</f>
        <v/>
      </c>
      <c r="J285" s="41">
        <f>J133+J159+J181+J203+J225+J243</f>
        <v/>
      </c>
      <c r="K285" s="41">
        <f>K133+K159+K181+K203+K225+K243</f>
        <v/>
      </c>
      <c r="L285" s="41">
        <f>L133+L159+L181+L203+L225+L243</f>
        <v/>
      </c>
      <c r="M285" s="41">
        <f>M133+M159+M181+M203+M225+M243</f>
        <v/>
      </c>
      <c r="N285" s="41">
        <f>N133+N159+N181+N203+N225+N243</f>
        <v/>
      </c>
      <c r="O285" s="41">
        <f>O133+O159+O181+O203+O225+O243</f>
        <v/>
      </c>
      <c r="P285" s="41">
        <f>P133+P159+P181+P203+P225+P243</f>
        <v/>
      </c>
      <c r="Q285" s="41">
        <f>Q133+Q159+Q181+Q203+Q225+Q243</f>
        <v/>
      </c>
      <c r="R285" s="41">
        <f>R133+R159+R181+R203+R225+R243</f>
        <v/>
      </c>
      <c r="S285" s="41">
        <f>S133+S159+S181+S203+S225+S243</f>
        <v/>
      </c>
      <c r="T285" s="41">
        <f>T133+T159+T181+T203+T225+T243</f>
        <v/>
      </c>
      <c r="U285" s="41">
        <f>U133+U159+U181+U203+U225+U243</f>
        <v/>
      </c>
      <c r="V285" s="41">
        <f>V133+V159+V181+V203+V225+V243</f>
        <v/>
      </c>
      <c r="W285" s="41">
        <f>W133+W159+W181+W203+W225+W243</f>
        <v/>
      </c>
      <c r="X285" s="41">
        <f>X133+X159+X181+X203+X225+X243</f>
        <v/>
      </c>
      <c r="Y285" s="41">
        <f>Y133+Y159+Y181+Y203+Y225+Y243</f>
        <v/>
      </c>
      <c r="Z285" s="41">
        <f>Z133+Z159+Z181+Z203+Z225+Z243</f>
        <v/>
      </c>
      <c r="AA285" s="41">
        <f>AA133+AA159+AA181+AA203+AA225+AA243</f>
        <v/>
      </c>
      <c r="AB285" s="41">
        <f>AB133+AB159+AB181+AB203+AB225+AB243</f>
        <v/>
      </c>
      <c r="AC285" s="41">
        <f>AC133+AC159+AC181+AC203+AC225+AC243</f>
        <v/>
      </c>
      <c r="AD285" s="41">
        <f>AD133+AD159+AD181+AD203+AD225+AD243</f>
        <v/>
      </c>
      <c r="AE285" s="41">
        <f>AE133+AE159+AE181+AE203+AE225+AE243</f>
        <v/>
      </c>
      <c r="AF285" s="41">
        <f>AF133+AF159+AF181+AF203+AF225+AF243</f>
        <v/>
      </c>
      <c r="AG285" s="41">
        <f>AG133+AG159+AG181+AG203+AG225+AG243</f>
        <v/>
      </c>
      <c r="AH285" s="41">
        <f>AH133+AH159+AH181+AH203+AH225+AH243</f>
        <v/>
      </c>
      <c r="AI285" s="41">
        <f>AI133+AI159+AI181+AI203+AI225+AI243</f>
        <v/>
      </c>
      <c r="AJ285" s="41">
        <f>AJ133+AJ159+AJ181+AJ203+AJ225+AJ243</f>
        <v/>
      </c>
      <c r="AK285" s="41">
        <f>AK133+AK159+AK181+AK203+AK225+AK243</f>
        <v/>
      </c>
      <c r="AL285" s="41">
        <f>AL133+AL159+AL181+AL203+AL225+AL243</f>
        <v/>
      </c>
      <c r="AM285" s="41">
        <f>AM133+AM159+AM181+AM203+AM225+AM243</f>
        <v/>
      </c>
      <c r="AN285" s="41">
        <f>AN133+AN159+AN181+AN203+AN225+AN243</f>
        <v/>
      </c>
      <c r="AO285" s="41">
        <f>AO133+AO159+AO181+AO203+AO225+AO243</f>
        <v/>
      </c>
      <c r="AP285" s="41">
        <f>AP133+AP159+AP181+AP203+AP225+AP243</f>
        <v/>
      </c>
      <c r="AQ285" s="41">
        <f>AQ133+AQ159+AQ181+AQ203+AQ225+AQ243</f>
        <v/>
      </c>
      <c r="AR285" s="41">
        <f>AR133+AR159+AR181+AR203+AR225+AR243</f>
        <v/>
      </c>
      <c r="AS285" s="41">
        <f>AS133+AS159+AS181+AS203+AS225+AS243</f>
        <v/>
      </c>
      <c r="AT285" s="41">
        <f>AT133+AT159+AT181+AT203+AT225+AT243</f>
        <v/>
      </c>
      <c r="AU285" s="41">
        <f>AU133+AU159+AU181+AU203+AU225+AU243</f>
        <v/>
      </c>
      <c r="AV285" s="41">
        <f>AV133+AV159+AV181+AV203+AV225+AV243</f>
        <v/>
      </c>
      <c r="AW285" s="41">
        <f>AW133+AW159+AW181+AW203+AW225+AW243</f>
        <v/>
      </c>
      <c r="AX285" s="41">
        <f>AX133+AX159+AX181+AX203+AX225+AX243</f>
        <v/>
      </c>
      <c r="AY285" s="41">
        <f>AY133+AY159+AY181+AY203+AY225+AY243</f>
        <v/>
      </c>
      <c r="AZ285" s="41">
        <f>AZ133+AZ159+AZ181+AZ203+AZ225+AZ243</f>
        <v/>
      </c>
      <c r="BA285" s="41">
        <f>BA133+BA159+BA181+BA203+BA225+BA243</f>
        <v/>
      </c>
      <c r="BB285" s="41">
        <f>BB133+BB159+BB181+BB203+BB225+BB243</f>
        <v/>
      </c>
      <c r="BC285" s="41">
        <f>BC133+BC159+BC181+BC203+BC225+BC243</f>
        <v/>
      </c>
      <c r="BD285" s="41">
        <f>BD133+BD159+BD181+BD203+BD225+BD243</f>
        <v/>
      </c>
      <c r="BE285" s="41">
        <f>BE133+BE159+BE181+BE203+BE225+BE243</f>
        <v/>
      </c>
      <c r="BF285" s="41">
        <f>BF133+BF159+BF181+BF203+BF225+BF243</f>
        <v/>
      </c>
      <c r="BG285" s="41">
        <f>BG133+BG159+BG181+BG203+BG225+BG243</f>
        <v/>
      </c>
      <c r="BH285" s="41">
        <f>BH133+BH159+BH181+BH203+BH225+BH243</f>
        <v/>
      </c>
      <c r="BI285" s="41">
        <f>BI133+BI159+BI181+BI203+BI225+BI243</f>
        <v/>
      </c>
      <c r="BJ285" s="41">
        <f>BJ133+BJ159+BJ181+BJ203+BJ225+BJ243</f>
        <v/>
      </c>
    </row>
    <row r="286">
      <c r="A286" s="4" t="inlineStr">
        <is>
          <t>Starter tier: closing</t>
        </is>
      </c>
      <c r="B286" s="17" t="inlineStr">
        <is>
          <t>workspaces</t>
        </is>
      </c>
      <c r="C286" s="41">
        <f>C137+C163+C185+C207+C229+C247</f>
        <v/>
      </c>
      <c r="D286" s="41">
        <f>D137+D163+D185+D207+D229+D247</f>
        <v/>
      </c>
      <c r="E286" s="41">
        <f>E137+E163+E185+E207+E229+E247</f>
        <v/>
      </c>
      <c r="F286" s="41">
        <f>F137+F163+F185+F207+F229+F247</f>
        <v/>
      </c>
      <c r="G286" s="41">
        <f>G137+G163+G185+G207+G229+G247</f>
        <v/>
      </c>
      <c r="H286" s="41">
        <f>H137+H163+H185+H207+H229+H247</f>
        <v/>
      </c>
      <c r="I286" s="41">
        <f>I137+I163+I185+I207+I229+I247</f>
        <v/>
      </c>
      <c r="J286" s="41">
        <f>J137+J163+J185+J207+J229+J247</f>
        <v/>
      </c>
      <c r="K286" s="41">
        <f>K137+K163+K185+K207+K229+K247</f>
        <v/>
      </c>
      <c r="L286" s="41">
        <f>L137+L163+L185+L207+L229+L247</f>
        <v/>
      </c>
      <c r="M286" s="41">
        <f>M137+M163+M185+M207+M229+M247</f>
        <v/>
      </c>
      <c r="N286" s="41">
        <f>N137+N163+N185+N207+N229+N247</f>
        <v/>
      </c>
      <c r="O286" s="41">
        <f>O137+O163+O185+O207+O229+O247</f>
        <v/>
      </c>
      <c r="P286" s="41">
        <f>P137+P163+P185+P207+P229+P247</f>
        <v/>
      </c>
      <c r="Q286" s="41">
        <f>Q137+Q163+Q185+Q207+Q229+Q247</f>
        <v/>
      </c>
      <c r="R286" s="41">
        <f>R137+R163+R185+R207+R229+R247</f>
        <v/>
      </c>
      <c r="S286" s="41">
        <f>S137+S163+S185+S207+S229+S247</f>
        <v/>
      </c>
      <c r="T286" s="41">
        <f>T137+T163+T185+T207+T229+T247</f>
        <v/>
      </c>
      <c r="U286" s="41">
        <f>U137+U163+U185+U207+U229+U247</f>
        <v/>
      </c>
      <c r="V286" s="41">
        <f>V137+V163+V185+V207+V229+V247</f>
        <v/>
      </c>
      <c r="W286" s="41">
        <f>W137+W163+W185+W207+W229+W247</f>
        <v/>
      </c>
      <c r="X286" s="41">
        <f>X137+X163+X185+X207+X229+X247</f>
        <v/>
      </c>
      <c r="Y286" s="41">
        <f>Y137+Y163+Y185+Y207+Y229+Y247</f>
        <v/>
      </c>
      <c r="Z286" s="41">
        <f>Z137+Z163+Z185+Z207+Z229+Z247</f>
        <v/>
      </c>
      <c r="AA286" s="41">
        <f>AA137+AA163+AA185+AA207+AA229+AA247</f>
        <v/>
      </c>
      <c r="AB286" s="41">
        <f>AB137+AB163+AB185+AB207+AB229+AB247</f>
        <v/>
      </c>
      <c r="AC286" s="41">
        <f>AC137+AC163+AC185+AC207+AC229+AC247</f>
        <v/>
      </c>
      <c r="AD286" s="41">
        <f>AD137+AD163+AD185+AD207+AD229+AD247</f>
        <v/>
      </c>
      <c r="AE286" s="41">
        <f>AE137+AE163+AE185+AE207+AE229+AE247</f>
        <v/>
      </c>
      <c r="AF286" s="41">
        <f>AF137+AF163+AF185+AF207+AF229+AF247</f>
        <v/>
      </c>
      <c r="AG286" s="41">
        <f>AG137+AG163+AG185+AG207+AG229+AG247</f>
        <v/>
      </c>
      <c r="AH286" s="41">
        <f>AH137+AH163+AH185+AH207+AH229+AH247</f>
        <v/>
      </c>
      <c r="AI286" s="41">
        <f>AI137+AI163+AI185+AI207+AI229+AI247</f>
        <v/>
      </c>
      <c r="AJ286" s="41">
        <f>AJ137+AJ163+AJ185+AJ207+AJ229+AJ247</f>
        <v/>
      </c>
      <c r="AK286" s="41">
        <f>AK137+AK163+AK185+AK207+AK229+AK247</f>
        <v/>
      </c>
      <c r="AL286" s="41">
        <f>AL137+AL163+AL185+AL207+AL229+AL247</f>
        <v/>
      </c>
      <c r="AM286" s="41">
        <f>AM137+AM163+AM185+AM207+AM229+AM247</f>
        <v/>
      </c>
      <c r="AN286" s="41">
        <f>AN137+AN163+AN185+AN207+AN229+AN247</f>
        <v/>
      </c>
      <c r="AO286" s="41">
        <f>AO137+AO163+AO185+AO207+AO229+AO247</f>
        <v/>
      </c>
      <c r="AP286" s="41">
        <f>AP137+AP163+AP185+AP207+AP229+AP247</f>
        <v/>
      </c>
      <c r="AQ286" s="41">
        <f>AQ137+AQ163+AQ185+AQ207+AQ229+AQ247</f>
        <v/>
      </c>
      <c r="AR286" s="41">
        <f>AR137+AR163+AR185+AR207+AR229+AR247</f>
        <v/>
      </c>
      <c r="AS286" s="41">
        <f>AS137+AS163+AS185+AS207+AS229+AS247</f>
        <v/>
      </c>
      <c r="AT286" s="41">
        <f>AT137+AT163+AT185+AT207+AT229+AT247</f>
        <v/>
      </c>
      <c r="AU286" s="41">
        <f>AU137+AU163+AU185+AU207+AU229+AU247</f>
        <v/>
      </c>
      <c r="AV286" s="41">
        <f>AV137+AV163+AV185+AV207+AV229+AV247</f>
        <v/>
      </c>
      <c r="AW286" s="41">
        <f>AW137+AW163+AW185+AW207+AW229+AW247</f>
        <v/>
      </c>
      <c r="AX286" s="41">
        <f>AX137+AX163+AX185+AX207+AX229+AX247</f>
        <v/>
      </c>
      <c r="AY286" s="41">
        <f>AY137+AY163+AY185+AY207+AY229+AY247</f>
        <v/>
      </c>
      <c r="AZ286" s="41">
        <f>AZ137+AZ163+AZ185+AZ207+AZ229+AZ247</f>
        <v/>
      </c>
      <c r="BA286" s="41">
        <f>BA137+BA163+BA185+BA207+BA229+BA247</f>
        <v/>
      </c>
      <c r="BB286" s="41">
        <f>BB137+BB163+BB185+BB207+BB229+BB247</f>
        <v/>
      </c>
      <c r="BC286" s="41">
        <f>BC137+BC163+BC185+BC207+BC229+BC247</f>
        <v/>
      </c>
      <c r="BD286" s="41">
        <f>BD137+BD163+BD185+BD207+BD229+BD247</f>
        <v/>
      </c>
      <c r="BE286" s="41">
        <f>BE137+BE163+BE185+BE207+BE229+BE247</f>
        <v/>
      </c>
      <c r="BF286" s="41">
        <f>BF137+BF163+BF185+BF207+BF229+BF247</f>
        <v/>
      </c>
      <c r="BG286" s="41">
        <f>BG137+BG163+BG185+BG207+BG229+BG247</f>
        <v/>
      </c>
      <c r="BH286" s="41">
        <f>BH137+BH163+BH185+BH207+BH229+BH247</f>
        <v/>
      </c>
      <c r="BI286" s="41">
        <f>BI137+BI163+BI185+BI207+BI229+BI247</f>
        <v/>
      </c>
      <c r="BJ286" s="41">
        <f>BJ137+BJ163+BJ185+BJ207+BJ229+BJ247</f>
        <v/>
      </c>
    </row>
    <row r="287">
      <c r="A287" s="4" t="inlineStr">
        <is>
          <t>Starter tier: churned</t>
        </is>
      </c>
      <c r="B287" s="17" t="inlineStr">
        <is>
          <t>workspaces</t>
        </is>
      </c>
      <c r="C287" s="41">
        <f>C135+C161+C183+C205+C227+C245</f>
        <v/>
      </c>
      <c r="D287" s="41">
        <f>D135+D161+D183+D205+D227+D245</f>
        <v/>
      </c>
      <c r="E287" s="41">
        <f>E135+E161+E183+E205+E227+E245</f>
        <v/>
      </c>
      <c r="F287" s="41">
        <f>F135+F161+F183+F205+F227+F245</f>
        <v/>
      </c>
      <c r="G287" s="41">
        <f>G135+G161+G183+G205+G227+G245</f>
        <v/>
      </c>
      <c r="H287" s="41">
        <f>H135+H161+H183+H205+H227+H245</f>
        <v/>
      </c>
      <c r="I287" s="41">
        <f>I135+I161+I183+I205+I227+I245</f>
        <v/>
      </c>
      <c r="J287" s="41">
        <f>J135+J161+J183+J205+J227+J245</f>
        <v/>
      </c>
      <c r="K287" s="41">
        <f>K135+K161+K183+K205+K227+K245</f>
        <v/>
      </c>
      <c r="L287" s="41">
        <f>L135+L161+L183+L205+L227+L245</f>
        <v/>
      </c>
      <c r="M287" s="41">
        <f>M135+M161+M183+M205+M227+M245</f>
        <v/>
      </c>
      <c r="N287" s="41">
        <f>N135+N161+N183+N205+N227+N245</f>
        <v/>
      </c>
      <c r="O287" s="41">
        <f>O135+O161+O183+O205+O227+O245</f>
        <v/>
      </c>
      <c r="P287" s="41">
        <f>P135+P161+P183+P205+P227+P245</f>
        <v/>
      </c>
      <c r="Q287" s="41">
        <f>Q135+Q161+Q183+Q205+Q227+Q245</f>
        <v/>
      </c>
      <c r="R287" s="41">
        <f>R135+R161+R183+R205+R227+R245</f>
        <v/>
      </c>
      <c r="S287" s="41">
        <f>S135+S161+S183+S205+S227+S245</f>
        <v/>
      </c>
      <c r="T287" s="41">
        <f>T135+T161+T183+T205+T227+T245</f>
        <v/>
      </c>
      <c r="U287" s="41">
        <f>U135+U161+U183+U205+U227+U245</f>
        <v/>
      </c>
      <c r="V287" s="41">
        <f>V135+V161+V183+V205+V227+V245</f>
        <v/>
      </c>
      <c r="W287" s="41">
        <f>W135+W161+W183+W205+W227+W245</f>
        <v/>
      </c>
      <c r="X287" s="41">
        <f>X135+X161+X183+X205+X227+X245</f>
        <v/>
      </c>
      <c r="Y287" s="41">
        <f>Y135+Y161+Y183+Y205+Y227+Y245</f>
        <v/>
      </c>
      <c r="Z287" s="41">
        <f>Z135+Z161+Z183+Z205+Z227+Z245</f>
        <v/>
      </c>
      <c r="AA287" s="41">
        <f>AA135+AA161+AA183+AA205+AA227+AA245</f>
        <v/>
      </c>
      <c r="AB287" s="41">
        <f>AB135+AB161+AB183+AB205+AB227+AB245</f>
        <v/>
      </c>
      <c r="AC287" s="41">
        <f>AC135+AC161+AC183+AC205+AC227+AC245</f>
        <v/>
      </c>
      <c r="AD287" s="41">
        <f>AD135+AD161+AD183+AD205+AD227+AD245</f>
        <v/>
      </c>
      <c r="AE287" s="41">
        <f>AE135+AE161+AE183+AE205+AE227+AE245</f>
        <v/>
      </c>
      <c r="AF287" s="41">
        <f>AF135+AF161+AF183+AF205+AF227+AF245</f>
        <v/>
      </c>
      <c r="AG287" s="41">
        <f>AG135+AG161+AG183+AG205+AG227+AG245</f>
        <v/>
      </c>
      <c r="AH287" s="41">
        <f>AH135+AH161+AH183+AH205+AH227+AH245</f>
        <v/>
      </c>
      <c r="AI287" s="41">
        <f>AI135+AI161+AI183+AI205+AI227+AI245</f>
        <v/>
      </c>
      <c r="AJ287" s="41">
        <f>AJ135+AJ161+AJ183+AJ205+AJ227+AJ245</f>
        <v/>
      </c>
      <c r="AK287" s="41">
        <f>AK135+AK161+AK183+AK205+AK227+AK245</f>
        <v/>
      </c>
      <c r="AL287" s="41">
        <f>AL135+AL161+AL183+AL205+AL227+AL245</f>
        <v/>
      </c>
      <c r="AM287" s="41">
        <f>AM135+AM161+AM183+AM205+AM227+AM245</f>
        <v/>
      </c>
      <c r="AN287" s="41">
        <f>AN135+AN161+AN183+AN205+AN227+AN245</f>
        <v/>
      </c>
      <c r="AO287" s="41">
        <f>AO135+AO161+AO183+AO205+AO227+AO245</f>
        <v/>
      </c>
      <c r="AP287" s="41">
        <f>AP135+AP161+AP183+AP205+AP227+AP245</f>
        <v/>
      </c>
      <c r="AQ287" s="41">
        <f>AQ135+AQ161+AQ183+AQ205+AQ227+AQ245</f>
        <v/>
      </c>
      <c r="AR287" s="41">
        <f>AR135+AR161+AR183+AR205+AR227+AR245</f>
        <v/>
      </c>
      <c r="AS287" s="41">
        <f>AS135+AS161+AS183+AS205+AS227+AS245</f>
        <v/>
      </c>
      <c r="AT287" s="41">
        <f>AT135+AT161+AT183+AT205+AT227+AT245</f>
        <v/>
      </c>
      <c r="AU287" s="41">
        <f>AU135+AU161+AU183+AU205+AU227+AU245</f>
        <v/>
      </c>
      <c r="AV287" s="41">
        <f>AV135+AV161+AV183+AV205+AV227+AV245</f>
        <v/>
      </c>
      <c r="AW287" s="41">
        <f>AW135+AW161+AW183+AW205+AW227+AW245</f>
        <v/>
      </c>
      <c r="AX287" s="41">
        <f>AX135+AX161+AX183+AX205+AX227+AX245</f>
        <v/>
      </c>
      <c r="AY287" s="41">
        <f>AY135+AY161+AY183+AY205+AY227+AY245</f>
        <v/>
      </c>
      <c r="AZ287" s="41">
        <f>AZ135+AZ161+AZ183+AZ205+AZ227+AZ245</f>
        <v/>
      </c>
      <c r="BA287" s="41">
        <f>BA135+BA161+BA183+BA205+BA227+BA245</f>
        <v/>
      </c>
      <c r="BB287" s="41">
        <f>BB135+BB161+BB183+BB205+BB227+BB245</f>
        <v/>
      </c>
      <c r="BC287" s="41">
        <f>BC135+BC161+BC183+BC205+BC227+BC245</f>
        <v/>
      </c>
      <c r="BD287" s="41">
        <f>BD135+BD161+BD183+BD205+BD227+BD245</f>
        <v/>
      </c>
      <c r="BE287" s="41">
        <f>BE135+BE161+BE183+BE205+BE227+BE245</f>
        <v/>
      </c>
      <c r="BF287" s="41">
        <f>BF135+BF161+BF183+BF205+BF227+BF245</f>
        <v/>
      </c>
      <c r="BG287" s="41">
        <f>BG135+BG161+BG183+BG205+BG227+BG245</f>
        <v/>
      </c>
      <c r="BH287" s="41">
        <f>BH135+BH161+BH183+BH205+BH227+BH245</f>
        <v/>
      </c>
      <c r="BI287" s="41">
        <f>BI135+BI161+BI183+BI205+BI227+BI245</f>
        <v/>
      </c>
      <c r="BJ287" s="41">
        <f>BJ135+BJ161+BJ183+BJ205+BJ227+BJ245</f>
        <v/>
      </c>
    </row>
    <row r="288">
      <c r="A288" s="4" t="inlineStr">
        <is>
          <t>Growth tier: opening</t>
        </is>
      </c>
      <c r="B288" s="17" t="inlineStr">
        <is>
          <t>workspaces</t>
        </is>
      </c>
      <c r="C288" s="41">
        <f>C138+C142+C164+C168+C186+C190+C208+C212+C230+C234+C248+C252</f>
        <v/>
      </c>
      <c r="D288" s="41">
        <f>D138+D142+D164+D168+D186+D190+D208+D212+D230+D234+D248+D252</f>
        <v/>
      </c>
      <c r="E288" s="41">
        <f>E138+E142+E164+E168+E186+E190+E208+E212+E230+E234+E248+E252</f>
        <v/>
      </c>
      <c r="F288" s="41">
        <f>F138+F142+F164+F168+F186+F190+F208+F212+F230+F234+F248+F252</f>
        <v/>
      </c>
      <c r="G288" s="41">
        <f>G138+G142+G164+G168+G186+G190+G208+G212+G230+G234+G248+G252</f>
        <v/>
      </c>
      <c r="H288" s="41">
        <f>H138+H142+H164+H168+H186+H190+H208+H212+H230+H234+H248+H252</f>
        <v/>
      </c>
      <c r="I288" s="41">
        <f>I138+I142+I164+I168+I186+I190+I208+I212+I230+I234+I248+I252</f>
        <v/>
      </c>
      <c r="J288" s="41">
        <f>J138+J142+J164+J168+J186+J190+J208+J212+J230+J234+J248+J252</f>
        <v/>
      </c>
      <c r="K288" s="41">
        <f>K138+K142+K164+K168+K186+K190+K208+K212+K230+K234+K248+K252</f>
        <v/>
      </c>
      <c r="L288" s="41">
        <f>L138+L142+L164+L168+L186+L190+L208+L212+L230+L234+L248+L252</f>
        <v/>
      </c>
      <c r="M288" s="41">
        <f>M138+M142+M164+M168+M186+M190+M208+M212+M230+M234+M248+M252</f>
        <v/>
      </c>
      <c r="N288" s="41">
        <f>N138+N142+N164+N168+N186+N190+N208+N212+N230+N234+N248+N252</f>
        <v/>
      </c>
      <c r="O288" s="41">
        <f>O138+O142+O164+O168+O186+O190+O208+O212+O230+O234+O248+O252</f>
        <v/>
      </c>
      <c r="P288" s="41">
        <f>P138+P142+P164+P168+P186+P190+P208+P212+P230+P234+P248+P252</f>
        <v/>
      </c>
      <c r="Q288" s="41">
        <f>Q138+Q142+Q164+Q168+Q186+Q190+Q208+Q212+Q230+Q234+Q248+Q252</f>
        <v/>
      </c>
      <c r="R288" s="41">
        <f>R138+R142+R164+R168+R186+R190+R208+R212+R230+R234+R248+R252</f>
        <v/>
      </c>
      <c r="S288" s="41">
        <f>S138+S142+S164+S168+S186+S190+S208+S212+S230+S234+S248+S252</f>
        <v/>
      </c>
      <c r="T288" s="41">
        <f>T138+T142+T164+T168+T186+T190+T208+T212+T230+T234+T248+T252</f>
        <v/>
      </c>
      <c r="U288" s="41">
        <f>U138+U142+U164+U168+U186+U190+U208+U212+U230+U234+U248+U252</f>
        <v/>
      </c>
      <c r="V288" s="41">
        <f>V138+V142+V164+V168+V186+V190+V208+V212+V230+V234+V248+V252</f>
        <v/>
      </c>
      <c r="W288" s="41">
        <f>W138+W142+W164+W168+W186+W190+W208+W212+W230+W234+W248+W252</f>
        <v/>
      </c>
      <c r="X288" s="41">
        <f>X138+X142+X164+X168+X186+X190+X208+X212+X230+X234+X248+X252</f>
        <v/>
      </c>
      <c r="Y288" s="41">
        <f>Y138+Y142+Y164+Y168+Y186+Y190+Y208+Y212+Y230+Y234+Y248+Y252</f>
        <v/>
      </c>
      <c r="Z288" s="41">
        <f>Z138+Z142+Z164+Z168+Z186+Z190+Z208+Z212+Z230+Z234+Z248+Z252</f>
        <v/>
      </c>
      <c r="AA288" s="41">
        <f>AA138+AA142+AA164+AA168+AA186+AA190+AA208+AA212+AA230+AA234+AA248+AA252</f>
        <v/>
      </c>
      <c r="AB288" s="41">
        <f>AB138+AB142+AB164+AB168+AB186+AB190+AB208+AB212+AB230+AB234+AB248+AB252</f>
        <v/>
      </c>
      <c r="AC288" s="41">
        <f>AC138+AC142+AC164+AC168+AC186+AC190+AC208+AC212+AC230+AC234+AC248+AC252</f>
        <v/>
      </c>
      <c r="AD288" s="41">
        <f>AD138+AD142+AD164+AD168+AD186+AD190+AD208+AD212+AD230+AD234+AD248+AD252</f>
        <v/>
      </c>
      <c r="AE288" s="41">
        <f>AE138+AE142+AE164+AE168+AE186+AE190+AE208+AE212+AE230+AE234+AE248+AE252</f>
        <v/>
      </c>
      <c r="AF288" s="41">
        <f>AF138+AF142+AF164+AF168+AF186+AF190+AF208+AF212+AF230+AF234+AF248+AF252</f>
        <v/>
      </c>
      <c r="AG288" s="41">
        <f>AG138+AG142+AG164+AG168+AG186+AG190+AG208+AG212+AG230+AG234+AG248+AG252</f>
        <v/>
      </c>
      <c r="AH288" s="41">
        <f>AH138+AH142+AH164+AH168+AH186+AH190+AH208+AH212+AH230+AH234+AH248+AH252</f>
        <v/>
      </c>
      <c r="AI288" s="41">
        <f>AI138+AI142+AI164+AI168+AI186+AI190+AI208+AI212+AI230+AI234+AI248+AI252</f>
        <v/>
      </c>
      <c r="AJ288" s="41">
        <f>AJ138+AJ142+AJ164+AJ168+AJ186+AJ190+AJ208+AJ212+AJ230+AJ234+AJ248+AJ252</f>
        <v/>
      </c>
      <c r="AK288" s="41">
        <f>AK138+AK142+AK164+AK168+AK186+AK190+AK208+AK212+AK230+AK234+AK248+AK252</f>
        <v/>
      </c>
      <c r="AL288" s="41">
        <f>AL138+AL142+AL164+AL168+AL186+AL190+AL208+AL212+AL230+AL234+AL248+AL252</f>
        <v/>
      </c>
      <c r="AM288" s="41">
        <f>AM138+AM142+AM164+AM168+AM186+AM190+AM208+AM212+AM230+AM234+AM248+AM252</f>
        <v/>
      </c>
      <c r="AN288" s="41">
        <f>AN138+AN142+AN164+AN168+AN186+AN190+AN208+AN212+AN230+AN234+AN248+AN252</f>
        <v/>
      </c>
      <c r="AO288" s="41">
        <f>AO138+AO142+AO164+AO168+AO186+AO190+AO208+AO212+AO230+AO234+AO248+AO252</f>
        <v/>
      </c>
      <c r="AP288" s="41">
        <f>AP138+AP142+AP164+AP168+AP186+AP190+AP208+AP212+AP230+AP234+AP248+AP252</f>
        <v/>
      </c>
      <c r="AQ288" s="41">
        <f>AQ138+AQ142+AQ164+AQ168+AQ186+AQ190+AQ208+AQ212+AQ230+AQ234+AQ248+AQ252</f>
        <v/>
      </c>
      <c r="AR288" s="41">
        <f>AR138+AR142+AR164+AR168+AR186+AR190+AR208+AR212+AR230+AR234+AR248+AR252</f>
        <v/>
      </c>
      <c r="AS288" s="41">
        <f>AS138+AS142+AS164+AS168+AS186+AS190+AS208+AS212+AS230+AS234+AS248+AS252</f>
        <v/>
      </c>
      <c r="AT288" s="41">
        <f>AT138+AT142+AT164+AT168+AT186+AT190+AT208+AT212+AT230+AT234+AT248+AT252</f>
        <v/>
      </c>
      <c r="AU288" s="41">
        <f>AU138+AU142+AU164+AU168+AU186+AU190+AU208+AU212+AU230+AU234+AU248+AU252</f>
        <v/>
      </c>
      <c r="AV288" s="41">
        <f>AV138+AV142+AV164+AV168+AV186+AV190+AV208+AV212+AV230+AV234+AV248+AV252</f>
        <v/>
      </c>
      <c r="AW288" s="41">
        <f>AW138+AW142+AW164+AW168+AW186+AW190+AW208+AW212+AW230+AW234+AW248+AW252</f>
        <v/>
      </c>
      <c r="AX288" s="41">
        <f>AX138+AX142+AX164+AX168+AX186+AX190+AX208+AX212+AX230+AX234+AX248+AX252</f>
        <v/>
      </c>
      <c r="AY288" s="41">
        <f>AY138+AY142+AY164+AY168+AY186+AY190+AY208+AY212+AY230+AY234+AY248+AY252</f>
        <v/>
      </c>
      <c r="AZ288" s="41">
        <f>AZ138+AZ142+AZ164+AZ168+AZ186+AZ190+AZ208+AZ212+AZ230+AZ234+AZ248+AZ252</f>
        <v/>
      </c>
      <c r="BA288" s="41">
        <f>BA138+BA142+BA164+BA168+BA186+BA190+BA208+BA212+BA230+BA234+BA248+BA252</f>
        <v/>
      </c>
      <c r="BB288" s="41">
        <f>BB138+BB142+BB164+BB168+BB186+BB190+BB208+BB212+BB230+BB234+BB248+BB252</f>
        <v/>
      </c>
      <c r="BC288" s="41">
        <f>BC138+BC142+BC164+BC168+BC186+BC190+BC208+BC212+BC230+BC234+BC248+BC252</f>
        <v/>
      </c>
      <c r="BD288" s="41">
        <f>BD138+BD142+BD164+BD168+BD186+BD190+BD208+BD212+BD230+BD234+BD248+BD252</f>
        <v/>
      </c>
      <c r="BE288" s="41">
        <f>BE138+BE142+BE164+BE168+BE186+BE190+BE208+BE212+BE230+BE234+BE248+BE252</f>
        <v/>
      </c>
      <c r="BF288" s="41">
        <f>BF138+BF142+BF164+BF168+BF186+BF190+BF208+BF212+BF230+BF234+BF248+BF252</f>
        <v/>
      </c>
      <c r="BG288" s="41">
        <f>BG138+BG142+BG164+BG168+BG186+BG190+BG208+BG212+BG230+BG234+BG248+BG252</f>
        <v/>
      </c>
      <c r="BH288" s="41">
        <f>BH138+BH142+BH164+BH168+BH186+BH190+BH208+BH212+BH230+BH234+BH248+BH252</f>
        <v/>
      </c>
      <c r="BI288" s="41">
        <f>BI138+BI142+BI164+BI168+BI186+BI190+BI208+BI212+BI230+BI234+BI248+BI252</f>
        <v/>
      </c>
      <c r="BJ288" s="41">
        <f>BJ138+BJ142+BJ164+BJ168+BJ186+BJ190+BJ208+BJ212+BJ230+BJ234+BJ248+BJ252</f>
        <v/>
      </c>
    </row>
    <row r="289">
      <c r="A289" s="4" t="inlineStr">
        <is>
          <t>Growth tier: closing</t>
        </is>
      </c>
      <c r="B289" s="17" t="inlineStr">
        <is>
          <t>workspaces</t>
        </is>
      </c>
      <c r="C289" s="41">
        <f>C141+C146+C167+C172+C189+C194+C211+C216+C233+C238+C251+C256</f>
        <v/>
      </c>
      <c r="D289" s="41">
        <f>D141+D146+D167+D172+D189+D194+D211+D216+D233+D238+D251+D256</f>
        <v/>
      </c>
      <c r="E289" s="41">
        <f>E141+E146+E167+E172+E189+E194+E211+E216+E233+E238+E251+E256</f>
        <v/>
      </c>
      <c r="F289" s="41">
        <f>F141+F146+F167+F172+F189+F194+F211+F216+F233+F238+F251+F256</f>
        <v/>
      </c>
      <c r="G289" s="41">
        <f>G141+G146+G167+G172+G189+G194+G211+G216+G233+G238+G251+G256</f>
        <v/>
      </c>
      <c r="H289" s="41">
        <f>H141+H146+H167+H172+H189+H194+H211+H216+H233+H238+H251+H256</f>
        <v/>
      </c>
      <c r="I289" s="41">
        <f>I141+I146+I167+I172+I189+I194+I211+I216+I233+I238+I251+I256</f>
        <v/>
      </c>
      <c r="J289" s="41">
        <f>J141+J146+J167+J172+J189+J194+J211+J216+J233+J238+J251+J256</f>
        <v/>
      </c>
      <c r="K289" s="41">
        <f>K141+K146+K167+K172+K189+K194+K211+K216+K233+K238+K251+K256</f>
        <v/>
      </c>
      <c r="L289" s="41">
        <f>L141+L146+L167+L172+L189+L194+L211+L216+L233+L238+L251+L256</f>
        <v/>
      </c>
      <c r="M289" s="41">
        <f>M141+M146+M167+M172+M189+M194+M211+M216+M233+M238+M251+M256</f>
        <v/>
      </c>
      <c r="N289" s="41">
        <f>N141+N146+N167+N172+N189+N194+N211+N216+N233+N238+N251+N256</f>
        <v/>
      </c>
      <c r="O289" s="41">
        <f>O141+O146+O167+O172+O189+O194+O211+O216+O233+O238+O251+O256</f>
        <v/>
      </c>
      <c r="P289" s="41">
        <f>P141+P146+P167+P172+P189+P194+P211+P216+P233+P238+P251+P256</f>
        <v/>
      </c>
      <c r="Q289" s="41">
        <f>Q141+Q146+Q167+Q172+Q189+Q194+Q211+Q216+Q233+Q238+Q251+Q256</f>
        <v/>
      </c>
      <c r="R289" s="41">
        <f>R141+R146+R167+R172+R189+R194+R211+R216+R233+R238+R251+R256</f>
        <v/>
      </c>
      <c r="S289" s="41">
        <f>S141+S146+S167+S172+S189+S194+S211+S216+S233+S238+S251+S256</f>
        <v/>
      </c>
      <c r="T289" s="41">
        <f>T141+T146+T167+T172+T189+T194+T211+T216+T233+T238+T251+T256</f>
        <v/>
      </c>
      <c r="U289" s="41">
        <f>U141+U146+U167+U172+U189+U194+U211+U216+U233+U238+U251+U256</f>
        <v/>
      </c>
      <c r="V289" s="41">
        <f>V141+V146+V167+V172+V189+V194+V211+V216+V233+V238+V251+V256</f>
        <v/>
      </c>
      <c r="W289" s="41">
        <f>W141+W146+W167+W172+W189+W194+W211+W216+W233+W238+W251+W256</f>
        <v/>
      </c>
      <c r="X289" s="41">
        <f>X141+X146+X167+X172+X189+X194+X211+X216+X233+X238+X251+X256</f>
        <v/>
      </c>
      <c r="Y289" s="41">
        <f>Y141+Y146+Y167+Y172+Y189+Y194+Y211+Y216+Y233+Y238+Y251+Y256</f>
        <v/>
      </c>
      <c r="Z289" s="41">
        <f>Z141+Z146+Z167+Z172+Z189+Z194+Z211+Z216+Z233+Z238+Z251+Z256</f>
        <v/>
      </c>
      <c r="AA289" s="41">
        <f>AA141+AA146+AA167+AA172+AA189+AA194+AA211+AA216+AA233+AA238+AA251+AA256</f>
        <v/>
      </c>
      <c r="AB289" s="41">
        <f>AB141+AB146+AB167+AB172+AB189+AB194+AB211+AB216+AB233+AB238+AB251+AB256</f>
        <v/>
      </c>
      <c r="AC289" s="41">
        <f>AC141+AC146+AC167+AC172+AC189+AC194+AC211+AC216+AC233+AC238+AC251+AC256</f>
        <v/>
      </c>
      <c r="AD289" s="41">
        <f>AD141+AD146+AD167+AD172+AD189+AD194+AD211+AD216+AD233+AD238+AD251+AD256</f>
        <v/>
      </c>
      <c r="AE289" s="41">
        <f>AE141+AE146+AE167+AE172+AE189+AE194+AE211+AE216+AE233+AE238+AE251+AE256</f>
        <v/>
      </c>
      <c r="AF289" s="41">
        <f>AF141+AF146+AF167+AF172+AF189+AF194+AF211+AF216+AF233+AF238+AF251+AF256</f>
        <v/>
      </c>
      <c r="AG289" s="41">
        <f>AG141+AG146+AG167+AG172+AG189+AG194+AG211+AG216+AG233+AG238+AG251+AG256</f>
        <v/>
      </c>
      <c r="AH289" s="41">
        <f>AH141+AH146+AH167+AH172+AH189+AH194+AH211+AH216+AH233+AH238+AH251+AH256</f>
        <v/>
      </c>
      <c r="AI289" s="41">
        <f>AI141+AI146+AI167+AI172+AI189+AI194+AI211+AI216+AI233+AI238+AI251+AI256</f>
        <v/>
      </c>
      <c r="AJ289" s="41">
        <f>AJ141+AJ146+AJ167+AJ172+AJ189+AJ194+AJ211+AJ216+AJ233+AJ238+AJ251+AJ256</f>
        <v/>
      </c>
      <c r="AK289" s="41">
        <f>AK141+AK146+AK167+AK172+AK189+AK194+AK211+AK216+AK233+AK238+AK251+AK256</f>
        <v/>
      </c>
      <c r="AL289" s="41">
        <f>AL141+AL146+AL167+AL172+AL189+AL194+AL211+AL216+AL233+AL238+AL251+AL256</f>
        <v/>
      </c>
      <c r="AM289" s="41">
        <f>AM141+AM146+AM167+AM172+AM189+AM194+AM211+AM216+AM233+AM238+AM251+AM256</f>
        <v/>
      </c>
      <c r="AN289" s="41">
        <f>AN141+AN146+AN167+AN172+AN189+AN194+AN211+AN216+AN233+AN238+AN251+AN256</f>
        <v/>
      </c>
      <c r="AO289" s="41">
        <f>AO141+AO146+AO167+AO172+AO189+AO194+AO211+AO216+AO233+AO238+AO251+AO256</f>
        <v/>
      </c>
      <c r="AP289" s="41">
        <f>AP141+AP146+AP167+AP172+AP189+AP194+AP211+AP216+AP233+AP238+AP251+AP256</f>
        <v/>
      </c>
      <c r="AQ289" s="41">
        <f>AQ141+AQ146+AQ167+AQ172+AQ189+AQ194+AQ211+AQ216+AQ233+AQ238+AQ251+AQ256</f>
        <v/>
      </c>
      <c r="AR289" s="41">
        <f>AR141+AR146+AR167+AR172+AR189+AR194+AR211+AR216+AR233+AR238+AR251+AR256</f>
        <v/>
      </c>
      <c r="AS289" s="41">
        <f>AS141+AS146+AS167+AS172+AS189+AS194+AS211+AS216+AS233+AS238+AS251+AS256</f>
        <v/>
      </c>
      <c r="AT289" s="41">
        <f>AT141+AT146+AT167+AT172+AT189+AT194+AT211+AT216+AT233+AT238+AT251+AT256</f>
        <v/>
      </c>
      <c r="AU289" s="41">
        <f>AU141+AU146+AU167+AU172+AU189+AU194+AU211+AU216+AU233+AU238+AU251+AU256</f>
        <v/>
      </c>
      <c r="AV289" s="41">
        <f>AV141+AV146+AV167+AV172+AV189+AV194+AV211+AV216+AV233+AV238+AV251+AV256</f>
        <v/>
      </c>
      <c r="AW289" s="41">
        <f>AW141+AW146+AW167+AW172+AW189+AW194+AW211+AW216+AW233+AW238+AW251+AW256</f>
        <v/>
      </c>
      <c r="AX289" s="41">
        <f>AX141+AX146+AX167+AX172+AX189+AX194+AX211+AX216+AX233+AX238+AX251+AX256</f>
        <v/>
      </c>
      <c r="AY289" s="41">
        <f>AY141+AY146+AY167+AY172+AY189+AY194+AY211+AY216+AY233+AY238+AY251+AY256</f>
        <v/>
      </c>
      <c r="AZ289" s="41">
        <f>AZ141+AZ146+AZ167+AZ172+AZ189+AZ194+AZ211+AZ216+AZ233+AZ238+AZ251+AZ256</f>
        <v/>
      </c>
      <c r="BA289" s="41">
        <f>BA141+BA146+BA167+BA172+BA189+BA194+BA211+BA216+BA233+BA238+BA251+BA256</f>
        <v/>
      </c>
      <c r="BB289" s="41">
        <f>BB141+BB146+BB167+BB172+BB189+BB194+BB211+BB216+BB233+BB238+BB251+BB256</f>
        <v/>
      </c>
      <c r="BC289" s="41">
        <f>BC141+BC146+BC167+BC172+BC189+BC194+BC211+BC216+BC233+BC238+BC251+BC256</f>
        <v/>
      </c>
      <c r="BD289" s="41">
        <f>BD141+BD146+BD167+BD172+BD189+BD194+BD211+BD216+BD233+BD238+BD251+BD256</f>
        <v/>
      </c>
      <c r="BE289" s="41">
        <f>BE141+BE146+BE167+BE172+BE189+BE194+BE211+BE216+BE233+BE238+BE251+BE256</f>
        <v/>
      </c>
      <c r="BF289" s="41">
        <f>BF141+BF146+BF167+BF172+BF189+BF194+BF211+BF216+BF233+BF238+BF251+BF256</f>
        <v/>
      </c>
      <c r="BG289" s="41">
        <f>BG141+BG146+BG167+BG172+BG189+BG194+BG211+BG216+BG233+BG238+BG251+BG256</f>
        <v/>
      </c>
      <c r="BH289" s="41">
        <f>BH141+BH146+BH167+BH172+BH189+BH194+BH211+BH216+BH233+BH238+BH251+BH256</f>
        <v/>
      </c>
      <c r="BI289" s="41">
        <f>BI141+BI146+BI167+BI172+BI189+BI194+BI211+BI216+BI233+BI238+BI251+BI256</f>
        <v/>
      </c>
      <c r="BJ289" s="41">
        <f>BJ141+BJ146+BJ167+BJ172+BJ189+BJ194+BJ211+BJ216+BJ233+BJ238+BJ251+BJ256</f>
        <v/>
      </c>
    </row>
    <row r="290">
      <c r="A290" s="4" t="inlineStr">
        <is>
          <t>Growth tier: churned</t>
        </is>
      </c>
      <c r="B290" s="17" t="inlineStr">
        <is>
          <t>workspaces</t>
        </is>
      </c>
      <c r="C290" s="41">
        <f>C140+C144+C166+C170+C188+C192+C210+C214+C232+C236+C250+C254</f>
        <v/>
      </c>
      <c r="D290" s="41">
        <f>D140+D144+D166+D170+D188+D192+D210+D214+D232+D236+D250+D254</f>
        <v/>
      </c>
      <c r="E290" s="41">
        <f>E140+E144+E166+E170+E188+E192+E210+E214+E232+E236+E250+E254</f>
        <v/>
      </c>
      <c r="F290" s="41">
        <f>F140+F144+F166+F170+F188+F192+F210+F214+F232+F236+F250+F254</f>
        <v/>
      </c>
      <c r="G290" s="41">
        <f>G140+G144+G166+G170+G188+G192+G210+G214+G232+G236+G250+G254</f>
        <v/>
      </c>
      <c r="H290" s="41">
        <f>H140+H144+H166+H170+H188+H192+H210+H214+H232+H236+H250+H254</f>
        <v/>
      </c>
      <c r="I290" s="41">
        <f>I140+I144+I166+I170+I188+I192+I210+I214+I232+I236+I250+I254</f>
        <v/>
      </c>
      <c r="J290" s="41">
        <f>J140+J144+J166+J170+J188+J192+J210+J214+J232+J236+J250+J254</f>
        <v/>
      </c>
      <c r="K290" s="41">
        <f>K140+K144+K166+K170+K188+K192+K210+K214+K232+K236+K250+K254</f>
        <v/>
      </c>
      <c r="L290" s="41">
        <f>L140+L144+L166+L170+L188+L192+L210+L214+L232+L236+L250+L254</f>
        <v/>
      </c>
      <c r="M290" s="41">
        <f>M140+M144+M166+M170+M188+M192+M210+M214+M232+M236+M250+M254</f>
        <v/>
      </c>
      <c r="N290" s="41">
        <f>N140+N144+N166+N170+N188+N192+N210+N214+N232+N236+N250+N254</f>
        <v/>
      </c>
      <c r="O290" s="41">
        <f>O140+O144+O166+O170+O188+O192+O210+O214+O232+O236+O250+O254</f>
        <v/>
      </c>
      <c r="P290" s="41">
        <f>P140+P144+P166+P170+P188+P192+P210+P214+P232+P236+P250+P254</f>
        <v/>
      </c>
      <c r="Q290" s="41">
        <f>Q140+Q144+Q166+Q170+Q188+Q192+Q210+Q214+Q232+Q236+Q250+Q254</f>
        <v/>
      </c>
      <c r="R290" s="41">
        <f>R140+R144+R166+R170+R188+R192+R210+R214+R232+R236+R250+R254</f>
        <v/>
      </c>
      <c r="S290" s="41">
        <f>S140+S144+S166+S170+S188+S192+S210+S214+S232+S236+S250+S254</f>
        <v/>
      </c>
      <c r="T290" s="41">
        <f>T140+T144+T166+T170+T188+T192+T210+T214+T232+T236+T250+T254</f>
        <v/>
      </c>
      <c r="U290" s="41">
        <f>U140+U144+U166+U170+U188+U192+U210+U214+U232+U236+U250+U254</f>
        <v/>
      </c>
      <c r="V290" s="41">
        <f>V140+V144+V166+V170+V188+V192+V210+V214+V232+V236+V250+V254</f>
        <v/>
      </c>
      <c r="W290" s="41">
        <f>W140+W144+W166+W170+W188+W192+W210+W214+W232+W236+W250+W254</f>
        <v/>
      </c>
      <c r="X290" s="41">
        <f>X140+X144+X166+X170+X188+X192+X210+X214+X232+X236+X250+X254</f>
        <v/>
      </c>
      <c r="Y290" s="41">
        <f>Y140+Y144+Y166+Y170+Y188+Y192+Y210+Y214+Y232+Y236+Y250+Y254</f>
        <v/>
      </c>
      <c r="Z290" s="41">
        <f>Z140+Z144+Z166+Z170+Z188+Z192+Z210+Z214+Z232+Z236+Z250+Z254</f>
        <v/>
      </c>
      <c r="AA290" s="41">
        <f>AA140+AA144+AA166+AA170+AA188+AA192+AA210+AA214+AA232+AA236+AA250+AA254</f>
        <v/>
      </c>
      <c r="AB290" s="41">
        <f>AB140+AB144+AB166+AB170+AB188+AB192+AB210+AB214+AB232+AB236+AB250+AB254</f>
        <v/>
      </c>
      <c r="AC290" s="41">
        <f>AC140+AC144+AC166+AC170+AC188+AC192+AC210+AC214+AC232+AC236+AC250+AC254</f>
        <v/>
      </c>
      <c r="AD290" s="41">
        <f>AD140+AD144+AD166+AD170+AD188+AD192+AD210+AD214+AD232+AD236+AD250+AD254</f>
        <v/>
      </c>
      <c r="AE290" s="41">
        <f>AE140+AE144+AE166+AE170+AE188+AE192+AE210+AE214+AE232+AE236+AE250+AE254</f>
        <v/>
      </c>
      <c r="AF290" s="41">
        <f>AF140+AF144+AF166+AF170+AF188+AF192+AF210+AF214+AF232+AF236+AF250+AF254</f>
        <v/>
      </c>
      <c r="AG290" s="41">
        <f>AG140+AG144+AG166+AG170+AG188+AG192+AG210+AG214+AG232+AG236+AG250+AG254</f>
        <v/>
      </c>
      <c r="AH290" s="41">
        <f>AH140+AH144+AH166+AH170+AH188+AH192+AH210+AH214+AH232+AH236+AH250+AH254</f>
        <v/>
      </c>
      <c r="AI290" s="41">
        <f>AI140+AI144+AI166+AI170+AI188+AI192+AI210+AI214+AI232+AI236+AI250+AI254</f>
        <v/>
      </c>
      <c r="AJ290" s="41">
        <f>AJ140+AJ144+AJ166+AJ170+AJ188+AJ192+AJ210+AJ214+AJ232+AJ236+AJ250+AJ254</f>
        <v/>
      </c>
      <c r="AK290" s="41">
        <f>AK140+AK144+AK166+AK170+AK188+AK192+AK210+AK214+AK232+AK236+AK250+AK254</f>
        <v/>
      </c>
      <c r="AL290" s="41">
        <f>AL140+AL144+AL166+AL170+AL188+AL192+AL210+AL214+AL232+AL236+AL250+AL254</f>
        <v/>
      </c>
      <c r="AM290" s="41">
        <f>AM140+AM144+AM166+AM170+AM188+AM192+AM210+AM214+AM232+AM236+AM250+AM254</f>
        <v/>
      </c>
      <c r="AN290" s="41">
        <f>AN140+AN144+AN166+AN170+AN188+AN192+AN210+AN214+AN232+AN236+AN250+AN254</f>
        <v/>
      </c>
      <c r="AO290" s="41">
        <f>AO140+AO144+AO166+AO170+AO188+AO192+AO210+AO214+AO232+AO236+AO250+AO254</f>
        <v/>
      </c>
      <c r="AP290" s="41">
        <f>AP140+AP144+AP166+AP170+AP188+AP192+AP210+AP214+AP232+AP236+AP250+AP254</f>
        <v/>
      </c>
      <c r="AQ290" s="41">
        <f>AQ140+AQ144+AQ166+AQ170+AQ188+AQ192+AQ210+AQ214+AQ232+AQ236+AQ250+AQ254</f>
        <v/>
      </c>
      <c r="AR290" s="41">
        <f>AR140+AR144+AR166+AR170+AR188+AR192+AR210+AR214+AR232+AR236+AR250+AR254</f>
        <v/>
      </c>
      <c r="AS290" s="41">
        <f>AS140+AS144+AS166+AS170+AS188+AS192+AS210+AS214+AS232+AS236+AS250+AS254</f>
        <v/>
      </c>
      <c r="AT290" s="41">
        <f>AT140+AT144+AT166+AT170+AT188+AT192+AT210+AT214+AT232+AT236+AT250+AT254</f>
        <v/>
      </c>
      <c r="AU290" s="41">
        <f>AU140+AU144+AU166+AU170+AU188+AU192+AU210+AU214+AU232+AU236+AU250+AU254</f>
        <v/>
      </c>
      <c r="AV290" s="41">
        <f>AV140+AV144+AV166+AV170+AV188+AV192+AV210+AV214+AV232+AV236+AV250+AV254</f>
        <v/>
      </c>
      <c r="AW290" s="41">
        <f>AW140+AW144+AW166+AW170+AW188+AW192+AW210+AW214+AW232+AW236+AW250+AW254</f>
        <v/>
      </c>
      <c r="AX290" s="41">
        <f>AX140+AX144+AX166+AX170+AX188+AX192+AX210+AX214+AX232+AX236+AX250+AX254</f>
        <v/>
      </c>
      <c r="AY290" s="41">
        <f>AY140+AY144+AY166+AY170+AY188+AY192+AY210+AY214+AY232+AY236+AY250+AY254</f>
        <v/>
      </c>
      <c r="AZ290" s="41">
        <f>AZ140+AZ144+AZ166+AZ170+AZ188+AZ192+AZ210+AZ214+AZ232+AZ236+AZ250+AZ254</f>
        <v/>
      </c>
      <c r="BA290" s="41">
        <f>BA140+BA144+BA166+BA170+BA188+BA192+BA210+BA214+BA232+BA236+BA250+BA254</f>
        <v/>
      </c>
      <c r="BB290" s="41">
        <f>BB140+BB144+BB166+BB170+BB188+BB192+BB210+BB214+BB232+BB236+BB250+BB254</f>
        <v/>
      </c>
      <c r="BC290" s="41">
        <f>BC140+BC144+BC166+BC170+BC188+BC192+BC210+BC214+BC232+BC236+BC250+BC254</f>
        <v/>
      </c>
      <c r="BD290" s="41">
        <f>BD140+BD144+BD166+BD170+BD188+BD192+BD210+BD214+BD232+BD236+BD250+BD254</f>
        <v/>
      </c>
      <c r="BE290" s="41">
        <f>BE140+BE144+BE166+BE170+BE188+BE192+BE210+BE214+BE232+BE236+BE250+BE254</f>
        <v/>
      </c>
      <c r="BF290" s="41">
        <f>BF140+BF144+BF166+BF170+BF188+BF192+BF210+BF214+BF232+BF236+BF250+BF254</f>
        <v/>
      </c>
      <c r="BG290" s="41">
        <f>BG140+BG144+BG166+BG170+BG188+BG192+BG210+BG214+BG232+BG236+BG250+BG254</f>
        <v/>
      </c>
      <c r="BH290" s="41">
        <f>BH140+BH144+BH166+BH170+BH188+BH192+BH210+BH214+BH232+BH236+BH250+BH254</f>
        <v/>
      </c>
      <c r="BI290" s="41">
        <f>BI140+BI144+BI166+BI170+BI188+BI192+BI210+BI214+BI232+BI236+BI250+BI254</f>
        <v/>
      </c>
      <c r="BJ290" s="41">
        <f>BJ140+BJ144+BJ166+BJ170+BJ188+BJ192+BJ210+BJ214+BJ232+BJ236+BJ250+BJ254</f>
        <v/>
      </c>
    </row>
    <row r="291">
      <c r="A291" s="4" t="inlineStr">
        <is>
          <t>Scale tier: opening</t>
        </is>
      </c>
      <c r="B291" s="17" t="inlineStr">
        <is>
          <t>workspaces</t>
        </is>
      </c>
      <c r="C291" s="41">
        <f>C147+C173+C195+C217+C239+C257</f>
        <v/>
      </c>
      <c r="D291" s="41">
        <f>D147+D173+D195+D217+D239+D257</f>
        <v/>
      </c>
      <c r="E291" s="41">
        <f>E147+E173+E195+E217+E239+E257</f>
        <v/>
      </c>
      <c r="F291" s="41">
        <f>F147+F173+F195+F217+F239+F257</f>
        <v/>
      </c>
      <c r="G291" s="41">
        <f>G147+G173+G195+G217+G239+G257</f>
        <v/>
      </c>
      <c r="H291" s="41">
        <f>H147+H173+H195+H217+H239+H257</f>
        <v/>
      </c>
      <c r="I291" s="41">
        <f>I147+I173+I195+I217+I239+I257</f>
        <v/>
      </c>
      <c r="J291" s="41">
        <f>J147+J173+J195+J217+J239+J257</f>
        <v/>
      </c>
      <c r="K291" s="41">
        <f>K147+K173+K195+K217+K239+K257</f>
        <v/>
      </c>
      <c r="L291" s="41">
        <f>L147+L173+L195+L217+L239+L257</f>
        <v/>
      </c>
      <c r="M291" s="41">
        <f>M147+M173+M195+M217+M239+M257</f>
        <v/>
      </c>
      <c r="N291" s="41">
        <f>N147+N173+N195+N217+N239+N257</f>
        <v/>
      </c>
      <c r="O291" s="41">
        <f>O147+O173+O195+O217+O239+O257</f>
        <v/>
      </c>
      <c r="P291" s="41">
        <f>P147+P173+P195+P217+P239+P257</f>
        <v/>
      </c>
      <c r="Q291" s="41">
        <f>Q147+Q173+Q195+Q217+Q239+Q257</f>
        <v/>
      </c>
      <c r="R291" s="41">
        <f>R147+R173+R195+R217+R239+R257</f>
        <v/>
      </c>
      <c r="S291" s="41">
        <f>S147+S173+S195+S217+S239+S257</f>
        <v/>
      </c>
      <c r="T291" s="41">
        <f>T147+T173+T195+T217+T239+T257</f>
        <v/>
      </c>
      <c r="U291" s="41">
        <f>U147+U173+U195+U217+U239+U257</f>
        <v/>
      </c>
      <c r="V291" s="41">
        <f>V147+V173+V195+V217+V239+V257</f>
        <v/>
      </c>
      <c r="W291" s="41">
        <f>W147+W173+W195+W217+W239+W257</f>
        <v/>
      </c>
      <c r="X291" s="41">
        <f>X147+X173+X195+X217+X239+X257</f>
        <v/>
      </c>
      <c r="Y291" s="41">
        <f>Y147+Y173+Y195+Y217+Y239+Y257</f>
        <v/>
      </c>
      <c r="Z291" s="41">
        <f>Z147+Z173+Z195+Z217+Z239+Z257</f>
        <v/>
      </c>
      <c r="AA291" s="41">
        <f>AA147+AA173+AA195+AA217+AA239+AA257</f>
        <v/>
      </c>
      <c r="AB291" s="41">
        <f>AB147+AB173+AB195+AB217+AB239+AB257</f>
        <v/>
      </c>
      <c r="AC291" s="41">
        <f>AC147+AC173+AC195+AC217+AC239+AC257</f>
        <v/>
      </c>
      <c r="AD291" s="41">
        <f>AD147+AD173+AD195+AD217+AD239+AD257</f>
        <v/>
      </c>
      <c r="AE291" s="41">
        <f>AE147+AE173+AE195+AE217+AE239+AE257</f>
        <v/>
      </c>
      <c r="AF291" s="41">
        <f>AF147+AF173+AF195+AF217+AF239+AF257</f>
        <v/>
      </c>
      <c r="AG291" s="41">
        <f>AG147+AG173+AG195+AG217+AG239+AG257</f>
        <v/>
      </c>
      <c r="AH291" s="41">
        <f>AH147+AH173+AH195+AH217+AH239+AH257</f>
        <v/>
      </c>
      <c r="AI291" s="41">
        <f>AI147+AI173+AI195+AI217+AI239+AI257</f>
        <v/>
      </c>
      <c r="AJ291" s="41">
        <f>AJ147+AJ173+AJ195+AJ217+AJ239+AJ257</f>
        <v/>
      </c>
      <c r="AK291" s="41">
        <f>AK147+AK173+AK195+AK217+AK239+AK257</f>
        <v/>
      </c>
      <c r="AL291" s="41">
        <f>AL147+AL173+AL195+AL217+AL239+AL257</f>
        <v/>
      </c>
      <c r="AM291" s="41">
        <f>AM147+AM173+AM195+AM217+AM239+AM257</f>
        <v/>
      </c>
      <c r="AN291" s="41">
        <f>AN147+AN173+AN195+AN217+AN239+AN257</f>
        <v/>
      </c>
      <c r="AO291" s="41">
        <f>AO147+AO173+AO195+AO217+AO239+AO257</f>
        <v/>
      </c>
      <c r="AP291" s="41">
        <f>AP147+AP173+AP195+AP217+AP239+AP257</f>
        <v/>
      </c>
      <c r="AQ291" s="41">
        <f>AQ147+AQ173+AQ195+AQ217+AQ239+AQ257</f>
        <v/>
      </c>
      <c r="AR291" s="41">
        <f>AR147+AR173+AR195+AR217+AR239+AR257</f>
        <v/>
      </c>
      <c r="AS291" s="41">
        <f>AS147+AS173+AS195+AS217+AS239+AS257</f>
        <v/>
      </c>
      <c r="AT291" s="41">
        <f>AT147+AT173+AT195+AT217+AT239+AT257</f>
        <v/>
      </c>
      <c r="AU291" s="41">
        <f>AU147+AU173+AU195+AU217+AU239+AU257</f>
        <v/>
      </c>
      <c r="AV291" s="41">
        <f>AV147+AV173+AV195+AV217+AV239+AV257</f>
        <v/>
      </c>
      <c r="AW291" s="41">
        <f>AW147+AW173+AW195+AW217+AW239+AW257</f>
        <v/>
      </c>
      <c r="AX291" s="41">
        <f>AX147+AX173+AX195+AX217+AX239+AX257</f>
        <v/>
      </c>
      <c r="AY291" s="41">
        <f>AY147+AY173+AY195+AY217+AY239+AY257</f>
        <v/>
      </c>
      <c r="AZ291" s="41">
        <f>AZ147+AZ173+AZ195+AZ217+AZ239+AZ257</f>
        <v/>
      </c>
      <c r="BA291" s="41">
        <f>BA147+BA173+BA195+BA217+BA239+BA257</f>
        <v/>
      </c>
      <c r="BB291" s="41">
        <f>BB147+BB173+BB195+BB217+BB239+BB257</f>
        <v/>
      </c>
      <c r="BC291" s="41">
        <f>BC147+BC173+BC195+BC217+BC239+BC257</f>
        <v/>
      </c>
      <c r="BD291" s="41">
        <f>BD147+BD173+BD195+BD217+BD239+BD257</f>
        <v/>
      </c>
      <c r="BE291" s="41">
        <f>BE147+BE173+BE195+BE217+BE239+BE257</f>
        <v/>
      </c>
      <c r="BF291" s="41">
        <f>BF147+BF173+BF195+BF217+BF239+BF257</f>
        <v/>
      </c>
      <c r="BG291" s="41">
        <f>BG147+BG173+BG195+BG217+BG239+BG257</f>
        <v/>
      </c>
      <c r="BH291" s="41">
        <f>BH147+BH173+BH195+BH217+BH239+BH257</f>
        <v/>
      </c>
      <c r="BI291" s="41">
        <f>BI147+BI173+BI195+BI217+BI239+BI257</f>
        <v/>
      </c>
      <c r="BJ291" s="41">
        <f>BJ147+BJ173+BJ195+BJ217+BJ239+BJ257</f>
        <v/>
      </c>
    </row>
    <row r="292">
      <c r="A292" s="4" t="inlineStr">
        <is>
          <t>Scale tier: closing</t>
        </is>
      </c>
      <c r="B292" s="17" t="inlineStr">
        <is>
          <t>workspaces</t>
        </is>
      </c>
      <c r="C292" s="41">
        <f>C150+C176+C198+C220+C242+C260</f>
        <v/>
      </c>
      <c r="D292" s="41">
        <f>D150+D176+D198+D220+D242+D260</f>
        <v/>
      </c>
      <c r="E292" s="41">
        <f>E150+E176+E198+E220+E242+E260</f>
        <v/>
      </c>
      <c r="F292" s="41">
        <f>F150+F176+F198+F220+F242+F260</f>
        <v/>
      </c>
      <c r="G292" s="41">
        <f>G150+G176+G198+G220+G242+G260</f>
        <v/>
      </c>
      <c r="H292" s="41">
        <f>H150+H176+H198+H220+H242+H260</f>
        <v/>
      </c>
      <c r="I292" s="41">
        <f>I150+I176+I198+I220+I242+I260</f>
        <v/>
      </c>
      <c r="J292" s="41">
        <f>J150+J176+J198+J220+J242+J260</f>
        <v/>
      </c>
      <c r="K292" s="41">
        <f>K150+K176+K198+K220+K242+K260</f>
        <v/>
      </c>
      <c r="L292" s="41">
        <f>L150+L176+L198+L220+L242+L260</f>
        <v/>
      </c>
      <c r="M292" s="41">
        <f>M150+M176+M198+M220+M242+M260</f>
        <v/>
      </c>
      <c r="N292" s="41">
        <f>N150+N176+N198+N220+N242+N260</f>
        <v/>
      </c>
      <c r="O292" s="41">
        <f>O150+O176+O198+O220+O242+O260</f>
        <v/>
      </c>
      <c r="P292" s="41">
        <f>P150+P176+P198+P220+P242+P260</f>
        <v/>
      </c>
      <c r="Q292" s="41">
        <f>Q150+Q176+Q198+Q220+Q242+Q260</f>
        <v/>
      </c>
      <c r="R292" s="41">
        <f>R150+R176+R198+R220+R242+R260</f>
        <v/>
      </c>
      <c r="S292" s="41">
        <f>S150+S176+S198+S220+S242+S260</f>
        <v/>
      </c>
      <c r="T292" s="41">
        <f>T150+T176+T198+T220+T242+T260</f>
        <v/>
      </c>
      <c r="U292" s="41">
        <f>U150+U176+U198+U220+U242+U260</f>
        <v/>
      </c>
      <c r="V292" s="41">
        <f>V150+V176+V198+V220+V242+V260</f>
        <v/>
      </c>
      <c r="W292" s="41">
        <f>W150+W176+W198+W220+W242+W260</f>
        <v/>
      </c>
      <c r="X292" s="41">
        <f>X150+X176+X198+X220+X242+X260</f>
        <v/>
      </c>
      <c r="Y292" s="41">
        <f>Y150+Y176+Y198+Y220+Y242+Y260</f>
        <v/>
      </c>
      <c r="Z292" s="41">
        <f>Z150+Z176+Z198+Z220+Z242+Z260</f>
        <v/>
      </c>
      <c r="AA292" s="41">
        <f>AA150+AA176+AA198+AA220+AA242+AA260</f>
        <v/>
      </c>
      <c r="AB292" s="41">
        <f>AB150+AB176+AB198+AB220+AB242+AB260</f>
        <v/>
      </c>
      <c r="AC292" s="41">
        <f>AC150+AC176+AC198+AC220+AC242+AC260</f>
        <v/>
      </c>
      <c r="AD292" s="41">
        <f>AD150+AD176+AD198+AD220+AD242+AD260</f>
        <v/>
      </c>
      <c r="AE292" s="41">
        <f>AE150+AE176+AE198+AE220+AE242+AE260</f>
        <v/>
      </c>
      <c r="AF292" s="41">
        <f>AF150+AF176+AF198+AF220+AF242+AF260</f>
        <v/>
      </c>
      <c r="AG292" s="41">
        <f>AG150+AG176+AG198+AG220+AG242+AG260</f>
        <v/>
      </c>
      <c r="AH292" s="41">
        <f>AH150+AH176+AH198+AH220+AH242+AH260</f>
        <v/>
      </c>
      <c r="AI292" s="41">
        <f>AI150+AI176+AI198+AI220+AI242+AI260</f>
        <v/>
      </c>
      <c r="AJ292" s="41">
        <f>AJ150+AJ176+AJ198+AJ220+AJ242+AJ260</f>
        <v/>
      </c>
      <c r="AK292" s="41">
        <f>AK150+AK176+AK198+AK220+AK242+AK260</f>
        <v/>
      </c>
      <c r="AL292" s="41">
        <f>AL150+AL176+AL198+AL220+AL242+AL260</f>
        <v/>
      </c>
      <c r="AM292" s="41">
        <f>AM150+AM176+AM198+AM220+AM242+AM260</f>
        <v/>
      </c>
      <c r="AN292" s="41">
        <f>AN150+AN176+AN198+AN220+AN242+AN260</f>
        <v/>
      </c>
      <c r="AO292" s="41">
        <f>AO150+AO176+AO198+AO220+AO242+AO260</f>
        <v/>
      </c>
      <c r="AP292" s="41">
        <f>AP150+AP176+AP198+AP220+AP242+AP260</f>
        <v/>
      </c>
      <c r="AQ292" s="41">
        <f>AQ150+AQ176+AQ198+AQ220+AQ242+AQ260</f>
        <v/>
      </c>
      <c r="AR292" s="41">
        <f>AR150+AR176+AR198+AR220+AR242+AR260</f>
        <v/>
      </c>
      <c r="AS292" s="41">
        <f>AS150+AS176+AS198+AS220+AS242+AS260</f>
        <v/>
      </c>
      <c r="AT292" s="41">
        <f>AT150+AT176+AT198+AT220+AT242+AT260</f>
        <v/>
      </c>
      <c r="AU292" s="41">
        <f>AU150+AU176+AU198+AU220+AU242+AU260</f>
        <v/>
      </c>
      <c r="AV292" s="41">
        <f>AV150+AV176+AV198+AV220+AV242+AV260</f>
        <v/>
      </c>
      <c r="AW292" s="41">
        <f>AW150+AW176+AW198+AW220+AW242+AW260</f>
        <v/>
      </c>
      <c r="AX292" s="41">
        <f>AX150+AX176+AX198+AX220+AX242+AX260</f>
        <v/>
      </c>
      <c r="AY292" s="41">
        <f>AY150+AY176+AY198+AY220+AY242+AY260</f>
        <v/>
      </c>
      <c r="AZ292" s="41">
        <f>AZ150+AZ176+AZ198+AZ220+AZ242+AZ260</f>
        <v/>
      </c>
      <c r="BA292" s="41">
        <f>BA150+BA176+BA198+BA220+BA242+BA260</f>
        <v/>
      </c>
      <c r="BB292" s="41">
        <f>BB150+BB176+BB198+BB220+BB242+BB260</f>
        <v/>
      </c>
      <c r="BC292" s="41">
        <f>BC150+BC176+BC198+BC220+BC242+BC260</f>
        <v/>
      </c>
      <c r="BD292" s="41">
        <f>BD150+BD176+BD198+BD220+BD242+BD260</f>
        <v/>
      </c>
      <c r="BE292" s="41">
        <f>BE150+BE176+BE198+BE220+BE242+BE260</f>
        <v/>
      </c>
      <c r="BF292" s="41">
        <f>BF150+BF176+BF198+BF220+BF242+BF260</f>
        <v/>
      </c>
      <c r="BG292" s="41">
        <f>BG150+BG176+BG198+BG220+BG242+BG260</f>
        <v/>
      </c>
      <c r="BH292" s="41">
        <f>BH150+BH176+BH198+BH220+BH242+BH260</f>
        <v/>
      </c>
      <c r="BI292" s="41">
        <f>BI150+BI176+BI198+BI220+BI242+BI260</f>
        <v/>
      </c>
      <c r="BJ292" s="41">
        <f>BJ150+BJ176+BJ198+BJ220+BJ242+BJ260</f>
        <v/>
      </c>
    </row>
    <row r="293">
      <c r="A293" s="4" t="inlineStr">
        <is>
          <t>Scale tier: churned</t>
        </is>
      </c>
      <c r="B293" s="17" t="inlineStr">
        <is>
          <t>workspaces</t>
        </is>
      </c>
      <c r="C293" s="41">
        <f>C149+C175+C197+C219+C241+C259</f>
        <v/>
      </c>
      <c r="D293" s="41">
        <f>D149+D175+D197+D219+D241+D259</f>
        <v/>
      </c>
      <c r="E293" s="41">
        <f>E149+E175+E197+E219+E241+E259</f>
        <v/>
      </c>
      <c r="F293" s="41">
        <f>F149+F175+F197+F219+F241+F259</f>
        <v/>
      </c>
      <c r="G293" s="41">
        <f>G149+G175+G197+G219+G241+G259</f>
        <v/>
      </c>
      <c r="H293" s="41">
        <f>H149+H175+H197+H219+H241+H259</f>
        <v/>
      </c>
      <c r="I293" s="41">
        <f>I149+I175+I197+I219+I241+I259</f>
        <v/>
      </c>
      <c r="J293" s="41">
        <f>J149+J175+J197+J219+J241+J259</f>
        <v/>
      </c>
      <c r="K293" s="41">
        <f>K149+K175+K197+K219+K241+K259</f>
        <v/>
      </c>
      <c r="L293" s="41">
        <f>L149+L175+L197+L219+L241+L259</f>
        <v/>
      </c>
      <c r="M293" s="41">
        <f>M149+M175+M197+M219+M241+M259</f>
        <v/>
      </c>
      <c r="N293" s="41">
        <f>N149+N175+N197+N219+N241+N259</f>
        <v/>
      </c>
      <c r="O293" s="41">
        <f>O149+O175+O197+O219+O241+O259</f>
        <v/>
      </c>
      <c r="P293" s="41">
        <f>P149+P175+P197+P219+P241+P259</f>
        <v/>
      </c>
      <c r="Q293" s="41">
        <f>Q149+Q175+Q197+Q219+Q241+Q259</f>
        <v/>
      </c>
      <c r="R293" s="41">
        <f>R149+R175+R197+R219+R241+R259</f>
        <v/>
      </c>
      <c r="S293" s="41">
        <f>S149+S175+S197+S219+S241+S259</f>
        <v/>
      </c>
      <c r="T293" s="41">
        <f>T149+T175+T197+T219+T241+T259</f>
        <v/>
      </c>
      <c r="U293" s="41">
        <f>U149+U175+U197+U219+U241+U259</f>
        <v/>
      </c>
      <c r="V293" s="41">
        <f>V149+V175+V197+V219+V241+V259</f>
        <v/>
      </c>
      <c r="W293" s="41">
        <f>W149+W175+W197+W219+W241+W259</f>
        <v/>
      </c>
      <c r="X293" s="41">
        <f>X149+X175+X197+X219+X241+X259</f>
        <v/>
      </c>
      <c r="Y293" s="41">
        <f>Y149+Y175+Y197+Y219+Y241+Y259</f>
        <v/>
      </c>
      <c r="Z293" s="41">
        <f>Z149+Z175+Z197+Z219+Z241+Z259</f>
        <v/>
      </c>
      <c r="AA293" s="41">
        <f>AA149+AA175+AA197+AA219+AA241+AA259</f>
        <v/>
      </c>
      <c r="AB293" s="41">
        <f>AB149+AB175+AB197+AB219+AB241+AB259</f>
        <v/>
      </c>
      <c r="AC293" s="41">
        <f>AC149+AC175+AC197+AC219+AC241+AC259</f>
        <v/>
      </c>
      <c r="AD293" s="41">
        <f>AD149+AD175+AD197+AD219+AD241+AD259</f>
        <v/>
      </c>
      <c r="AE293" s="41">
        <f>AE149+AE175+AE197+AE219+AE241+AE259</f>
        <v/>
      </c>
      <c r="AF293" s="41">
        <f>AF149+AF175+AF197+AF219+AF241+AF259</f>
        <v/>
      </c>
      <c r="AG293" s="41">
        <f>AG149+AG175+AG197+AG219+AG241+AG259</f>
        <v/>
      </c>
      <c r="AH293" s="41">
        <f>AH149+AH175+AH197+AH219+AH241+AH259</f>
        <v/>
      </c>
      <c r="AI293" s="41">
        <f>AI149+AI175+AI197+AI219+AI241+AI259</f>
        <v/>
      </c>
      <c r="AJ293" s="41">
        <f>AJ149+AJ175+AJ197+AJ219+AJ241+AJ259</f>
        <v/>
      </c>
      <c r="AK293" s="41">
        <f>AK149+AK175+AK197+AK219+AK241+AK259</f>
        <v/>
      </c>
      <c r="AL293" s="41">
        <f>AL149+AL175+AL197+AL219+AL241+AL259</f>
        <v/>
      </c>
      <c r="AM293" s="41">
        <f>AM149+AM175+AM197+AM219+AM241+AM259</f>
        <v/>
      </c>
      <c r="AN293" s="41">
        <f>AN149+AN175+AN197+AN219+AN241+AN259</f>
        <v/>
      </c>
      <c r="AO293" s="41">
        <f>AO149+AO175+AO197+AO219+AO241+AO259</f>
        <v/>
      </c>
      <c r="AP293" s="41">
        <f>AP149+AP175+AP197+AP219+AP241+AP259</f>
        <v/>
      </c>
      <c r="AQ293" s="41">
        <f>AQ149+AQ175+AQ197+AQ219+AQ241+AQ259</f>
        <v/>
      </c>
      <c r="AR293" s="41">
        <f>AR149+AR175+AR197+AR219+AR241+AR259</f>
        <v/>
      </c>
      <c r="AS293" s="41">
        <f>AS149+AS175+AS197+AS219+AS241+AS259</f>
        <v/>
      </c>
      <c r="AT293" s="41">
        <f>AT149+AT175+AT197+AT219+AT241+AT259</f>
        <v/>
      </c>
      <c r="AU293" s="41">
        <f>AU149+AU175+AU197+AU219+AU241+AU259</f>
        <v/>
      </c>
      <c r="AV293" s="41">
        <f>AV149+AV175+AV197+AV219+AV241+AV259</f>
        <v/>
      </c>
      <c r="AW293" s="41">
        <f>AW149+AW175+AW197+AW219+AW241+AW259</f>
        <v/>
      </c>
      <c r="AX293" s="41">
        <f>AX149+AX175+AX197+AX219+AX241+AX259</f>
        <v/>
      </c>
      <c r="AY293" s="41">
        <f>AY149+AY175+AY197+AY219+AY241+AY259</f>
        <v/>
      </c>
      <c r="AZ293" s="41">
        <f>AZ149+AZ175+AZ197+AZ219+AZ241+AZ259</f>
        <v/>
      </c>
      <c r="BA293" s="41">
        <f>BA149+BA175+BA197+BA219+BA241+BA259</f>
        <v/>
      </c>
      <c r="BB293" s="41">
        <f>BB149+BB175+BB197+BB219+BB241+BB259</f>
        <v/>
      </c>
      <c r="BC293" s="41">
        <f>BC149+BC175+BC197+BC219+BC241+BC259</f>
        <v/>
      </c>
      <c r="BD293" s="41">
        <f>BD149+BD175+BD197+BD219+BD241+BD259</f>
        <v/>
      </c>
      <c r="BE293" s="41">
        <f>BE149+BE175+BE197+BE219+BE241+BE259</f>
        <v/>
      </c>
      <c r="BF293" s="41">
        <f>BF149+BF175+BF197+BF219+BF241+BF259</f>
        <v/>
      </c>
      <c r="BG293" s="41">
        <f>BG149+BG175+BG197+BG219+BG241+BG259</f>
        <v/>
      </c>
      <c r="BH293" s="41">
        <f>BH149+BH175+BH197+BH219+BH241+BH259</f>
        <v/>
      </c>
      <c r="BI293" s="41">
        <f>BI149+BI175+BI197+BI219+BI241+BI259</f>
        <v/>
      </c>
      <c r="BJ293" s="41">
        <f>BJ149+BJ175+BJ197+BJ219+BJ241+BJ259</f>
        <v/>
      </c>
    </row>
    <row r="294">
      <c r="A294" s="4" t="inlineStr">
        <is>
          <t>Agency tier: opening</t>
        </is>
      </c>
      <c r="B294" s="17" t="inlineStr">
        <is>
          <t>workspaces</t>
        </is>
      </c>
      <c r="C294" s="41">
        <f>C151+C177+C199+C221</f>
        <v/>
      </c>
      <c r="D294" s="41">
        <f>D151+D177+D199+D221</f>
        <v/>
      </c>
      <c r="E294" s="41">
        <f>E151+E177+E199+E221</f>
        <v/>
      </c>
      <c r="F294" s="41">
        <f>F151+F177+F199+F221</f>
        <v/>
      </c>
      <c r="G294" s="41">
        <f>G151+G177+G199+G221</f>
        <v/>
      </c>
      <c r="H294" s="41">
        <f>H151+H177+H199+H221</f>
        <v/>
      </c>
      <c r="I294" s="41">
        <f>I151+I177+I199+I221</f>
        <v/>
      </c>
      <c r="J294" s="41">
        <f>J151+J177+J199+J221</f>
        <v/>
      </c>
      <c r="K294" s="41">
        <f>K151+K177+K199+K221</f>
        <v/>
      </c>
      <c r="L294" s="41">
        <f>L151+L177+L199+L221</f>
        <v/>
      </c>
      <c r="M294" s="41">
        <f>M151+M177+M199+M221</f>
        <v/>
      </c>
      <c r="N294" s="41">
        <f>N151+N177+N199+N221</f>
        <v/>
      </c>
      <c r="O294" s="41">
        <f>O151+O177+O199+O221</f>
        <v/>
      </c>
      <c r="P294" s="41">
        <f>P151+P177+P199+P221</f>
        <v/>
      </c>
      <c r="Q294" s="41">
        <f>Q151+Q177+Q199+Q221</f>
        <v/>
      </c>
      <c r="R294" s="41">
        <f>R151+R177+R199+R221</f>
        <v/>
      </c>
      <c r="S294" s="41">
        <f>S151+S177+S199+S221</f>
        <v/>
      </c>
      <c r="T294" s="41">
        <f>T151+T177+T199+T221</f>
        <v/>
      </c>
      <c r="U294" s="41">
        <f>U151+U177+U199+U221</f>
        <v/>
      </c>
      <c r="V294" s="41">
        <f>V151+V177+V199+V221</f>
        <v/>
      </c>
      <c r="W294" s="41">
        <f>W151+W177+W199+W221</f>
        <v/>
      </c>
      <c r="X294" s="41">
        <f>X151+X177+X199+X221</f>
        <v/>
      </c>
      <c r="Y294" s="41">
        <f>Y151+Y177+Y199+Y221</f>
        <v/>
      </c>
      <c r="Z294" s="41">
        <f>Z151+Z177+Z199+Z221</f>
        <v/>
      </c>
      <c r="AA294" s="41">
        <f>AA151+AA177+AA199+AA221</f>
        <v/>
      </c>
      <c r="AB294" s="41">
        <f>AB151+AB177+AB199+AB221</f>
        <v/>
      </c>
      <c r="AC294" s="41">
        <f>AC151+AC177+AC199+AC221</f>
        <v/>
      </c>
      <c r="AD294" s="41">
        <f>AD151+AD177+AD199+AD221</f>
        <v/>
      </c>
      <c r="AE294" s="41">
        <f>AE151+AE177+AE199+AE221</f>
        <v/>
      </c>
      <c r="AF294" s="41">
        <f>AF151+AF177+AF199+AF221</f>
        <v/>
      </c>
      <c r="AG294" s="41">
        <f>AG151+AG177+AG199+AG221</f>
        <v/>
      </c>
      <c r="AH294" s="41">
        <f>AH151+AH177+AH199+AH221</f>
        <v/>
      </c>
      <c r="AI294" s="41">
        <f>AI151+AI177+AI199+AI221</f>
        <v/>
      </c>
      <c r="AJ294" s="41">
        <f>AJ151+AJ177+AJ199+AJ221</f>
        <v/>
      </c>
      <c r="AK294" s="41">
        <f>AK151+AK177+AK199+AK221</f>
        <v/>
      </c>
      <c r="AL294" s="41">
        <f>AL151+AL177+AL199+AL221</f>
        <v/>
      </c>
      <c r="AM294" s="41">
        <f>AM151+AM177+AM199+AM221</f>
        <v/>
      </c>
      <c r="AN294" s="41">
        <f>AN151+AN177+AN199+AN221</f>
        <v/>
      </c>
      <c r="AO294" s="41">
        <f>AO151+AO177+AO199+AO221</f>
        <v/>
      </c>
      <c r="AP294" s="41">
        <f>AP151+AP177+AP199+AP221</f>
        <v/>
      </c>
      <c r="AQ294" s="41">
        <f>AQ151+AQ177+AQ199+AQ221</f>
        <v/>
      </c>
      <c r="AR294" s="41">
        <f>AR151+AR177+AR199+AR221</f>
        <v/>
      </c>
      <c r="AS294" s="41">
        <f>AS151+AS177+AS199+AS221</f>
        <v/>
      </c>
      <c r="AT294" s="41">
        <f>AT151+AT177+AT199+AT221</f>
        <v/>
      </c>
      <c r="AU294" s="41">
        <f>AU151+AU177+AU199+AU221</f>
        <v/>
      </c>
      <c r="AV294" s="41">
        <f>AV151+AV177+AV199+AV221</f>
        <v/>
      </c>
      <c r="AW294" s="41">
        <f>AW151+AW177+AW199+AW221</f>
        <v/>
      </c>
      <c r="AX294" s="41">
        <f>AX151+AX177+AX199+AX221</f>
        <v/>
      </c>
      <c r="AY294" s="41">
        <f>AY151+AY177+AY199+AY221</f>
        <v/>
      </c>
      <c r="AZ294" s="41">
        <f>AZ151+AZ177+AZ199+AZ221</f>
        <v/>
      </c>
      <c r="BA294" s="41">
        <f>BA151+BA177+BA199+BA221</f>
        <v/>
      </c>
      <c r="BB294" s="41">
        <f>BB151+BB177+BB199+BB221</f>
        <v/>
      </c>
      <c r="BC294" s="41">
        <f>BC151+BC177+BC199+BC221</f>
        <v/>
      </c>
      <c r="BD294" s="41">
        <f>BD151+BD177+BD199+BD221</f>
        <v/>
      </c>
      <c r="BE294" s="41">
        <f>BE151+BE177+BE199+BE221</f>
        <v/>
      </c>
      <c r="BF294" s="41">
        <f>BF151+BF177+BF199+BF221</f>
        <v/>
      </c>
      <c r="BG294" s="41">
        <f>BG151+BG177+BG199+BG221</f>
        <v/>
      </c>
      <c r="BH294" s="41">
        <f>BH151+BH177+BH199+BH221</f>
        <v/>
      </c>
      <c r="BI294" s="41">
        <f>BI151+BI177+BI199+BI221</f>
        <v/>
      </c>
      <c r="BJ294" s="41">
        <f>BJ151+BJ177+BJ199+BJ221</f>
        <v/>
      </c>
    </row>
    <row r="295">
      <c r="A295" s="4" t="inlineStr">
        <is>
          <t>Agency tier: closing</t>
        </is>
      </c>
      <c r="B295" s="17" t="inlineStr">
        <is>
          <t>workspaces</t>
        </is>
      </c>
      <c r="C295" s="41">
        <f>C154+C180+C202+C224</f>
        <v/>
      </c>
      <c r="D295" s="41">
        <f>D154+D180+D202+D224</f>
        <v/>
      </c>
      <c r="E295" s="41">
        <f>E154+E180+E202+E224</f>
        <v/>
      </c>
      <c r="F295" s="41">
        <f>F154+F180+F202+F224</f>
        <v/>
      </c>
      <c r="G295" s="41">
        <f>G154+G180+G202+G224</f>
        <v/>
      </c>
      <c r="H295" s="41">
        <f>H154+H180+H202+H224</f>
        <v/>
      </c>
      <c r="I295" s="41">
        <f>I154+I180+I202+I224</f>
        <v/>
      </c>
      <c r="J295" s="41">
        <f>J154+J180+J202+J224</f>
        <v/>
      </c>
      <c r="K295" s="41">
        <f>K154+K180+K202+K224</f>
        <v/>
      </c>
      <c r="L295" s="41">
        <f>L154+L180+L202+L224</f>
        <v/>
      </c>
      <c r="M295" s="41">
        <f>M154+M180+M202+M224</f>
        <v/>
      </c>
      <c r="N295" s="41">
        <f>N154+N180+N202+N224</f>
        <v/>
      </c>
      <c r="O295" s="41">
        <f>O154+O180+O202+O224</f>
        <v/>
      </c>
      <c r="P295" s="41">
        <f>P154+P180+P202+P224</f>
        <v/>
      </c>
      <c r="Q295" s="41">
        <f>Q154+Q180+Q202+Q224</f>
        <v/>
      </c>
      <c r="R295" s="41">
        <f>R154+R180+R202+R224</f>
        <v/>
      </c>
      <c r="S295" s="41">
        <f>S154+S180+S202+S224</f>
        <v/>
      </c>
      <c r="T295" s="41">
        <f>T154+T180+T202+T224</f>
        <v/>
      </c>
      <c r="U295" s="41">
        <f>U154+U180+U202+U224</f>
        <v/>
      </c>
      <c r="V295" s="41">
        <f>V154+V180+V202+V224</f>
        <v/>
      </c>
      <c r="W295" s="41">
        <f>W154+W180+W202+W224</f>
        <v/>
      </c>
      <c r="X295" s="41">
        <f>X154+X180+X202+X224</f>
        <v/>
      </c>
      <c r="Y295" s="41">
        <f>Y154+Y180+Y202+Y224</f>
        <v/>
      </c>
      <c r="Z295" s="41">
        <f>Z154+Z180+Z202+Z224</f>
        <v/>
      </c>
      <c r="AA295" s="41">
        <f>AA154+AA180+AA202+AA224</f>
        <v/>
      </c>
      <c r="AB295" s="41">
        <f>AB154+AB180+AB202+AB224</f>
        <v/>
      </c>
      <c r="AC295" s="41">
        <f>AC154+AC180+AC202+AC224</f>
        <v/>
      </c>
      <c r="AD295" s="41">
        <f>AD154+AD180+AD202+AD224</f>
        <v/>
      </c>
      <c r="AE295" s="41">
        <f>AE154+AE180+AE202+AE224</f>
        <v/>
      </c>
      <c r="AF295" s="41">
        <f>AF154+AF180+AF202+AF224</f>
        <v/>
      </c>
      <c r="AG295" s="41">
        <f>AG154+AG180+AG202+AG224</f>
        <v/>
      </c>
      <c r="AH295" s="41">
        <f>AH154+AH180+AH202+AH224</f>
        <v/>
      </c>
      <c r="AI295" s="41">
        <f>AI154+AI180+AI202+AI224</f>
        <v/>
      </c>
      <c r="AJ295" s="41">
        <f>AJ154+AJ180+AJ202+AJ224</f>
        <v/>
      </c>
      <c r="AK295" s="41">
        <f>AK154+AK180+AK202+AK224</f>
        <v/>
      </c>
      <c r="AL295" s="41">
        <f>AL154+AL180+AL202+AL224</f>
        <v/>
      </c>
      <c r="AM295" s="41">
        <f>AM154+AM180+AM202+AM224</f>
        <v/>
      </c>
      <c r="AN295" s="41">
        <f>AN154+AN180+AN202+AN224</f>
        <v/>
      </c>
      <c r="AO295" s="41">
        <f>AO154+AO180+AO202+AO224</f>
        <v/>
      </c>
      <c r="AP295" s="41">
        <f>AP154+AP180+AP202+AP224</f>
        <v/>
      </c>
      <c r="AQ295" s="41">
        <f>AQ154+AQ180+AQ202+AQ224</f>
        <v/>
      </c>
      <c r="AR295" s="41">
        <f>AR154+AR180+AR202+AR224</f>
        <v/>
      </c>
      <c r="AS295" s="41">
        <f>AS154+AS180+AS202+AS224</f>
        <v/>
      </c>
      <c r="AT295" s="41">
        <f>AT154+AT180+AT202+AT224</f>
        <v/>
      </c>
      <c r="AU295" s="41">
        <f>AU154+AU180+AU202+AU224</f>
        <v/>
      </c>
      <c r="AV295" s="41">
        <f>AV154+AV180+AV202+AV224</f>
        <v/>
      </c>
      <c r="AW295" s="41">
        <f>AW154+AW180+AW202+AW224</f>
        <v/>
      </c>
      <c r="AX295" s="41">
        <f>AX154+AX180+AX202+AX224</f>
        <v/>
      </c>
      <c r="AY295" s="41">
        <f>AY154+AY180+AY202+AY224</f>
        <v/>
      </c>
      <c r="AZ295" s="41">
        <f>AZ154+AZ180+AZ202+AZ224</f>
        <v/>
      </c>
      <c r="BA295" s="41">
        <f>BA154+BA180+BA202+BA224</f>
        <v/>
      </c>
      <c r="BB295" s="41">
        <f>BB154+BB180+BB202+BB224</f>
        <v/>
      </c>
      <c r="BC295" s="41">
        <f>BC154+BC180+BC202+BC224</f>
        <v/>
      </c>
      <c r="BD295" s="41">
        <f>BD154+BD180+BD202+BD224</f>
        <v/>
      </c>
      <c r="BE295" s="41">
        <f>BE154+BE180+BE202+BE224</f>
        <v/>
      </c>
      <c r="BF295" s="41">
        <f>BF154+BF180+BF202+BF224</f>
        <v/>
      </c>
      <c r="BG295" s="41">
        <f>BG154+BG180+BG202+BG224</f>
        <v/>
      </c>
      <c r="BH295" s="41">
        <f>BH154+BH180+BH202+BH224</f>
        <v/>
      </c>
      <c r="BI295" s="41">
        <f>BI154+BI180+BI202+BI224</f>
        <v/>
      </c>
      <c r="BJ295" s="41">
        <f>BJ154+BJ180+BJ202+BJ224</f>
        <v/>
      </c>
    </row>
    <row r="296">
      <c r="A296" s="4" t="inlineStr">
        <is>
          <t>Agency tier: churned</t>
        </is>
      </c>
      <c r="B296" s="17" t="inlineStr">
        <is>
          <t>workspaces</t>
        </is>
      </c>
      <c r="C296" s="41">
        <f>C153+C179+C201+C223</f>
        <v/>
      </c>
      <c r="D296" s="41">
        <f>D153+D179+D201+D223</f>
        <v/>
      </c>
      <c r="E296" s="41">
        <f>E153+E179+E201+E223</f>
        <v/>
      </c>
      <c r="F296" s="41">
        <f>F153+F179+F201+F223</f>
        <v/>
      </c>
      <c r="G296" s="41">
        <f>G153+G179+G201+G223</f>
        <v/>
      </c>
      <c r="H296" s="41">
        <f>H153+H179+H201+H223</f>
        <v/>
      </c>
      <c r="I296" s="41">
        <f>I153+I179+I201+I223</f>
        <v/>
      </c>
      <c r="J296" s="41">
        <f>J153+J179+J201+J223</f>
        <v/>
      </c>
      <c r="K296" s="41">
        <f>K153+K179+K201+K223</f>
        <v/>
      </c>
      <c r="L296" s="41">
        <f>L153+L179+L201+L223</f>
        <v/>
      </c>
      <c r="M296" s="41">
        <f>M153+M179+M201+M223</f>
        <v/>
      </c>
      <c r="N296" s="41">
        <f>N153+N179+N201+N223</f>
        <v/>
      </c>
      <c r="O296" s="41">
        <f>O153+O179+O201+O223</f>
        <v/>
      </c>
      <c r="P296" s="41">
        <f>P153+P179+P201+P223</f>
        <v/>
      </c>
      <c r="Q296" s="41">
        <f>Q153+Q179+Q201+Q223</f>
        <v/>
      </c>
      <c r="R296" s="41">
        <f>R153+R179+R201+R223</f>
        <v/>
      </c>
      <c r="S296" s="41">
        <f>S153+S179+S201+S223</f>
        <v/>
      </c>
      <c r="T296" s="41">
        <f>T153+T179+T201+T223</f>
        <v/>
      </c>
      <c r="U296" s="41">
        <f>U153+U179+U201+U223</f>
        <v/>
      </c>
      <c r="V296" s="41">
        <f>V153+V179+V201+V223</f>
        <v/>
      </c>
      <c r="W296" s="41">
        <f>W153+W179+W201+W223</f>
        <v/>
      </c>
      <c r="X296" s="41">
        <f>X153+X179+X201+X223</f>
        <v/>
      </c>
      <c r="Y296" s="41">
        <f>Y153+Y179+Y201+Y223</f>
        <v/>
      </c>
      <c r="Z296" s="41">
        <f>Z153+Z179+Z201+Z223</f>
        <v/>
      </c>
      <c r="AA296" s="41">
        <f>AA153+AA179+AA201+AA223</f>
        <v/>
      </c>
      <c r="AB296" s="41">
        <f>AB153+AB179+AB201+AB223</f>
        <v/>
      </c>
      <c r="AC296" s="41">
        <f>AC153+AC179+AC201+AC223</f>
        <v/>
      </c>
      <c r="AD296" s="41">
        <f>AD153+AD179+AD201+AD223</f>
        <v/>
      </c>
      <c r="AE296" s="41">
        <f>AE153+AE179+AE201+AE223</f>
        <v/>
      </c>
      <c r="AF296" s="41">
        <f>AF153+AF179+AF201+AF223</f>
        <v/>
      </c>
      <c r="AG296" s="41">
        <f>AG153+AG179+AG201+AG223</f>
        <v/>
      </c>
      <c r="AH296" s="41">
        <f>AH153+AH179+AH201+AH223</f>
        <v/>
      </c>
      <c r="AI296" s="41">
        <f>AI153+AI179+AI201+AI223</f>
        <v/>
      </c>
      <c r="AJ296" s="41">
        <f>AJ153+AJ179+AJ201+AJ223</f>
        <v/>
      </c>
      <c r="AK296" s="41">
        <f>AK153+AK179+AK201+AK223</f>
        <v/>
      </c>
      <c r="AL296" s="41">
        <f>AL153+AL179+AL201+AL223</f>
        <v/>
      </c>
      <c r="AM296" s="41">
        <f>AM153+AM179+AM201+AM223</f>
        <v/>
      </c>
      <c r="AN296" s="41">
        <f>AN153+AN179+AN201+AN223</f>
        <v/>
      </c>
      <c r="AO296" s="41">
        <f>AO153+AO179+AO201+AO223</f>
        <v/>
      </c>
      <c r="AP296" s="41">
        <f>AP153+AP179+AP201+AP223</f>
        <v/>
      </c>
      <c r="AQ296" s="41">
        <f>AQ153+AQ179+AQ201+AQ223</f>
        <v/>
      </c>
      <c r="AR296" s="41">
        <f>AR153+AR179+AR201+AR223</f>
        <v/>
      </c>
      <c r="AS296" s="41">
        <f>AS153+AS179+AS201+AS223</f>
        <v/>
      </c>
      <c r="AT296" s="41">
        <f>AT153+AT179+AT201+AT223</f>
        <v/>
      </c>
      <c r="AU296" s="41">
        <f>AU153+AU179+AU201+AU223</f>
        <v/>
      </c>
      <c r="AV296" s="41">
        <f>AV153+AV179+AV201+AV223</f>
        <v/>
      </c>
      <c r="AW296" s="41">
        <f>AW153+AW179+AW201+AW223</f>
        <v/>
      </c>
      <c r="AX296" s="41">
        <f>AX153+AX179+AX201+AX223</f>
        <v/>
      </c>
      <c r="AY296" s="41">
        <f>AY153+AY179+AY201+AY223</f>
        <v/>
      </c>
      <c r="AZ296" s="41">
        <f>AZ153+AZ179+AZ201+AZ223</f>
        <v/>
      </c>
      <c r="BA296" s="41">
        <f>BA153+BA179+BA201+BA223</f>
        <v/>
      </c>
      <c r="BB296" s="41">
        <f>BB153+BB179+BB201+BB223</f>
        <v/>
      </c>
      <c r="BC296" s="41">
        <f>BC153+BC179+BC201+BC223</f>
        <v/>
      </c>
      <c r="BD296" s="41">
        <f>BD153+BD179+BD201+BD223</f>
        <v/>
      </c>
      <c r="BE296" s="41">
        <f>BE153+BE179+BE201+BE223</f>
        <v/>
      </c>
      <c r="BF296" s="41">
        <f>BF153+BF179+BF201+BF223</f>
        <v/>
      </c>
      <c r="BG296" s="41">
        <f>BG153+BG179+BG201+BG223</f>
        <v/>
      </c>
      <c r="BH296" s="41">
        <f>BH153+BH179+BH201+BH223</f>
        <v/>
      </c>
      <c r="BI296" s="41">
        <f>BI153+BI179+BI201+BI223</f>
        <v/>
      </c>
      <c r="BJ296" s="41">
        <f>BJ153+BJ179+BJ201+BJ223</f>
        <v/>
      </c>
    </row>
    <row r="297">
      <c r="A297" s="4" t="inlineStr">
        <is>
          <t>Enterprise tier: opening</t>
        </is>
      </c>
      <c r="B297" s="17" t="inlineStr">
        <is>
          <t>workspaces</t>
        </is>
      </c>
      <c r="C297" s="41">
        <f>C155</f>
        <v/>
      </c>
      <c r="D297" s="41">
        <f>D155</f>
        <v/>
      </c>
      <c r="E297" s="41">
        <f>E155</f>
        <v/>
      </c>
      <c r="F297" s="41">
        <f>F155</f>
        <v/>
      </c>
      <c r="G297" s="41">
        <f>G155</f>
        <v/>
      </c>
      <c r="H297" s="41">
        <f>H155</f>
        <v/>
      </c>
      <c r="I297" s="41">
        <f>I155</f>
        <v/>
      </c>
      <c r="J297" s="41">
        <f>J155</f>
        <v/>
      </c>
      <c r="K297" s="41">
        <f>K155</f>
        <v/>
      </c>
      <c r="L297" s="41">
        <f>L155</f>
        <v/>
      </c>
      <c r="M297" s="41">
        <f>M155</f>
        <v/>
      </c>
      <c r="N297" s="41">
        <f>N155</f>
        <v/>
      </c>
      <c r="O297" s="41">
        <f>O155</f>
        <v/>
      </c>
      <c r="P297" s="41">
        <f>P155</f>
        <v/>
      </c>
      <c r="Q297" s="41">
        <f>Q155</f>
        <v/>
      </c>
      <c r="R297" s="41">
        <f>R155</f>
        <v/>
      </c>
      <c r="S297" s="41">
        <f>S155</f>
        <v/>
      </c>
      <c r="T297" s="41">
        <f>T155</f>
        <v/>
      </c>
      <c r="U297" s="41">
        <f>U155</f>
        <v/>
      </c>
      <c r="V297" s="41">
        <f>V155</f>
        <v/>
      </c>
      <c r="W297" s="41">
        <f>W155</f>
        <v/>
      </c>
      <c r="X297" s="41">
        <f>X155</f>
        <v/>
      </c>
      <c r="Y297" s="41">
        <f>Y155</f>
        <v/>
      </c>
      <c r="Z297" s="41">
        <f>Z155</f>
        <v/>
      </c>
      <c r="AA297" s="41">
        <f>AA155</f>
        <v/>
      </c>
      <c r="AB297" s="41">
        <f>AB155</f>
        <v/>
      </c>
      <c r="AC297" s="41">
        <f>AC155</f>
        <v/>
      </c>
      <c r="AD297" s="41">
        <f>AD155</f>
        <v/>
      </c>
      <c r="AE297" s="41">
        <f>AE155</f>
        <v/>
      </c>
      <c r="AF297" s="41">
        <f>AF155</f>
        <v/>
      </c>
      <c r="AG297" s="41">
        <f>AG155</f>
        <v/>
      </c>
      <c r="AH297" s="41">
        <f>AH155</f>
        <v/>
      </c>
      <c r="AI297" s="41">
        <f>AI155</f>
        <v/>
      </c>
      <c r="AJ297" s="41">
        <f>AJ155</f>
        <v/>
      </c>
      <c r="AK297" s="41">
        <f>AK155</f>
        <v/>
      </c>
      <c r="AL297" s="41">
        <f>AL155</f>
        <v/>
      </c>
      <c r="AM297" s="41">
        <f>AM155</f>
        <v/>
      </c>
      <c r="AN297" s="41">
        <f>AN155</f>
        <v/>
      </c>
      <c r="AO297" s="41">
        <f>AO155</f>
        <v/>
      </c>
      <c r="AP297" s="41">
        <f>AP155</f>
        <v/>
      </c>
      <c r="AQ297" s="41">
        <f>AQ155</f>
        <v/>
      </c>
      <c r="AR297" s="41">
        <f>AR155</f>
        <v/>
      </c>
      <c r="AS297" s="41">
        <f>AS155</f>
        <v/>
      </c>
      <c r="AT297" s="41">
        <f>AT155</f>
        <v/>
      </c>
      <c r="AU297" s="41">
        <f>AU155</f>
        <v/>
      </c>
      <c r="AV297" s="41">
        <f>AV155</f>
        <v/>
      </c>
      <c r="AW297" s="41">
        <f>AW155</f>
        <v/>
      </c>
      <c r="AX297" s="41">
        <f>AX155</f>
        <v/>
      </c>
      <c r="AY297" s="41">
        <f>AY155</f>
        <v/>
      </c>
      <c r="AZ297" s="41">
        <f>AZ155</f>
        <v/>
      </c>
      <c r="BA297" s="41">
        <f>BA155</f>
        <v/>
      </c>
      <c r="BB297" s="41">
        <f>BB155</f>
        <v/>
      </c>
      <c r="BC297" s="41">
        <f>BC155</f>
        <v/>
      </c>
      <c r="BD297" s="41">
        <f>BD155</f>
        <v/>
      </c>
      <c r="BE297" s="41">
        <f>BE155</f>
        <v/>
      </c>
      <c r="BF297" s="41">
        <f>BF155</f>
        <v/>
      </c>
      <c r="BG297" s="41">
        <f>BG155</f>
        <v/>
      </c>
      <c r="BH297" s="41">
        <f>BH155</f>
        <v/>
      </c>
      <c r="BI297" s="41">
        <f>BI155</f>
        <v/>
      </c>
      <c r="BJ297" s="41">
        <f>BJ155</f>
        <v/>
      </c>
    </row>
    <row r="298">
      <c r="A298" s="4" t="inlineStr">
        <is>
          <t>Enterprise tier: closing</t>
        </is>
      </c>
      <c r="B298" s="17" t="inlineStr">
        <is>
          <t>workspaces</t>
        </is>
      </c>
      <c r="C298" s="41">
        <f>C158</f>
        <v/>
      </c>
      <c r="D298" s="41">
        <f>D158</f>
        <v/>
      </c>
      <c r="E298" s="41">
        <f>E158</f>
        <v/>
      </c>
      <c r="F298" s="41">
        <f>F158</f>
        <v/>
      </c>
      <c r="G298" s="41">
        <f>G158</f>
        <v/>
      </c>
      <c r="H298" s="41">
        <f>H158</f>
        <v/>
      </c>
      <c r="I298" s="41">
        <f>I158</f>
        <v/>
      </c>
      <c r="J298" s="41">
        <f>J158</f>
        <v/>
      </c>
      <c r="K298" s="41">
        <f>K158</f>
        <v/>
      </c>
      <c r="L298" s="41">
        <f>L158</f>
        <v/>
      </c>
      <c r="M298" s="41">
        <f>M158</f>
        <v/>
      </c>
      <c r="N298" s="41">
        <f>N158</f>
        <v/>
      </c>
      <c r="O298" s="41">
        <f>O158</f>
        <v/>
      </c>
      <c r="P298" s="41">
        <f>P158</f>
        <v/>
      </c>
      <c r="Q298" s="41">
        <f>Q158</f>
        <v/>
      </c>
      <c r="R298" s="41">
        <f>R158</f>
        <v/>
      </c>
      <c r="S298" s="41">
        <f>S158</f>
        <v/>
      </c>
      <c r="T298" s="41">
        <f>T158</f>
        <v/>
      </c>
      <c r="U298" s="41">
        <f>U158</f>
        <v/>
      </c>
      <c r="V298" s="41">
        <f>V158</f>
        <v/>
      </c>
      <c r="W298" s="41">
        <f>W158</f>
        <v/>
      </c>
      <c r="X298" s="41">
        <f>X158</f>
        <v/>
      </c>
      <c r="Y298" s="41">
        <f>Y158</f>
        <v/>
      </c>
      <c r="Z298" s="41">
        <f>Z158</f>
        <v/>
      </c>
      <c r="AA298" s="41">
        <f>AA158</f>
        <v/>
      </c>
      <c r="AB298" s="41">
        <f>AB158</f>
        <v/>
      </c>
      <c r="AC298" s="41">
        <f>AC158</f>
        <v/>
      </c>
      <c r="AD298" s="41">
        <f>AD158</f>
        <v/>
      </c>
      <c r="AE298" s="41">
        <f>AE158</f>
        <v/>
      </c>
      <c r="AF298" s="41">
        <f>AF158</f>
        <v/>
      </c>
      <c r="AG298" s="41">
        <f>AG158</f>
        <v/>
      </c>
      <c r="AH298" s="41">
        <f>AH158</f>
        <v/>
      </c>
      <c r="AI298" s="41">
        <f>AI158</f>
        <v/>
      </c>
      <c r="AJ298" s="41">
        <f>AJ158</f>
        <v/>
      </c>
      <c r="AK298" s="41">
        <f>AK158</f>
        <v/>
      </c>
      <c r="AL298" s="41">
        <f>AL158</f>
        <v/>
      </c>
      <c r="AM298" s="41">
        <f>AM158</f>
        <v/>
      </c>
      <c r="AN298" s="41">
        <f>AN158</f>
        <v/>
      </c>
      <c r="AO298" s="41">
        <f>AO158</f>
        <v/>
      </c>
      <c r="AP298" s="41">
        <f>AP158</f>
        <v/>
      </c>
      <c r="AQ298" s="41">
        <f>AQ158</f>
        <v/>
      </c>
      <c r="AR298" s="41">
        <f>AR158</f>
        <v/>
      </c>
      <c r="AS298" s="41">
        <f>AS158</f>
        <v/>
      </c>
      <c r="AT298" s="41">
        <f>AT158</f>
        <v/>
      </c>
      <c r="AU298" s="41">
        <f>AU158</f>
        <v/>
      </c>
      <c r="AV298" s="41">
        <f>AV158</f>
        <v/>
      </c>
      <c r="AW298" s="41">
        <f>AW158</f>
        <v/>
      </c>
      <c r="AX298" s="41">
        <f>AX158</f>
        <v/>
      </c>
      <c r="AY298" s="41">
        <f>AY158</f>
        <v/>
      </c>
      <c r="AZ298" s="41">
        <f>AZ158</f>
        <v/>
      </c>
      <c r="BA298" s="41">
        <f>BA158</f>
        <v/>
      </c>
      <c r="BB298" s="41">
        <f>BB158</f>
        <v/>
      </c>
      <c r="BC298" s="41">
        <f>BC158</f>
        <v/>
      </c>
      <c r="BD298" s="41">
        <f>BD158</f>
        <v/>
      </c>
      <c r="BE298" s="41">
        <f>BE158</f>
        <v/>
      </c>
      <c r="BF298" s="41">
        <f>BF158</f>
        <v/>
      </c>
      <c r="BG298" s="41">
        <f>BG158</f>
        <v/>
      </c>
      <c r="BH298" s="41">
        <f>BH158</f>
        <v/>
      </c>
      <c r="BI298" s="41">
        <f>BI158</f>
        <v/>
      </c>
      <c r="BJ298" s="41">
        <f>BJ158</f>
        <v/>
      </c>
    </row>
    <row r="299">
      <c r="A299" s="4" t="inlineStr">
        <is>
          <t>Enterprise tier: churned</t>
        </is>
      </c>
      <c r="B299" s="17" t="inlineStr">
        <is>
          <t>workspaces</t>
        </is>
      </c>
      <c r="C299" s="41">
        <f>C157</f>
        <v/>
      </c>
      <c r="D299" s="41">
        <f>D157</f>
        <v/>
      </c>
      <c r="E299" s="41">
        <f>E157</f>
        <v/>
      </c>
      <c r="F299" s="41">
        <f>F157</f>
        <v/>
      </c>
      <c r="G299" s="41">
        <f>G157</f>
        <v/>
      </c>
      <c r="H299" s="41">
        <f>H157</f>
        <v/>
      </c>
      <c r="I299" s="41">
        <f>I157</f>
        <v/>
      </c>
      <c r="J299" s="41">
        <f>J157</f>
        <v/>
      </c>
      <c r="K299" s="41">
        <f>K157</f>
        <v/>
      </c>
      <c r="L299" s="41">
        <f>L157</f>
        <v/>
      </c>
      <c r="M299" s="41">
        <f>M157</f>
        <v/>
      </c>
      <c r="N299" s="41">
        <f>N157</f>
        <v/>
      </c>
      <c r="O299" s="41">
        <f>O157</f>
        <v/>
      </c>
      <c r="P299" s="41">
        <f>P157</f>
        <v/>
      </c>
      <c r="Q299" s="41">
        <f>Q157</f>
        <v/>
      </c>
      <c r="R299" s="41">
        <f>R157</f>
        <v/>
      </c>
      <c r="S299" s="41">
        <f>S157</f>
        <v/>
      </c>
      <c r="T299" s="41">
        <f>T157</f>
        <v/>
      </c>
      <c r="U299" s="41">
        <f>U157</f>
        <v/>
      </c>
      <c r="V299" s="41">
        <f>V157</f>
        <v/>
      </c>
      <c r="W299" s="41">
        <f>W157</f>
        <v/>
      </c>
      <c r="X299" s="41">
        <f>X157</f>
        <v/>
      </c>
      <c r="Y299" s="41">
        <f>Y157</f>
        <v/>
      </c>
      <c r="Z299" s="41">
        <f>Z157</f>
        <v/>
      </c>
      <c r="AA299" s="41">
        <f>AA157</f>
        <v/>
      </c>
      <c r="AB299" s="41">
        <f>AB157</f>
        <v/>
      </c>
      <c r="AC299" s="41">
        <f>AC157</f>
        <v/>
      </c>
      <c r="AD299" s="41">
        <f>AD157</f>
        <v/>
      </c>
      <c r="AE299" s="41">
        <f>AE157</f>
        <v/>
      </c>
      <c r="AF299" s="41">
        <f>AF157</f>
        <v/>
      </c>
      <c r="AG299" s="41">
        <f>AG157</f>
        <v/>
      </c>
      <c r="AH299" s="41">
        <f>AH157</f>
        <v/>
      </c>
      <c r="AI299" s="41">
        <f>AI157</f>
        <v/>
      </c>
      <c r="AJ299" s="41">
        <f>AJ157</f>
        <v/>
      </c>
      <c r="AK299" s="41">
        <f>AK157</f>
        <v/>
      </c>
      <c r="AL299" s="41">
        <f>AL157</f>
        <v/>
      </c>
      <c r="AM299" s="41">
        <f>AM157</f>
        <v/>
      </c>
      <c r="AN299" s="41">
        <f>AN157</f>
        <v/>
      </c>
      <c r="AO299" s="41">
        <f>AO157</f>
        <v/>
      </c>
      <c r="AP299" s="41">
        <f>AP157</f>
        <v/>
      </c>
      <c r="AQ299" s="41">
        <f>AQ157</f>
        <v/>
      </c>
      <c r="AR299" s="41">
        <f>AR157</f>
        <v/>
      </c>
      <c r="AS299" s="41">
        <f>AS157</f>
        <v/>
      </c>
      <c r="AT299" s="41">
        <f>AT157</f>
        <v/>
      </c>
      <c r="AU299" s="41">
        <f>AU157</f>
        <v/>
      </c>
      <c r="AV299" s="41">
        <f>AV157</f>
        <v/>
      </c>
      <c r="AW299" s="41">
        <f>AW157</f>
        <v/>
      </c>
      <c r="AX299" s="41">
        <f>AX157</f>
        <v/>
      </c>
      <c r="AY299" s="41">
        <f>AY157</f>
        <v/>
      </c>
      <c r="AZ299" s="41">
        <f>AZ157</f>
        <v/>
      </c>
      <c r="BA299" s="41">
        <f>BA157</f>
        <v/>
      </c>
      <c r="BB299" s="41">
        <f>BB157</f>
        <v/>
      </c>
      <c r="BC299" s="41">
        <f>BC157</f>
        <v/>
      </c>
      <c r="BD299" s="41">
        <f>BD157</f>
        <v/>
      </c>
      <c r="BE299" s="41">
        <f>BE157</f>
        <v/>
      </c>
      <c r="BF299" s="41">
        <f>BF157</f>
        <v/>
      </c>
      <c r="BG299" s="41">
        <f>BG157</f>
        <v/>
      </c>
      <c r="BH299" s="41">
        <f>BH157</f>
        <v/>
      </c>
      <c r="BI299" s="41">
        <f>BI157</f>
        <v/>
      </c>
      <c r="BJ299" s="41">
        <f>BJ157</f>
        <v/>
      </c>
    </row>
    <row r="300">
      <c r="A300" s="3" t="inlineStr">
        <is>
          <t>Total paying workspaces: opening</t>
        </is>
      </c>
      <c r="B300" s="17" t="inlineStr">
        <is>
          <t>workspaces</t>
        </is>
      </c>
      <c r="C300" s="40">
        <f>C269+C273+C277+C281</f>
        <v/>
      </c>
      <c r="D300" s="40">
        <f>D269+D273+D277+D281</f>
        <v/>
      </c>
      <c r="E300" s="40">
        <f>E269+E273+E277+E281</f>
        <v/>
      </c>
      <c r="F300" s="40">
        <f>F269+F273+F277+F281</f>
        <v/>
      </c>
      <c r="G300" s="40">
        <f>G269+G273+G277+G281</f>
        <v/>
      </c>
      <c r="H300" s="40">
        <f>H269+H273+H277+H281</f>
        <v/>
      </c>
      <c r="I300" s="40">
        <f>I269+I273+I277+I281</f>
        <v/>
      </c>
      <c r="J300" s="40">
        <f>J269+J273+J277+J281</f>
        <v/>
      </c>
      <c r="K300" s="40">
        <f>K269+K273+K277+K281</f>
        <v/>
      </c>
      <c r="L300" s="40">
        <f>L269+L273+L277+L281</f>
        <v/>
      </c>
      <c r="M300" s="40">
        <f>M269+M273+M277+M281</f>
        <v/>
      </c>
      <c r="N300" s="40">
        <f>N269+N273+N277+N281</f>
        <v/>
      </c>
      <c r="O300" s="40">
        <f>O269+O273+O277+O281</f>
        <v/>
      </c>
      <c r="P300" s="40">
        <f>P269+P273+P277+P281</f>
        <v/>
      </c>
      <c r="Q300" s="40">
        <f>Q269+Q273+Q277+Q281</f>
        <v/>
      </c>
      <c r="R300" s="40">
        <f>R269+R273+R277+R281</f>
        <v/>
      </c>
      <c r="S300" s="40">
        <f>S269+S273+S277+S281</f>
        <v/>
      </c>
      <c r="T300" s="40">
        <f>T269+T273+T277+T281</f>
        <v/>
      </c>
      <c r="U300" s="40">
        <f>U269+U273+U277+U281</f>
        <v/>
      </c>
      <c r="V300" s="40">
        <f>V269+V273+V277+V281</f>
        <v/>
      </c>
      <c r="W300" s="40">
        <f>W269+W273+W277+W281</f>
        <v/>
      </c>
      <c r="X300" s="40">
        <f>X269+X273+X277+X281</f>
        <v/>
      </c>
      <c r="Y300" s="40">
        <f>Y269+Y273+Y277+Y281</f>
        <v/>
      </c>
      <c r="Z300" s="40">
        <f>Z269+Z273+Z277+Z281</f>
        <v/>
      </c>
      <c r="AA300" s="40">
        <f>AA269+AA273+AA277+AA281</f>
        <v/>
      </c>
      <c r="AB300" s="40">
        <f>AB269+AB273+AB277+AB281</f>
        <v/>
      </c>
      <c r="AC300" s="40">
        <f>AC269+AC273+AC277+AC281</f>
        <v/>
      </c>
      <c r="AD300" s="40">
        <f>AD269+AD273+AD277+AD281</f>
        <v/>
      </c>
      <c r="AE300" s="40">
        <f>AE269+AE273+AE277+AE281</f>
        <v/>
      </c>
      <c r="AF300" s="40">
        <f>AF269+AF273+AF277+AF281</f>
        <v/>
      </c>
      <c r="AG300" s="40">
        <f>AG269+AG273+AG277+AG281</f>
        <v/>
      </c>
      <c r="AH300" s="40">
        <f>AH269+AH273+AH277+AH281</f>
        <v/>
      </c>
      <c r="AI300" s="40">
        <f>AI269+AI273+AI277+AI281</f>
        <v/>
      </c>
      <c r="AJ300" s="40">
        <f>AJ269+AJ273+AJ277+AJ281</f>
        <v/>
      </c>
      <c r="AK300" s="40">
        <f>AK269+AK273+AK277+AK281</f>
        <v/>
      </c>
      <c r="AL300" s="40">
        <f>AL269+AL273+AL277+AL281</f>
        <v/>
      </c>
      <c r="AM300" s="40">
        <f>AM269+AM273+AM277+AM281</f>
        <v/>
      </c>
      <c r="AN300" s="40">
        <f>AN269+AN273+AN277+AN281</f>
        <v/>
      </c>
      <c r="AO300" s="40">
        <f>AO269+AO273+AO277+AO281</f>
        <v/>
      </c>
      <c r="AP300" s="40">
        <f>AP269+AP273+AP277+AP281</f>
        <v/>
      </c>
      <c r="AQ300" s="40">
        <f>AQ269+AQ273+AQ277+AQ281</f>
        <v/>
      </c>
      <c r="AR300" s="40">
        <f>AR269+AR273+AR277+AR281</f>
        <v/>
      </c>
      <c r="AS300" s="40">
        <f>AS269+AS273+AS277+AS281</f>
        <v/>
      </c>
      <c r="AT300" s="40">
        <f>AT269+AT273+AT277+AT281</f>
        <v/>
      </c>
      <c r="AU300" s="40">
        <f>AU269+AU273+AU277+AU281</f>
        <v/>
      </c>
      <c r="AV300" s="40">
        <f>AV269+AV273+AV277+AV281</f>
        <v/>
      </c>
      <c r="AW300" s="40">
        <f>AW269+AW273+AW277+AW281</f>
        <v/>
      </c>
      <c r="AX300" s="40">
        <f>AX269+AX273+AX277+AX281</f>
        <v/>
      </c>
      <c r="AY300" s="40">
        <f>AY269+AY273+AY277+AY281</f>
        <v/>
      </c>
      <c r="AZ300" s="40">
        <f>AZ269+AZ273+AZ277+AZ281</f>
        <v/>
      </c>
      <c r="BA300" s="40">
        <f>BA269+BA273+BA277+BA281</f>
        <v/>
      </c>
      <c r="BB300" s="40">
        <f>BB269+BB273+BB277+BB281</f>
        <v/>
      </c>
      <c r="BC300" s="40">
        <f>BC269+BC273+BC277+BC281</f>
        <v/>
      </c>
      <c r="BD300" s="40">
        <f>BD269+BD273+BD277+BD281</f>
        <v/>
      </c>
      <c r="BE300" s="40">
        <f>BE269+BE273+BE277+BE281</f>
        <v/>
      </c>
      <c r="BF300" s="40">
        <f>BF269+BF273+BF277+BF281</f>
        <v/>
      </c>
      <c r="BG300" s="40">
        <f>BG269+BG273+BG277+BG281</f>
        <v/>
      </c>
      <c r="BH300" s="40">
        <f>BH269+BH273+BH277+BH281</f>
        <v/>
      </c>
      <c r="BI300" s="40">
        <f>BI269+BI273+BI277+BI281</f>
        <v/>
      </c>
      <c r="BJ300" s="40">
        <f>BJ269+BJ273+BJ277+BJ281</f>
        <v/>
      </c>
    </row>
    <row r="301">
      <c r="A301" s="3" t="inlineStr">
        <is>
          <t>Total paying workspaces: closing</t>
        </is>
      </c>
      <c r="B301" s="17" t="inlineStr">
        <is>
          <t>workspaces</t>
        </is>
      </c>
      <c r="C301" s="40">
        <f>C270+C274+C278+C282</f>
        <v/>
      </c>
      <c r="D301" s="40">
        <f>D270+D274+D278+D282</f>
        <v/>
      </c>
      <c r="E301" s="40">
        <f>E270+E274+E278+E282</f>
        <v/>
      </c>
      <c r="F301" s="40">
        <f>F270+F274+F278+F282</f>
        <v/>
      </c>
      <c r="G301" s="40">
        <f>G270+G274+G278+G282</f>
        <v/>
      </c>
      <c r="H301" s="40">
        <f>H270+H274+H278+H282</f>
        <v/>
      </c>
      <c r="I301" s="40">
        <f>I270+I274+I278+I282</f>
        <v/>
      </c>
      <c r="J301" s="40">
        <f>J270+J274+J278+J282</f>
        <v/>
      </c>
      <c r="K301" s="40">
        <f>K270+K274+K278+K282</f>
        <v/>
      </c>
      <c r="L301" s="40">
        <f>L270+L274+L278+L282</f>
        <v/>
      </c>
      <c r="M301" s="40">
        <f>M270+M274+M278+M282</f>
        <v/>
      </c>
      <c r="N301" s="40">
        <f>N270+N274+N278+N282</f>
        <v/>
      </c>
      <c r="O301" s="40">
        <f>O270+O274+O278+O282</f>
        <v/>
      </c>
      <c r="P301" s="40">
        <f>P270+P274+P278+P282</f>
        <v/>
      </c>
      <c r="Q301" s="40">
        <f>Q270+Q274+Q278+Q282</f>
        <v/>
      </c>
      <c r="R301" s="40">
        <f>R270+R274+R278+R282</f>
        <v/>
      </c>
      <c r="S301" s="40">
        <f>S270+S274+S278+S282</f>
        <v/>
      </c>
      <c r="T301" s="40">
        <f>T270+T274+T278+T282</f>
        <v/>
      </c>
      <c r="U301" s="40">
        <f>U270+U274+U278+U282</f>
        <v/>
      </c>
      <c r="V301" s="40">
        <f>V270+V274+V278+V282</f>
        <v/>
      </c>
      <c r="W301" s="40">
        <f>W270+W274+W278+W282</f>
        <v/>
      </c>
      <c r="X301" s="40">
        <f>X270+X274+X278+X282</f>
        <v/>
      </c>
      <c r="Y301" s="40">
        <f>Y270+Y274+Y278+Y282</f>
        <v/>
      </c>
      <c r="Z301" s="40">
        <f>Z270+Z274+Z278+Z282</f>
        <v/>
      </c>
      <c r="AA301" s="40">
        <f>AA270+AA274+AA278+AA282</f>
        <v/>
      </c>
      <c r="AB301" s="40">
        <f>AB270+AB274+AB278+AB282</f>
        <v/>
      </c>
      <c r="AC301" s="40">
        <f>AC270+AC274+AC278+AC282</f>
        <v/>
      </c>
      <c r="AD301" s="40">
        <f>AD270+AD274+AD278+AD282</f>
        <v/>
      </c>
      <c r="AE301" s="40">
        <f>AE270+AE274+AE278+AE282</f>
        <v/>
      </c>
      <c r="AF301" s="40">
        <f>AF270+AF274+AF278+AF282</f>
        <v/>
      </c>
      <c r="AG301" s="40">
        <f>AG270+AG274+AG278+AG282</f>
        <v/>
      </c>
      <c r="AH301" s="40">
        <f>AH270+AH274+AH278+AH282</f>
        <v/>
      </c>
      <c r="AI301" s="40">
        <f>AI270+AI274+AI278+AI282</f>
        <v/>
      </c>
      <c r="AJ301" s="40">
        <f>AJ270+AJ274+AJ278+AJ282</f>
        <v/>
      </c>
      <c r="AK301" s="40">
        <f>AK270+AK274+AK278+AK282</f>
        <v/>
      </c>
      <c r="AL301" s="40">
        <f>AL270+AL274+AL278+AL282</f>
        <v/>
      </c>
      <c r="AM301" s="40">
        <f>AM270+AM274+AM278+AM282</f>
        <v/>
      </c>
      <c r="AN301" s="40">
        <f>AN270+AN274+AN278+AN282</f>
        <v/>
      </c>
      <c r="AO301" s="40">
        <f>AO270+AO274+AO278+AO282</f>
        <v/>
      </c>
      <c r="AP301" s="40">
        <f>AP270+AP274+AP278+AP282</f>
        <v/>
      </c>
      <c r="AQ301" s="40">
        <f>AQ270+AQ274+AQ278+AQ282</f>
        <v/>
      </c>
      <c r="AR301" s="40">
        <f>AR270+AR274+AR278+AR282</f>
        <v/>
      </c>
      <c r="AS301" s="40">
        <f>AS270+AS274+AS278+AS282</f>
        <v/>
      </c>
      <c r="AT301" s="40">
        <f>AT270+AT274+AT278+AT282</f>
        <v/>
      </c>
      <c r="AU301" s="40">
        <f>AU270+AU274+AU278+AU282</f>
        <v/>
      </c>
      <c r="AV301" s="40">
        <f>AV270+AV274+AV278+AV282</f>
        <v/>
      </c>
      <c r="AW301" s="40">
        <f>AW270+AW274+AW278+AW282</f>
        <v/>
      </c>
      <c r="AX301" s="40">
        <f>AX270+AX274+AX278+AX282</f>
        <v/>
      </c>
      <c r="AY301" s="40">
        <f>AY270+AY274+AY278+AY282</f>
        <v/>
      </c>
      <c r="AZ301" s="40">
        <f>AZ270+AZ274+AZ278+AZ282</f>
        <v/>
      </c>
      <c r="BA301" s="40">
        <f>BA270+BA274+BA278+BA282</f>
        <v/>
      </c>
      <c r="BB301" s="40">
        <f>BB270+BB274+BB278+BB282</f>
        <v/>
      </c>
      <c r="BC301" s="40">
        <f>BC270+BC274+BC278+BC282</f>
        <v/>
      </c>
      <c r="BD301" s="40">
        <f>BD270+BD274+BD278+BD282</f>
        <v/>
      </c>
      <c r="BE301" s="40">
        <f>BE270+BE274+BE278+BE282</f>
        <v/>
      </c>
      <c r="BF301" s="40">
        <f>BF270+BF274+BF278+BF282</f>
        <v/>
      </c>
      <c r="BG301" s="40">
        <f>BG270+BG274+BG278+BG282</f>
        <v/>
      </c>
      <c r="BH301" s="40">
        <f>BH270+BH274+BH278+BH282</f>
        <v/>
      </c>
      <c r="BI301" s="40">
        <f>BI270+BI274+BI278+BI282</f>
        <v/>
      </c>
      <c r="BJ301" s="40">
        <f>BJ270+BJ274+BJ278+BJ282</f>
        <v/>
      </c>
    </row>
    <row r="302">
      <c r="A302" s="3" t="inlineStr">
        <is>
          <t>Total paying workspaces: churned</t>
        </is>
      </c>
      <c r="B302" s="17" t="inlineStr">
        <is>
          <t>workspaces</t>
        </is>
      </c>
      <c r="C302" s="40">
        <f>C271+C275+C279+C283</f>
        <v/>
      </c>
      <c r="D302" s="40">
        <f>D271+D275+D279+D283</f>
        <v/>
      </c>
      <c r="E302" s="40">
        <f>E271+E275+E279+E283</f>
        <v/>
      </c>
      <c r="F302" s="40">
        <f>F271+F275+F279+F283</f>
        <v/>
      </c>
      <c r="G302" s="40">
        <f>G271+G275+G279+G283</f>
        <v/>
      </c>
      <c r="H302" s="40">
        <f>H271+H275+H279+H283</f>
        <v/>
      </c>
      <c r="I302" s="40">
        <f>I271+I275+I279+I283</f>
        <v/>
      </c>
      <c r="J302" s="40">
        <f>J271+J275+J279+J283</f>
        <v/>
      </c>
      <c r="K302" s="40">
        <f>K271+K275+K279+K283</f>
        <v/>
      </c>
      <c r="L302" s="40">
        <f>L271+L275+L279+L283</f>
        <v/>
      </c>
      <c r="M302" s="40">
        <f>M271+M275+M279+M283</f>
        <v/>
      </c>
      <c r="N302" s="40">
        <f>N271+N275+N279+N283</f>
        <v/>
      </c>
      <c r="O302" s="40">
        <f>O271+O275+O279+O283</f>
        <v/>
      </c>
      <c r="P302" s="40">
        <f>P271+P275+P279+P283</f>
        <v/>
      </c>
      <c r="Q302" s="40">
        <f>Q271+Q275+Q279+Q283</f>
        <v/>
      </c>
      <c r="R302" s="40">
        <f>R271+R275+R279+R283</f>
        <v/>
      </c>
      <c r="S302" s="40">
        <f>S271+S275+S279+S283</f>
        <v/>
      </c>
      <c r="T302" s="40">
        <f>T271+T275+T279+T283</f>
        <v/>
      </c>
      <c r="U302" s="40">
        <f>U271+U275+U279+U283</f>
        <v/>
      </c>
      <c r="V302" s="40">
        <f>V271+V275+V279+V283</f>
        <v/>
      </c>
      <c r="W302" s="40">
        <f>W271+W275+W279+W283</f>
        <v/>
      </c>
      <c r="X302" s="40">
        <f>X271+X275+X279+X283</f>
        <v/>
      </c>
      <c r="Y302" s="40">
        <f>Y271+Y275+Y279+Y283</f>
        <v/>
      </c>
      <c r="Z302" s="40">
        <f>Z271+Z275+Z279+Z283</f>
        <v/>
      </c>
      <c r="AA302" s="40">
        <f>AA271+AA275+AA279+AA283</f>
        <v/>
      </c>
      <c r="AB302" s="40">
        <f>AB271+AB275+AB279+AB283</f>
        <v/>
      </c>
      <c r="AC302" s="40">
        <f>AC271+AC275+AC279+AC283</f>
        <v/>
      </c>
      <c r="AD302" s="40">
        <f>AD271+AD275+AD279+AD283</f>
        <v/>
      </c>
      <c r="AE302" s="40">
        <f>AE271+AE275+AE279+AE283</f>
        <v/>
      </c>
      <c r="AF302" s="40">
        <f>AF271+AF275+AF279+AF283</f>
        <v/>
      </c>
      <c r="AG302" s="40">
        <f>AG271+AG275+AG279+AG283</f>
        <v/>
      </c>
      <c r="AH302" s="40">
        <f>AH271+AH275+AH279+AH283</f>
        <v/>
      </c>
      <c r="AI302" s="40">
        <f>AI271+AI275+AI279+AI283</f>
        <v/>
      </c>
      <c r="AJ302" s="40">
        <f>AJ271+AJ275+AJ279+AJ283</f>
        <v/>
      </c>
      <c r="AK302" s="40">
        <f>AK271+AK275+AK279+AK283</f>
        <v/>
      </c>
      <c r="AL302" s="40">
        <f>AL271+AL275+AL279+AL283</f>
        <v/>
      </c>
      <c r="AM302" s="40">
        <f>AM271+AM275+AM279+AM283</f>
        <v/>
      </c>
      <c r="AN302" s="40">
        <f>AN271+AN275+AN279+AN283</f>
        <v/>
      </c>
      <c r="AO302" s="40">
        <f>AO271+AO275+AO279+AO283</f>
        <v/>
      </c>
      <c r="AP302" s="40">
        <f>AP271+AP275+AP279+AP283</f>
        <v/>
      </c>
      <c r="AQ302" s="40">
        <f>AQ271+AQ275+AQ279+AQ283</f>
        <v/>
      </c>
      <c r="AR302" s="40">
        <f>AR271+AR275+AR279+AR283</f>
        <v/>
      </c>
      <c r="AS302" s="40">
        <f>AS271+AS275+AS279+AS283</f>
        <v/>
      </c>
      <c r="AT302" s="40">
        <f>AT271+AT275+AT279+AT283</f>
        <v/>
      </c>
      <c r="AU302" s="40">
        <f>AU271+AU275+AU279+AU283</f>
        <v/>
      </c>
      <c r="AV302" s="40">
        <f>AV271+AV275+AV279+AV283</f>
        <v/>
      </c>
      <c r="AW302" s="40">
        <f>AW271+AW275+AW279+AW283</f>
        <v/>
      </c>
      <c r="AX302" s="40">
        <f>AX271+AX275+AX279+AX283</f>
        <v/>
      </c>
      <c r="AY302" s="40">
        <f>AY271+AY275+AY279+AY283</f>
        <v/>
      </c>
      <c r="AZ302" s="40">
        <f>AZ271+AZ275+AZ279+AZ283</f>
        <v/>
      </c>
      <c r="BA302" s="40">
        <f>BA271+BA275+BA279+BA283</f>
        <v/>
      </c>
      <c r="BB302" s="40">
        <f>BB271+BB275+BB279+BB283</f>
        <v/>
      </c>
      <c r="BC302" s="40">
        <f>BC271+BC275+BC279+BC283</f>
        <v/>
      </c>
      <c r="BD302" s="40">
        <f>BD271+BD275+BD279+BD283</f>
        <v/>
      </c>
      <c r="BE302" s="40">
        <f>BE271+BE275+BE279+BE283</f>
        <v/>
      </c>
      <c r="BF302" s="40">
        <f>BF271+BF275+BF279+BF283</f>
        <v/>
      </c>
      <c r="BG302" s="40">
        <f>BG271+BG275+BG279+BG283</f>
        <v/>
      </c>
      <c r="BH302" s="40">
        <f>BH271+BH275+BH279+BH283</f>
        <v/>
      </c>
      <c r="BI302" s="40">
        <f>BI271+BI275+BI279+BI283</f>
        <v/>
      </c>
      <c r="BJ302" s="40">
        <f>BJ271+BJ275+BJ279+BJ283</f>
        <v/>
      </c>
    </row>
    <row r="303">
      <c r="A303" s="3" t="inlineStr">
        <is>
          <t>Total new paying workspaces (excl. upgrades)</t>
        </is>
      </c>
      <c r="B303" s="17" t="inlineStr">
        <is>
          <t>workspaces</t>
        </is>
      </c>
      <c r="C303" s="40">
        <f>C272+C276+C280+C284</f>
        <v/>
      </c>
      <c r="D303" s="40">
        <f>D272+D276+D280+D284</f>
        <v/>
      </c>
      <c r="E303" s="40">
        <f>E272+E276+E280+E284</f>
        <v/>
      </c>
      <c r="F303" s="40">
        <f>F272+F276+F280+F284</f>
        <v/>
      </c>
      <c r="G303" s="40">
        <f>G272+G276+G280+G284</f>
        <v/>
      </c>
      <c r="H303" s="40">
        <f>H272+H276+H280+H284</f>
        <v/>
      </c>
      <c r="I303" s="40">
        <f>I272+I276+I280+I284</f>
        <v/>
      </c>
      <c r="J303" s="40">
        <f>J272+J276+J280+J284</f>
        <v/>
      </c>
      <c r="K303" s="40">
        <f>K272+K276+K280+K284</f>
        <v/>
      </c>
      <c r="L303" s="40">
        <f>L272+L276+L280+L284</f>
        <v/>
      </c>
      <c r="M303" s="40">
        <f>M272+M276+M280+M284</f>
        <v/>
      </c>
      <c r="N303" s="40">
        <f>N272+N276+N280+N284</f>
        <v/>
      </c>
      <c r="O303" s="40">
        <f>O272+O276+O280+O284</f>
        <v/>
      </c>
      <c r="P303" s="40">
        <f>P272+P276+P280+P284</f>
        <v/>
      </c>
      <c r="Q303" s="40">
        <f>Q272+Q276+Q280+Q284</f>
        <v/>
      </c>
      <c r="R303" s="40">
        <f>R272+R276+R280+R284</f>
        <v/>
      </c>
      <c r="S303" s="40">
        <f>S272+S276+S280+S284</f>
        <v/>
      </c>
      <c r="T303" s="40">
        <f>T272+T276+T280+T284</f>
        <v/>
      </c>
      <c r="U303" s="40">
        <f>U272+U276+U280+U284</f>
        <v/>
      </c>
      <c r="V303" s="40">
        <f>V272+V276+V280+V284</f>
        <v/>
      </c>
      <c r="W303" s="40">
        <f>W272+W276+W280+W284</f>
        <v/>
      </c>
      <c r="X303" s="40">
        <f>X272+X276+X280+X284</f>
        <v/>
      </c>
      <c r="Y303" s="40">
        <f>Y272+Y276+Y280+Y284</f>
        <v/>
      </c>
      <c r="Z303" s="40">
        <f>Z272+Z276+Z280+Z284</f>
        <v/>
      </c>
      <c r="AA303" s="40">
        <f>AA272+AA276+AA280+AA284</f>
        <v/>
      </c>
      <c r="AB303" s="40">
        <f>AB272+AB276+AB280+AB284</f>
        <v/>
      </c>
      <c r="AC303" s="40">
        <f>AC272+AC276+AC280+AC284</f>
        <v/>
      </c>
      <c r="AD303" s="40">
        <f>AD272+AD276+AD280+AD284</f>
        <v/>
      </c>
      <c r="AE303" s="40">
        <f>AE272+AE276+AE280+AE284</f>
        <v/>
      </c>
      <c r="AF303" s="40">
        <f>AF272+AF276+AF280+AF284</f>
        <v/>
      </c>
      <c r="AG303" s="40">
        <f>AG272+AG276+AG280+AG284</f>
        <v/>
      </c>
      <c r="AH303" s="40">
        <f>AH272+AH276+AH280+AH284</f>
        <v/>
      </c>
      <c r="AI303" s="40">
        <f>AI272+AI276+AI280+AI284</f>
        <v/>
      </c>
      <c r="AJ303" s="40">
        <f>AJ272+AJ276+AJ280+AJ284</f>
        <v/>
      </c>
      <c r="AK303" s="40">
        <f>AK272+AK276+AK280+AK284</f>
        <v/>
      </c>
      <c r="AL303" s="40">
        <f>AL272+AL276+AL280+AL284</f>
        <v/>
      </c>
      <c r="AM303" s="40">
        <f>AM272+AM276+AM280+AM284</f>
        <v/>
      </c>
      <c r="AN303" s="40">
        <f>AN272+AN276+AN280+AN284</f>
        <v/>
      </c>
      <c r="AO303" s="40">
        <f>AO272+AO276+AO280+AO284</f>
        <v/>
      </c>
      <c r="AP303" s="40">
        <f>AP272+AP276+AP280+AP284</f>
        <v/>
      </c>
      <c r="AQ303" s="40">
        <f>AQ272+AQ276+AQ280+AQ284</f>
        <v/>
      </c>
      <c r="AR303" s="40">
        <f>AR272+AR276+AR280+AR284</f>
        <v/>
      </c>
      <c r="AS303" s="40">
        <f>AS272+AS276+AS280+AS284</f>
        <v/>
      </c>
      <c r="AT303" s="40">
        <f>AT272+AT276+AT280+AT284</f>
        <v/>
      </c>
      <c r="AU303" s="40">
        <f>AU272+AU276+AU280+AU284</f>
        <v/>
      </c>
      <c r="AV303" s="40">
        <f>AV272+AV276+AV280+AV284</f>
        <v/>
      </c>
      <c r="AW303" s="40">
        <f>AW272+AW276+AW280+AW284</f>
        <v/>
      </c>
      <c r="AX303" s="40">
        <f>AX272+AX276+AX280+AX284</f>
        <v/>
      </c>
      <c r="AY303" s="40">
        <f>AY272+AY276+AY280+AY284</f>
        <v/>
      </c>
      <c r="AZ303" s="40">
        <f>AZ272+AZ276+AZ280+AZ284</f>
        <v/>
      </c>
      <c r="BA303" s="40">
        <f>BA272+BA276+BA280+BA284</f>
        <v/>
      </c>
      <c r="BB303" s="40">
        <f>BB272+BB276+BB280+BB284</f>
        <v/>
      </c>
      <c r="BC303" s="40">
        <f>BC272+BC276+BC280+BC284</f>
        <v/>
      </c>
      <c r="BD303" s="40">
        <f>BD272+BD276+BD280+BD284</f>
        <v/>
      </c>
      <c r="BE303" s="40">
        <f>BE272+BE276+BE280+BE284</f>
        <v/>
      </c>
      <c r="BF303" s="40">
        <f>BF272+BF276+BF280+BF284</f>
        <v/>
      </c>
      <c r="BG303" s="40">
        <f>BG272+BG276+BG280+BG284</f>
        <v/>
      </c>
      <c r="BH303" s="40">
        <f>BH272+BH276+BH280+BH284</f>
        <v/>
      </c>
      <c r="BI303" s="40">
        <f>BI272+BI276+BI280+BI284</f>
        <v/>
      </c>
      <c r="BJ303" s="40">
        <f>BJ272+BJ276+BJ280+BJ284</f>
        <v/>
      </c>
    </row>
    <row r="304">
      <c r="A304" s="4" t="inlineStr">
        <is>
          <t>Check: markets minus total (should be 0)</t>
        </is>
      </c>
      <c r="B304" s="17" t="inlineStr">
        <is>
          <t>workspaces</t>
        </is>
      </c>
      <c r="C304" s="43">
        <f>ROUND(C263+C264+C265+C266+C267+C268-C301,6)</f>
        <v/>
      </c>
      <c r="D304" s="43">
        <f>ROUND(D263+D264+D265+D266+D267+D268-D301,6)</f>
        <v/>
      </c>
      <c r="E304" s="43">
        <f>ROUND(E263+E264+E265+E266+E267+E268-E301,6)</f>
        <v/>
      </c>
      <c r="F304" s="43">
        <f>ROUND(F263+F264+F265+F266+F267+F268-F301,6)</f>
        <v/>
      </c>
      <c r="G304" s="43">
        <f>ROUND(G263+G264+G265+G266+G267+G268-G301,6)</f>
        <v/>
      </c>
      <c r="H304" s="43">
        <f>ROUND(H263+H264+H265+H266+H267+H268-H301,6)</f>
        <v/>
      </c>
      <c r="I304" s="43">
        <f>ROUND(I263+I264+I265+I266+I267+I268-I301,6)</f>
        <v/>
      </c>
      <c r="J304" s="43">
        <f>ROUND(J263+J264+J265+J266+J267+J268-J301,6)</f>
        <v/>
      </c>
      <c r="K304" s="43">
        <f>ROUND(K263+K264+K265+K266+K267+K268-K301,6)</f>
        <v/>
      </c>
      <c r="L304" s="43">
        <f>ROUND(L263+L264+L265+L266+L267+L268-L301,6)</f>
        <v/>
      </c>
      <c r="M304" s="43">
        <f>ROUND(M263+M264+M265+M266+M267+M268-M301,6)</f>
        <v/>
      </c>
      <c r="N304" s="43">
        <f>ROUND(N263+N264+N265+N266+N267+N268-N301,6)</f>
        <v/>
      </c>
      <c r="O304" s="43">
        <f>ROUND(O263+O264+O265+O266+O267+O268-O301,6)</f>
        <v/>
      </c>
      <c r="P304" s="43">
        <f>ROUND(P263+P264+P265+P266+P267+P268-P301,6)</f>
        <v/>
      </c>
      <c r="Q304" s="43">
        <f>ROUND(Q263+Q264+Q265+Q266+Q267+Q268-Q301,6)</f>
        <v/>
      </c>
      <c r="R304" s="43">
        <f>ROUND(R263+R264+R265+R266+R267+R268-R301,6)</f>
        <v/>
      </c>
      <c r="S304" s="43">
        <f>ROUND(S263+S264+S265+S266+S267+S268-S301,6)</f>
        <v/>
      </c>
      <c r="T304" s="43">
        <f>ROUND(T263+T264+T265+T266+T267+T268-T301,6)</f>
        <v/>
      </c>
      <c r="U304" s="43">
        <f>ROUND(U263+U264+U265+U266+U267+U268-U301,6)</f>
        <v/>
      </c>
      <c r="V304" s="43">
        <f>ROUND(V263+V264+V265+V266+V267+V268-V301,6)</f>
        <v/>
      </c>
      <c r="W304" s="43">
        <f>ROUND(W263+W264+W265+W266+W267+W268-W301,6)</f>
        <v/>
      </c>
      <c r="X304" s="43">
        <f>ROUND(X263+X264+X265+X266+X267+X268-X301,6)</f>
        <v/>
      </c>
      <c r="Y304" s="43">
        <f>ROUND(Y263+Y264+Y265+Y266+Y267+Y268-Y301,6)</f>
        <v/>
      </c>
      <c r="Z304" s="43">
        <f>ROUND(Z263+Z264+Z265+Z266+Z267+Z268-Z301,6)</f>
        <v/>
      </c>
      <c r="AA304" s="43">
        <f>ROUND(AA263+AA264+AA265+AA266+AA267+AA268-AA301,6)</f>
        <v/>
      </c>
      <c r="AB304" s="43">
        <f>ROUND(AB263+AB264+AB265+AB266+AB267+AB268-AB301,6)</f>
        <v/>
      </c>
      <c r="AC304" s="43">
        <f>ROUND(AC263+AC264+AC265+AC266+AC267+AC268-AC301,6)</f>
        <v/>
      </c>
      <c r="AD304" s="43">
        <f>ROUND(AD263+AD264+AD265+AD266+AD267+AD268-AD301,6)</f>
        <v/>
      </c>
      <c r="AE304" s="43">
        <f>ROUND(AE263+AE264+AE265+AE266+AE267+AE268-AE301,6)</f>
        <v/>
      </c>
      <c r="AF304" s="43">
        <f>ROUND(AF263+AF264+AF265+AF266+AF267+AF268-AF301,6)</f>
        <v/>
      </c>
      <c r="AG304" s="43">
        <f>ROUND(AG263+AG264+AG265+AG266+AG267+AG268-AG301,6)</f>
        <v/>
      </c>
      <c r="AH304" s="43">
        <f>ROUND(AH263+AH264+AH265+AH266+AH267+AH268-AH301,6)</f>
        <v/>
      </c>
      <c r="AI304" s="43">
        <f>ROUND(AI263+AI264+AI265+AI266+AI267+AI268-AI301,6)</f>
        <v/>
      </c>
      <c r="AJ304" s="43">
        <f>ROUND(AJ263+AJ264+AJ265+AJ266+AJ267+AJ268-AJ301,6)</f>
        <v/>
      </c>
      <c r="AK304" s="43">
        <f>ROUND(AK263+AK264+AK265+AK266+AK267+AK268-AK301,6)</f>
        <v/>
      </c>
      <c r="AL304" s="43">
        <f>ROUND(AL263+AL264+AL265+AL266+AL267+AL268-AL301,6)</f>
        <v/>
      </c>
      <c r="AM304" s="43">
        <f>ROUND(AM263+AM264+AM265+AM266+AM267+AM268-AM301,6)</f>
        <v/>
      </c>
      <c r="AN304" s="43">
        <f>ROUND(AN263+AN264+AN265+AN266+AN267+AN268-AN301,6)</f>
        <v/>
      </c>
      <c r="AO304" s="43">
        <f>ROUND(AO263+AO264+AO265+AO266+AO267+AO268-AO301,6)</f>
        <v/>
      </c>
      <c r="AP304" s="43">
        <f>ROUND(AP263+AP264+AP265+AP266+AP267+AP268-AP301,6)</f>
        <v/>
      </c>
      <c r="AQ304" s="43">
        <f>ROUND(AQ263+AQ264+AQ265+AQ266+AQ267+AQ268-AQ301,6)</f>
        <v/>
      </c>
      <c r="AR304" s="43">
        <f>ROUND(AR263+AR264+AR265+AR266+AR267+AR268-AR301,6)</f>
        <v/>
      </c>
      <c r="AS304" s="43">
        <f>ROUND(AS263+AS264+AS265+AS266+AS267+AS268-AS301,6)</f>
        <v/>
      </c>
      <c r="AT304" s="43">
        <f>ROUND(AT263+AT264+AT265+AT266+AT267+AT268-AT301,6)</f>
        <v/>
      </c>
      <c r="AU304" s="43">
        <f>ROUND(AU263+AU264+AU265+AU266+AU267+AU268-AU301,6)</f>
        <v/>
      </c>
      <c r="AV304" s="43">
        <f>ROUND(AV263+AV264+AV265+AV266+AV267+AV268-AV301,6)</f>
        <v/>
      </c>
      <c r="AW304" s="43">
        <f>ROUND(AW263+AW264+AW265+AW266+AW267+AW268-AW301,6)</f>
        <v/>
      </c>
      <c r="AX304" s="43">
        <f>ROUND(AX263+AX264+AX265+AX266+AX267+AX268-AX301,6)</f>
        <v/>
      </c>
      <c r="AY304" s="43">
        <f>ROUND(AY263+AY264+AY265+AY266+AY267+AY268-AY301,6)</f>
        <v/>
      </c>
      <c r="AZ304" s="43">
        <f>ROUND(AZ263+AZ264+AZ265+AZ266+AZ267+AZ268-AZ301,6)</f>
        <v/>
      </c>
      <c r="BA304" s="43">
        <f>ROUND(BA263+BA264+BA265+BA266+BA267+BA268-BA301,6)</f>
        <v/>
      </c>
      <c r="BB304" s="43">
        <f>ROUND(BB263+BB264+BB265+BB266+BB267+BB268-BB301,6)</f>
        <v/>
      </c>
      <c r="BC304" s="43">
        <f>ROUND(BC263+BC264+BC265+BC266+BC267+BC268-BC301,6)</f>
        <v/>
      </c>
      <c r="BD304" s="43">
        <f>ROUND(BD263+BD264+BD265+BD266+BD267+BD268-BD301,6)</f>
        <v/>
      </c>
      <c r="BE304" s="43">
        <f>ROUND(BE263+BE264+BE265+BE266+BE267+BE268-BE301,6)</f>
        <v/>
      </c>
      <c r="BF304" s="43">
        <f>ROUND(BF263+BF264+BF265+BF266+BF267+BF268-BF301,6)</f>
        <v/>
      </c>
      <c r="BG304" s="43">
        <f>ROUND(BG263+BG264+BG265+BG266+BG267+BG268-BG301,6)</f>
        <v/>
      </c>
      <c r="BH304" s="43">
        <f>ROUND(BH263+BH264+BH265+BH266+BH267+BH268-BH301,6)</f>
        <v/>
      </c>
      <c r="BI304" s="43">
        <f>ROUND(BI263+BI264+BI265+BI266+BI267+BI268-BI301,6)</f>
        <v/>
      </c>
      <c r="BJ304" s="43">
        <f>ROUND(BJ263+BJ264+BJ265+BJ266+BJ267+BJ268-BJ301,6)</f>
        <v/>
      </c>
    </row>
    <row r="305"/>
    <row r="306">
      <c r="A306" s="19" t="inlineStr">
        <is>
          <t>Gross subscription revenue (parity price x escalator x annual-billing factor x FX value factor; agencies at partner wholesale)</t>
        </is>
      </c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/>
      <c r="W306" s="19" t="n"/>
      <c r="X306" s="19" t="n"/>
      <c r="Y306" s="19" t="n"/>
      <c r="Z306" s="19" t="n"/>
      <c r="AA306" s="19" t="n"/>
      <c r="AB306" s="19" t="n"/>
      <c r="AC306" s="19" t="n"/>
      <c r="AD306" s="19" t="n"/>
      <c r="AE306" s="19" t="n"/>
      <c r="AF306" s="19" t="n"/>
      <c r="AG306" s="19" t="n"/>
      <c r="AH306" s="19" t="n"/>
      <c r="AI306" s="19" t="n"/>
      <c r="AJ306" s="19" t="n"/>
      <c r="AK306" s="19" t="n"/>
      <c r="AL306" s="19" t="n"/>
      <c r="AM306" s="19" t="n"/>
      <c r="AN306" s="19" t="n"/>
      <c r="AO306" s="19" t="n"/>
      <c r="AP306" s="19" t="n"/>
      <c r="AQ306" s="19" t="n"/>
      <c r="AR306" s="19" t="n"/>
      <c r="AS306" s="19" t="n"/>
      <c r="AT306" s="19" t="n"/>
      <c r="AU306" s="19" t="n"/>
      <c r="AV306" s="19" t="n"/>
      <c r="AW306" s="19" t="n"/>
      <c r="AX306" s="19" t="n"/>
      <c r="AY306" s="19" t="n"/>
      <c r="AZ306" s="19" t="n"/>
      <c r="BA306" s="19" t="n"/>
      <c r="BB306" s="19" t="n"/>
      <c r="BC306" s="19" t="n"/>
      <c r="BD306" s="19" t="n"/>
      <c r="BE306" s="19" t="n"/>
      <c r="BF306" s="19" t="n"/>
      <c r="BG306" s="19" t="n"/>
      <c r="BH306" s="19" t="n"/>
      <c r="BI306" s="19" t="n"/>
      <c r="BJ306" s="19" t="n"/>
    </row>
    <row r="307">
      <c r="A307" s="4" t="inlineStr">
        <is>
          <t>Price escalator factor</t>
        </is>
      </c>
      <c r="B307" s="17" t="inlineStr">
        <is>
          <t>x</t>
        </is>
      </c>
      <c r="C307" s="36">
        <f>C76</f>
        <v/>
      </c>
      <c r="D307" s="36">
        <f>D76</f>
        <v/>
      </c>
      <c r="E307" s="36">
        <f>E76</f>
        <v/>
      </c>
      <c r="F307" s="36">
        <f>F76</f>
        <v/>
      </c>
      <c r="G307" s="36">
        <f>G76</f>
        <v/>
      </c>
      <c r="H307" s="36">
        <f>H76</f>
        <v/>
      </c>
      <c r="I307" s="36">
        <f>I76</f>
        <v/>
      </c>
      <c r="J307" s="36">
        <f>J76</f>
        <v/>
      </c>
      <c r="K307" s="36">
        <f>K76</f>
        <v/>
      </c>
      <c r="L307" s="36">
        <f>L76</f>
        <v/>
      </c>
      <c r="M307" s="36">
        <f>M76</f>
        <v/>
      </c>
      <c r="N307" s="36">
        <f>N76</f>
        <v/>
      </c>
      <c r="O307" s="36">
        <f>O76</f>
        <v/>
      </c>
      <c r="P307" s="36">
        <f>P76</f>
        <v/>
      </c>
      <c r="Q307" s="36">
        <f>Q76</f>
        <v/>
      </c>
      <c r="R307" s="36">
        <f>R76</f>
        <v/>
      </c>
      <c r="S307" s="36">
        <f>S76</f>
        <v/>
      </c>
      <c r="T307" s="36">
        <f>T76</f>
        <v/>
      </c>
      <c r="U307" s="36">
        <f>U76</f>
        <v/>
      </c>
      <c r="V307" s="36">
        <f>V76</f>
        <v/>
      </c>
      <c r="W307" s="36">
        <f>W76</f>
        <v/>
      </c>
      <c r="X307" s="36">
        <f>X76</f>
        <v/>
      </c>
      <c r="Y307" s="36">
        <f>Y76</f>
        <v/>
      </c>
      <c r="Z307" s="36">
        <f>Z76</f>
        <v/>
      </c>
      <c r="AA307" s="36">
        <f>AA76</f>
        <v/>
      </c>
      <c r="AB307" s="36">
        <f>AB76</f>
        <v/>
      </c>
      <c r="AC307" s="36">
        <f>AC76</f>
        <v/>
      </c>
      <c r="AD307" s="36">
        <f>AD76</f>
        <v/>
      </c>
      <c r="AE307" s="36">
        <f>AE76</f>
        <v/>
      </c>
      <c r="AF307" s="36">
        <f>AF76</f>
        <v/>
      </c>
      <c r="AG307" s="36">
        <f>AG76</f>
        <v/>
      </c>
      <c r="AH307" s="36">
        <f>AH76</f>
        <v/>
      </c>
      <c r="AI307" s="36">
        <f>AI76</f>
        <v/>
      </c>
      <c r="AJ307" s="36">
        <f>AJ76</f>
        <v/>
      </c>
      <c r="AK307" s="36">
        <f>AK76</f>
        <v/>
      </c>
      <c r="AL307" s="36">
        <f>AL76</f>
        <v/>
      </c>
      <c r="AM307" s="36">
        <f>AM76</f>
        <v/>
      </c>
      <c r="AN307" s="36">
        <f>AN76</f>
        <v/>
      </c>
      <c r="AO307" s="36">
        <f>AO76</f>
        <v/>
      </c>
      <c r="AP307" s="36">
        <f>AP76</f>
        <v/>
      </c>
      <c r="AQ307" s="36">
        <f>AQ76</f>
        <v/>
      </c>
      <c r="AR307" s="36">
        <f>AR76</f>
        <v/>
      </c>
      <c r="AS307" s="36">
        <f>AS76</f>
        <v/>
      </c>
      <c r="AT307" s="36">
        <f>AT76</f>
        <v/>
      </c>
      <c r="AU307" s="36">
        <f>AU76</f>
        <v/>
      </c>
      <c r="AV307" s="36">
        <f>AV76</f>
        <v/>
      </c>
      <c r="AW307" s="36">
        <f>AW76</f>
        <v/>
      </c>
      <c r="AX307" s="36">
        <f>AX76</f>
        <v/>
      </c>
      <c r="AY307" s="36">
        <f>AY76</f>
        <v/>
      </c>
      <c r="AZ307" s="36">
        <f>AZ76</f>
        <v/>
      </c>
      <c r="BA307" s="36">
        <f>BA76</f>
        <v/>
      </c>
      <c r="BB307" s="36">
        <f>BB76</f>
        <v/>
      </c>
      <c r="BC307" s="36">
        <f>BC76</f>
        <v/>
      </c>
      <c r="BD307" s="36">
        <f>BD76</f>
        <v/>
      </c>
      <c r="BE307" s="36">
        <f>BE76</f>
        <v/>
      </c>
      <c r="BF307" s="36">
        <f>BF76</f>
        <v/>
      </c>
      <c r="BG307" s="36">
        <f>BG76</f>
        <v/>
      </c>
      <c r="BH307" s="36">
        <f>BH76</f>
        <v/>
      </c>
      <c r="BI307" s="36">
        <f>BI76</f>
        <v/>
      </c>
      <c r="BJ307" s="36">
        <f>BJ76</f>
        <v/>
      </c>
    </row>
    <row r="308">
      <c r="A308" s="4" t="inlineStr">
        <is>
          <t>Gross subscription revenue: South Africa: Solo: Starter</t>
        </is>
      </c>
      <c r="B308" s="17" t="inlineStr">
        <is>
          <t>R</t>
        </is>
      </c>
      <c r="C308" s="8">
        <f>C137*Pricing!$B$31*C307*Pricing!$B$15</f>
        <v/>
      </c>
      <c r="D308" s="8">
        <f>D137*Pricing!$B$31*D307*Pricing!$B$15</f>
        <v/>
      </c>
      <c r="E308" s="8">
        <f>E137*Pricing!$B$31*E307*Pricing!$B$15</f>
        <v/>
      </c>
      <c r="F308" s="8">
        <f>F137*Pricing!$B$31*F307*Pricing!$B$15</f>
        <v/>
      </c>
      <c r="G308" s="8">
        <f>G137*Pricing!$B$31*G307*Pricing!$B$15</f>
        <v/>
      </c>
      <c r="H308" s="8">
        <f>H137*Pricing!$B$31*H307*Pricing!$B$15</f>
        <v/>
      </c>
      <c r="I308" s="8">
        <f>I137*Pricing!$B$31*I307*Pricing!$B$15</f>
        <v/>
      </c>
      <c r="J308" s="8">
        <f>J137*Pricing!$B$31*J307*Pricing!$B$15</f>
        <v/>
      </c>
      <c r="K308" s="8">
        <f>K137*Pricing!$B$31*K307*Pricing!$B$15</f>
        <v/>
      </c>
      <c r="L308" s="8">
        <f>L137*Pricing!$B$31*L307*Pricing!$B$15</f>
        <v/>
      </c>
      <c r="M308" s="8">
        <f>M137*Pricing!$B$31*M307*Pricing!$B$15</f>
        <v/>
      </c>
      <c r="N308" s="8">
        <f>N137*Pricing!$B$31*N307*Pricing!$B$15</f>
        <v/>
      </c>
      <c r="O308" s="8">
        <f>O137*Pricing!$B$31*O307*Pricing!$B$15</f>
        <v/>
      </c>
      <c r="P308" s="8">
        <f>P137*Pricing!$B$31*P307*Pricing!$B$15</f>
        <v/>
      </c>
      <c r="Q308" s="8">
        <f>Q137*Pricing!$B$31*Q307*Pricing!$B$15</f>
        <v/>
      </c>
      <c r="R308" s="8">
        <f>R137*Pricing!$B$31*R307*Pricing!$B$15</f>
        <v/>
      </c>
      <c r="S308" s="8">
        <f>S137*Pricing!$B$31*S307*Pricing!$B$15</f>
        <v/>
      </c>
      <c r="T308" s="8">
        <f>T137*Pricing!$B$31*T307*Pricing!$B$15</f>
        <v/>
      </c>
      <c r="U308" s="8">
        <f>U137*Pricing!$B$31*U307*Pricing!$B$15</f>
        <v/>
      </c>
      <c r="V308" s="8">
        <f>V137*Pricing!$B$31*V307*Pricing!$B$15</f>
        <v/>
      </c>
      <c r="W308" s="8">
        <f>W137*Pricing!$B$31*W307*Pricing!$B$15</f>
        <v/>
      </c>
      <c r="X308" s="8">
        <f>X137*Pricing!$B$31*X307*Pricing!$B$15</f>
        <v/>
      </c>
      <c r="Y308" s="8">
        <f>Y137*Pricing!$B$31*Y307*Pricing!$B$15</f>
        <v/>
      </c>
      <c r="Z308" s="8">
        <f>Z137*Pricing!$B$31*Z307*Pricing!$B$15</f>
        <v/>
      </c>
      <c r="AA308" s="8">
        <f>AA137*Pricing!$B$31*AA307*Pricing!$B$15</f>
        <v/>
      </c>
      <c r="AB308" s="8">
        <f>AB137*Pricing!$B$31*AB307*Pricing!$B$15</f>
        <v/>
      </c>
      <c r="AC308" s="8">
        <f>AC137*Pricing!$B$31*AC307*Pricing!$B$15</f>
        <v/>
      </c>
      <c r="AD308" s="8">
        <f>AD137*Pricing!$B$31*AD307*Pricing!$B$15</f>
        <v/>
      </c>
      <c r="AE308" s="8">
        <f>AE137*Pricing!$B$31*AE307*Pricing!$B$15</f>
        <v/>
      </c>
      <c r="AF308" s="8">
        <f>AF137*Pricing!$B$31*AF307*Pricing!$B$15</f>
        <v/>
      </c>
      <c r="AG308" s="8">
        <f>AG137*Pricing!$B$31*AG307*Pricing!$B$15</f>
        <v/>
      </c>
      <c r="AH308" s="8">
        <f>AH137*Pricing!$B$31*AH307*Pricing!$B$15</f>
        <v/>
      </c>
      <c r="AI308" s="8">
        <f>AI137*Pricing!$B$31*AI307*Pricing!$B$15</f>
        <v/>
      </c>
      <c r="AJ308" s="8">
        <f>AJ137*Pricing!$B$31*AJ307*Pricing!$B$15</f>
        <v/>
      </c>
      <c r="AK308" s="8">
        <f>AK137*Pricing!$B$31*AK307*Pricing!$B$15</f>
        <v/>
      </c>
      <c r="AL308" s="8">
        <f>AL137*Pricing!$B$31*AL307*Pricing!$B$15</f>
        <v/>
      </c>
      <c r="AM308" s="8">
        <f>AM137*Pricing!$B$31*AM307*Pricing!$B$15</f>
        <v/>
      </c>
      <c r="AN308" s="8">
        <f>AN137*Pricing!$B$31*AN307*Pricing!$B$15</f>
        <v/>
      </c>
      <c r="AO308" s="8">
        <f>AO137*Pricing!$B$31*AO307*Pricing!$B$15</f>
        <v/>
      </c>
      <c r="AP308" s="8">
        <f>AP137*Pricing!$B$31*AP307*Pricing!$B$15</f>
        <v/>
      </c>
      <c r="AQ308" s="8">
        <f>AQ137*Pricing!$B$31*AQ307*Pricing!$B$15</f>
        <v/>
      </c>
      <c r="AR308" s="8">
        <f>AR137*Pricing!$B$31*AR307*Pricing!$B$15</f>
        <v/>
      </c>
      <c r="AS308" s="8">
        <f>AS137*Pricing!$B$31*AS307*Pricing!$B$15</f>
        <v/>
      </c>
      <c r="AT308" s="8">
        <f>AT137*Pricing!$B$31*AT307*Pricing!$B$15</f>
        <v/>
      </c>
      <c r="AU308" s="8">
        <f>AU137*Pricing!$B$31*AU307*Pricing!$B$15</f>
        <v/>
      </c>
      <c r="AV308" s="8">
        <f>AV137*Pricing!$B$31*AV307*Pricing!$B$15</f>
        <v/>
      </c>
      <c r="AW308" s="8">
        <f>AW137*Pricing!$B$31*AW307*Pricing!$B$15</f>
        <v/>
      </c>
      <c r="AX308" s="8">
        <f>AX137*Pricing!$B$31*AX307*Pricing!$B$15</f>
        <v/>
      </c>
      <c r="AY308" s="8">
        <f>AY137*Pricing!$B$31*AY307*Pricing!$B$15</f>
        <v/>
      </c>
      <c r="AZ308" s="8">
        <f>AZ137*Pricing!$B$31*AZ307*Pricing!$B$15</f>
        <v/>
      </c>
      <c r="BA308" s="8">
        <f>BA137*Pricing!$B$31*BA307*Pricing!$B$15</f>
        <v/>
      </c>
      <c r="BB308" s="8">
        <f>BB137*Pricing!$B$31*BB307*Pricing!$B$15</f>
        <v/>
      </c>
      <c r="BC308" s="8">
        <f>BC137*Pricing!$B$31*BC307*Pricing!$B$15</f>
        <v/>
      </c>
      <c r="BD308" s="8">
        <f>BD137*Pricing!$B$31*BD307*Pricing!$B$15</f>
        <v/>
      </c>
      <c r="BE308" s="8">
        <f>BE137*Pricing!$B$31*BE307*Pricing!$B$15</f>
        <v/>
      </c>
      <c r="BF308" s="8">
        <f>BF137*Pricing!$B$31*BF307*Pricing!$B$15</f>
        <v/>
      </c>
      <c r="BG308" s="8">
        <f>BG137*Pricing!$B$31*BG307*Pricing!$B$15</f>
        <v/>
      </c>
      <c r="BH308" s="8">
        <f>BH137*Pricing!$B$31*BH307*Pricing!$B$15</f>
        <v/>
      </c>
      <c r="BI308" s="8">
        <f>BI137*Pricing!$B$31*BI307*Pricing!$B$15</f>
        <v/>
      </c>
      <c r="BJ308" s="8">
        <f>BJ137*Pricing!$B$31*BJ307*Pricing!$B$15</f>
        <v/>
      </c>
    </row>
    <row r="309">
      <c r="A309" s="4" t="inlineStr">
        <is>
          <t>Gross subscription revenue: South Africa: Solo: Growth (upgraded or direct)</t>
        </is>
      </c>
      <c r="B309" s="17" t="inlineStr">
        <is>
          <t>R</t>
        </is>
      </c>
      <c r="C309" s="8">
        <f>C141*Pricing!$B$32*C307*Pricing!$B$15</f>
        <v/>
      </c>
      <c r="D309" s="8">
        <f>D141*Pricing!$B$32*D307*Pricing!$B$15</f>
        <v/>
      </c>
      <c r="E309" s="8">
        <f>E141*Pricing!$B$32*E307*Pricing!$B$15</f>
        <v/>
      </c>
      <c r="F309" s="8">
        <f>F141*Pricing!$B$32*F307*Pricing!$B$15</f>
        <v/>
      </c>
      <c r="G309" s="8">
        <f>G141*Pricing!$B$32*G307*Pricing!$B$15</f>
        <v/>
      </c>
      <c r="H309" s="8">
        <f>H141*Pricing!$B$32*H307*Pricing!$B$15</f>
        <v/>
      </c>
      <c r="I309" s="8">
        <f>I141*Pricing!$B$32*I307*Pricing!$B$15</f>
        <v/>
      </c>
      <c r="J309" s="8">
        <f>J141*Pricing!$B$32*J307*Pricing!$B$15</f>
        <v/>
      </c>
      <c r="K309" s="8">
        <f>K141*Pricing!$B$32*K307*Pricing!$B$15</f>
        <v/>
      </c>
      <c r="L309" s="8">
        <f>L141*Pricing!$B$32*L307*Pricing!$B$15</f>
        <v/>
      </c>
      <c r="M309" s="8">
        <f>M141*Pricing!$B$32*M307*Pricing!$B$15</f>
        <v/>
      </c>
      <c r="N309" s="8">
        <f>N141*Pricing!$B$32*N307*Pricing!$B$15</f>
        <v/>
      </c>
      <c r="O309" s="8">
        <f>O141*Pricing!$B$32*O307*Pricing!$B$15</f>
        <v/>
      </c>
      <c r="P309" s="8">
        <f>P141*Pricing!$B$32*P307*Pricing!$B$15</f>
        <v/>
      </c>
      <c r="Q309" s="8">
        <f>Q141*Pricing!$B$32*Q307*Pricing!$B$15</f>
        <v/>
      </c>
      <c r="R309" s="8">
        <f>R141*Pricing!$B$32*R307*Pricing!$B$15</f>
        <v/>
      </c>
      <c r="S309" s="8">
        <f>S141*Pricing!$B$32*S307*Pricing!$B$15</f>
        <v/>
      </c>
      <c r="T309" s="8">
        <f>T141*Pricing!$B$32*T307*Pricing!$B$15</f>
        <v/>
      </c>
      <c r="U309" s="8">
        <f>U141*Pricing!$B$32*U307*Pricing!$B$15</f>
        <v/>
      </c>
      <c r="V309" s="8">
        <f>V141*Pricing!$B$32*V307*Pricing!$B$15</f>
        <v/>
      </c>
      <c r="W309" s="8">
        <f>W141*Pricing!$B$32*W307*Pricing!$B$15</f>
        <v/>
      </c>
      <c r="X309" s="8">
        <f>X141*Pricing!$B$32*X307*Pricing!$B$15</f>
        <v/>
      </c>
      <c r="Y309" s="8">
        <f>Y141*Pricing!$B$32*Y307*Pricing!$B$15</f>
        <v/>
      </c>
      <c r="Z309" s="8">
        <f>Z141*Pricing!$B$32*Z307*Pricing!$B$15</f>
        <v/>
      </c>
      <c r="AA309" s="8">
        <f>AA141*Pricing!$B$32*AA307*Pricing!$B$15</f>
        <v/>
      </c>
      <c r="AB309" s="8">
        <f>AB141*Pricing!$B$32*AB307*Pricing!$B$15</f>
        <v/>
      </c>
      <c r="AC309" s="8">
        <f>AC141*Pricing!$B$32*AC307*Pricing!$B$15</f>
        <v/>
      </c>
      <c r="AD309" s="8">
        <f>AD141*Pricing!$B$32*AD307*Pricing!$B$15</f>
        <v/>
      </c>
      <c r="AE309" s="8">
        <f>AE141*Pricing!$B$32*AE307*Pricing!$B$15</f>
        <v/>
      </c>
      <c r="AF309" s="8">
        <f>AF141*Pricing!$B$32*AF307*Pricing!$B$15</f>
        <v/>
      </c>
      <c r="AG309" s="8">
        <f>AG141*Pricing!$B$32*AG307*Pricing!$B$15</f>
        <v/>
      </c>
      <c r="AH309" s="8">
        <f>AH141*Pricing!$B$32*AH307*Pricing!$B$15</f>
        <v/>
      </c>
      <c r="AI309" s="8">
        <f>AI141*Pricing!$B$32*AI307*Pricing!$B$15</f>
        <v/>
      </c>
      <c r="AJ309" s="8">
        <f>AJ141*Pricing!$B$32*AJ307*Pricing!$B$15</f>
        <v/>
      </c>
      <c r="AK309" s="8">
        <f>AK141*Pricing!$B$32*AK307*Pricing!$B$15</f>
        <v/>
      </c>
      <c r="AL309" s="8">
        <f>AL141*Pricing!$B$32*AL307*Pricing!$B$15</f>
        <v/>
      </c>
      <c r="AM309" s="8">
        <f>AM141*Pricing!$B$32*AM307*Pricing!$B$15</f>
        <v/>
      </c>
      <c r="AN309" s="8">
        <f>AN141*Pricing!$B$32*AN307*Pricing!$B$15</f>
        <v/>
      </c>
      <c r="AO309" s="8">
        <f>AO141*Pricing!$B$32*AO307*Pricing!$B$15</f>
        <v/>
      </c>
      <c r="AP309" s="8">
        <f>AP141*Pricing!$B$32*AP307*Pricing!$B$15</f>
        <v/>
      </c>
      <c r="AQ309" s="8">
        <f>AQ141*Pricing!$B$32*AQ307*Pricing!$B$15</f>
        <v/>
      </c>
      <c r="AR309" s="8">
        <f>AR141*Pricing!$B$32*AR307*Pricing!$B$15</f>
        <v/>
      </c>
      <c r="AS309" s="8">
        <f>AS141*Pricing!$B$32*AS307*Pricing!$B$15</f>
        <v/>
      </c>
      <c r="AT309" s="8">
        <f>AT141*Pricing!$B$32*AT307*Pricing!$B$15</f>
        <v/>
      </c>
      <c r="AU309" s="8">
        <f>AU141*Pricing!$B$32*AU307*Pricing!$B$15</f>
        <v/>
      </c>
      <c r="AV309" s="8">
        <f>AV141*Pricing!$B$32*AV307*Pricing!$B$15</f>
        <v/>
      </c>
      <c r="AW309" s="8">
        <f>AW141*Pricing!$B$32*AW307*Pricing!$B$15</f>
        <v/>
      </c>
      <c r="AX309" s="8">
        <f>AX141*Pricing!$B$32*AX307*Pricing!$B$15</f>
        <v/>
      </c>
      <c r="AY309" s="8">
        <f>AY141*Pricing!$B$32*AY307*Pricing!$B$15</f>
        <v/>
      </c>
      <c r="AZ309" s="8">
        <f>AZ141*Pricing!$B$32*AZ307*Pricing!$B$15</f>
        <v/>
      </c>
      <c r="BA309" s="8">
        <f>BA141*Pricing!$B$32*BA307*Pricing!$B$15</f>
        <v/>
      </c>
      <c r="BB309" s="8">
        <f>BB141*Pricing!$B$32*BB307*Pricing!$B$15</f>
        <v/>
      </c>
      <c r="BC309" s="8">
        <f>BC141*Pricing!$B$32*BC307*Pricing!$B$15</f>
        <v/>
      </c>
      <c r="BD309" s="8">
        <f>BD141*Pricing!$B$32*BD307*Pricing!$B$15</f>
        <v/>
      </c>
      <c r="BE309" s="8">
        <f>BE141*Pricing!$B$32*BE307*Pricing!$B$15</f>
        <v/>
      </c>
      <c r="BF309" s="8">
        <f>BF141*Pricing!$B$32*BF307*Pricing!$B$15</f>
        <v/>
      </c>
      <c r="BG309" s="8">
        <f>BG141*Pricing!$B$32*BG307*Pricing!$B$15</f>
        <v/>
      </c>
      <c r="BH309" s="8">
        <f>BH141*Pricing!$B$32*BH307*Pricing!$B$15</f>
        <v/>
      </c>
      <c r="BI309" s="8">
        <f>BI141*Pricing!$B$32*BI307*Pricing!$B$15</f>
        <v/>
      </c>
      <c r="BJ309" s="8">
        <f>BJ141*Pricing!$B$32*BJ307*Pricing!$B$15</f>
        <v/>
      </c>
    </row>
    <row r="310">
      <c r="A310" s="4" t="inlineStr">
        <is>
          <t>Gross subscription revenue: South Africa: SME: Growth</t>
        </is>
      </c>
      <c r="B310" s="17" t="inlineStr">
        <is>
          <t>R</t>
        </is>
      </c>
      <c r="C310" s="8">
        <f>C146*Pricing!$B$32*C307*Pricing!$B$15</f>
        <v/>
      </c>
      <c r="D310" s="8">
        <f>D146*Pricing!$B$32*D307*Pricing!$B$15</f>
        <v/>
      </c>
      <c r="E310" s="8">
        <f>E146*Pricing!$B$32*E307*Pricing!$B$15</f>
        <v/>
      </c>
      <c r="F310" s="8">
        <f>F146*Pricing!$B$32*F307*Pricing!$B$15</f>
        <v/>
      </c>
      <c r="G310" s="8">
        <f>G146*Pricing!$B$32*G307*Pricing!$B$15</f>
        <v/>
      </c>
      <c r="H310" s="8">
        <f>H146*Pricing!$B$32*H307*Pricing!$B$15</f>
        <v/>
      </c>
      <c r="I310" s="8">
        <f>I146*Pricing!$B$32*I307*Pricing!$B$15</f>
        <v/>
      </c>
      <c r="J310" s="8">
        <f>J146*Pricing!$B$32*J307*Pricing!$B$15</f>
        <v/>
      </c>
      <c r="K310" s="8">
        <f>K146*Pricing!$B$32*K307*Pricing!$B$15</f>
        <v/>
      </c>
      <c r="L310" s="8">
        <f>L146*Pricing!$B$32*L307*Pricing!$B$15</f>
        <v/>
      </c>
      <c r="M310" s="8">
        <f>M146*Pricing!$B$32*M307*Pricing!$B$15</f>
        <v/>
      </c>
      <c r="N310" s="8">
        <f>N146*Pricing!$B$32*N307*Pricing!$B$15</f>
        <v/>
      </c>
      <c r="O310" s="8">
        <f>O146*Pricing!$B$32*O307*Pricing!$B$15</f>
        <v/>
      </c>
      <c r="P310" s="8">
        <f>P146*Pricing!$B$32*P307*Pricing!$B$15</f>
        <v/>
      </c>
      <c r="Q310" s="8">
        <f>Q146*Pricing!$B$32*Q307*Pricing!$B$15</f>
        <v/>
      </c>
      <c r="R310" s="8">
        <f>R146*Pricing!$B$32*R307*Pricing!$B$15</f>
        <v/>
      </c>
      <c r="S310" s="8">
        <f>S146*Pricing!$B$32*S307*Pricing!$B$15</f>
        <v/>
      </c>
      <c r="T310" s="8">
        <f>T146*Pricing!$B$32*T307*Pricing!$B$15</f>
        <v/>
      </c>
      <c r="U310" s="8">
        <f>U146*Pricing!$B$32*U307*Pricing!$B$15</f>
        <v/>
      </c>
      <c r="V310" s="8">
        <f>V146*Pricing!$B$32*V307*Pricing!$B$15</f>
        <v/>
      </c>
      <c r="W310" s="8">
        <f>W146*Pricing!$B$32*W307*Pricing!$B$15</f>
        <v/>
      </c>
      <c r="X310" s="8">
        <f>X146*Pricing!$B$32*X307*Pricing!$B$15</f>
        <v/>
      </c>
      <c r="Y310" s="8">
        <f>Y146*Pricing!$B$32*Y307*Pricing!$B$15</f>
        <v/>
      </c>
      <c r="Z310" s="8">
        <f>Z146*Pricing!$B$32*Z307*Pricing!$B$15</f>
        <v/>
      </c>
      <c r="AA310" s="8">
        <f>AA146*Pricing!$B$32*AA307*Pricing!$B$15</f>
        <v/>
      </c>
      <c r="AB310" s="8">
        <f>AB146*Pricing!$B$32*AB307*Pricing!$B$15</f>
        <v/>
      </c>
      <c r="AC310" s="8">
        <f>AC146*Pricing!$B$32*AC307*Pricing!$B$15</f>
        <v/>
      </c>
      <c r="AD310" s="8">
        <f>AD146*Pricing!$B$32*AD307*Pricing!$B$15</f>
        <v/>
      </c>
      <c r="AE310" s="8">
        <f>AE146*Pricing!$B$32*AE307*Pricing!$B$15</f>
        <v/>
      </c>
      <c r="AF310" s="8">
        <f>AF146*Pricing!$B$32*AF307*Pricing!$B$15</f>
        <v/>
      </c>
      <c r="AG310" s="8">
        <f>AG146*Pricing!$B$32*AG307*Pricing!$B$15</f>
        <v/>
      </c>
      <c r="AH310" s="8">
        <f>AH146*Pricing!$B$32*AH307*Pricing!$B$15</f>
        <v/>
      </c>
      <c r="AI310" s="8">
        <f>AI146*Pricing!$B$32*AI307*Pricing!$B$15</f>
        <v/>
      </c>
      <c r="AJ310" s="8">
        <f>AJ146*Pricing!$B$32*AJ307*Pricing!$B$15</f>
        <v/>
      </c>
      <c r="AK310" s="8">
        <f>AK146*Pricing!$B$32*AK307*Pricing!$B$15</f>
        <v/>
      </c>
      <c r="AL310" s="8">
        <f>AL146*Pricing!$B$32*AL307*Pricing!$B$15</f>
        <v/>
      </c>
      <c r="AM310" s="8">
        <f>AM146*Pricing!$B$32*AM307*Pricing!$B$15</f>
        <v/>
      </c>
      <c r="AN310" s="8">
        <f>AN146*Pricing!$B$32*AN307*Pricing!$B$15</f>
        <v/>
      </c>
      <c r="AO310" s="8">
        <f>AO146*Pricing!$B$32*AO307*Pricing!$B$15</f>
        <v/>
      </c>
      <c r="AP310" s="8">
        <f>AP146*Pricing!$B$32*AP307*Pricing!$B$15</f>
        <v/>
      </c>
      <c r="AQ310" s="8">
        <f>AQ146*Pricing!$B$32*AQ307*Pricing!$B$15</f>
        <v/>
      </c>
      <c r="AR310" s="8">
        <f>AR146*Pricing!$B$32*AR307*Pricing!$B$15</f>
        <v/>
      </c>
      <c r="AS310" s="8">
        <f>AS146*Pricing!$B$32*AS307*Pricing!$B$15</f>
        <v/>
      </c>
      <c r="AT310" s="8">
        <f>AT146*Pricing!$B$32*AT307*Pricing!$B$15</f>
        <v/>
      </c>
      <c r="AU310" s="8">
        <f>AU146*Pricing!$B$32*AU307*Pricing!$B$15</f>
        <v/>
      </c>
      <c r="AV310" s="8">
        <f>AV146*Pricing!$B$32*AV307*Pricing!$B$15</f>
        <v/>
      </c>
      <c r="AW310" s="8">
        <f>AW146*Pricing!$B$32*AW307*Pricing!$B$15</f>
        <v/>
      </c>
      <c r="AX310" s="8">
        <f>AX146*Pricing!$B$32*AX307*Pricing!$B$15</f>
        <v/>
      </c>
      <c r="AY310" s="8">
        <f>AY146*Pricing!$B$32*AY307*Pricing!$B$15</f>
        <v/>
      </c>
      <c r="AZ310" s="8">
        <f>AZ146*Pricing!$B$32*AZ307*Pricing!$B$15</f>
        <v/>
      </c>
      <c r="BA310" s="8">
        <f>BA146*Pricing!$B$32*BA307*Pricing!$B$15</f>
        <v/>
      </c>
      <c r="BB310" s="8">
        <f>BB146*Pricing!$B$32*BB307*Pricing!$B$15</f>
        <v/>
      </c>
      <c r="BC310" s="8">
        <f>BC146*Pricing!$B$32*BC307*Pricing!$B$15</f>
        <v/>
      </c>
      <c r="BD310" s="8">
        <f>BD146*Pricing!$B$32*BD307*Pricing!$B$15</f>
        <v/>
      </c>
      <c r="BE310" s="8">
        <f>BE146*Pricing!$B$32*BE307*Pricing!$B$15</f>
        <v/>
      </c>
      <c r="BF310" s="8">
        <f>BF146*Pricing!$B$32*BF307*Pricing!$B$15</f>
        <v/>
      </c>
      <c r="BG310" s="8">
        <f>BG146*Pricing!$B$32*BG307*Pricing!$B$15</f>
        <v/>
      </c>
      <c r="BH310" s="8">
        <f>BH146*Pricing!$B$32*BH307*Pricing!$B$15</f>
        <v/>
      </c>
      <c r="BI310" s="8">
        <f>BI146*Pricing!$B$32*BI307*Pricing!$B$15</f>
        <v/>
      </c>
      <c r="BJ310" s="8">
        <f>BJ146*Pricing!$B$32*BJ307*Pricing!$B$15</f>
        <v/>
      </c>
    </row>
    <row r="311">
      <c r="A311" s="4" t="inlineStr">
        <is>
          <t>Gross subscription revenue: South Africa: SME: Scale (upgraded or direct)</t>
        </is>
      </c>
      <c r="B311" s="17" t="inlineStr">
        <is>
          <t>R</t>
        </is>
      </c>
      <c r="C311" s="8">
        <f>C150*Pricing!$B$33*C307*Pricing!$B$15</f>
        <v/>
      </c>
      <c r="D311" s="8">
        <f>D150*Pricing!$B$33*D307*Pricing!$B$15</f>
        <v/>
      </c>
      <c r="E311" s="8">
        <f>E150*Pricing!$B$33*E307*Pricing!$B$15</f>
        <v/>
      </c>
      <c r="F311" s="8">
        <f>F150*Pricing!$B$33*F307*Pricing!$B$15</f>
        <v/>
      </c>
      <c r="G311" s="8">
        <f>G150*Pricing!$B$33*G307*Pricing!$B$15</f>
        <v/>
      </c>
      <c r="H311" s="8">
        <f>H150*Pricing!$B$33*H307*Pricing!$B$15</f>
        <v/>
      </c>
      <c r="I311" s="8">
        <f>I150*Pricing!$B$33*I307*Pricing!$B$15</f>
        <v/>
      </c>
      <c r="J311" s="8">
        <f>J150*Pricing!$B$33*J307*Pricing!$B$15</f>
        <v/>
      </c>
      <c r="K311" s="8">
        <f>K150*Pricing!$B$33*K307*Pricing!$B$15</f>
        <v/>
      </c>
      <c r="L311" s="8">
        <f>L150*Pricing!$B$33*L307*Pricing!$B$15</f>
        <v/>
      </c>
      <c r="M311" s="8">
        <f>M150*Pricing!$B$33*M307*Pricing!$B$15</f>
        <v/>
      </c>
      <c r="N311" s="8">
        <f>N150*Pricing!$B$33*N307*Pricing!$B$15</f>
        <v/>
      </c>
      <c r="O311" s="8">
        <f>O150*Pricing!$B$33*O307*Pricing!$B$15</f>
        <v/>
      </c>
      <c r="P311" s="8">
        <f>P150*Pricing!$B$33*P307*Pricing!$B$15</f>
        <v/>
      </c>
      <c r="Q311" s="8">
        <f>Q150*Pricing!$B$33*Q307*Pricing!$B$15</f>
        <v/>
      </c>
      <c r="R311" s="8">
        <f>R150*Pricing!$B$33*R307*Pricing!$B$15</f>
        <v/>
      </c>
      <c r="S311" s="8">
        <f>S150*Pricing!$B$33*S307*Pricing!$B$15</f>
        <v/>
      </c>
      <c r="T311" s="8">
        <f>T150*Pricing!$B$33*T307*Pricing!$B$15</f>
        <v/>
      </c>
      <c r="U311" s="8">
        <f>U150*Pricing!$B$33*U307*Pricing!$B$15</f>
        <v/>
      </c>
      <c r="V311" s="8">
        <f>V150*Pricing!$B$33*V307*Pricing!$B$15</f>
        <v/>
      </c>
      <c r="W311" s="8">
        <f>W150*Pricing!$B$33*W307*Pricing!$B$15</f>
        <v/>
      </c>
      <c r="X311" s="8">
        <f>X150*Pricing!$B$33*X307*Pricing!$B$15</f>
        <v/>
      </c>
      <c r="Y311" s="8">
        <f>Y150*Pricing!$B$33*Y307*Pricing!$B$15</f>
        <v/>
      </c>
      <c r="Z311" s="8">
        <f>Z150*Pricing!$B$33*Z307*Pricing!$B$15</f>
        <v/>
      </c>
      <c r="AA311" s="8">
        <f>AA150*Pricing!$B$33*AA307*Pricing!$B$15</f>
        <v/>
      </c>
      <c r="AB311" s="8">
        <f>AB150*Pricing!$B$33*AB307*Pricing!$B$15</f>
        <v/>
      </c>
      <c r="AC311" s="8">
        <f>AC150*Pricing!$B$33*AC307*Pricing!$B$15</f>
        <v/>
      </c>
      <c r="AD311" s="8">
        <f>AD150*Pricing!$B$33*AD307*Pricing!$B$15</f>
        <v/>
      </c>
      <c r="AE311" s="8">
        <f>AE150*Pricing!$B$33*AE307*Pricing!$B$15</f>
        <v/>
      </c>
      <c r="AF311" s="8">
        <f>AF150*Pricing!$B$33*AF307*Pricing!$B$15</f>
        <v/>
      </c>
      <c r="AG311" s="8">
        <f>AG150*Pricing!$B$33*AG307*Pricing!$B$15</f>
        <v/>
      </c>
      <c r="AH311" s="8">
        <f>AH150*Pricing!$B$33*AH307*Pricing!$B$15</f>
        <v/>
      </c>
      <c r="AI311" s="8">
        <f>AI150*Pricing!$B$33*AI307*Pricing!$B$15</f>
        <v/>
      </c>
      <c r="AJ311" s="8">
        <f>AJ150*Pricing!$B$33*AJ307*Pricing!$B$15</f>
        <v/>
      </c>
      <c r="AK311" s="8">
        <f>AK150*Pricing!$B$33*AK307*Pricing!$B$15</f>
        <v/>
      </c>
      <c r="AL311" s="8">
        <f>AL150*Pricing!$B$33*AL307*Pricing!$B$15</f>
        <v/>
      </c>
      <c r="AM311" s="8">
        <f>AM150*Pricing!$B$33*AM307*Pricing!$B$15</f>
        <v/>
      </c>
      <c r="AN311" s="8">
        <f>AN150*Pricing!$B$33*AN307*Pricing!$B$15</f>
        <v/>
      </c>
      <c r="AO311" s="8">
        <f>AO150*Pricing!$B$33*AO307*Pricing!$B$15</f>
        <v/>
      </c>
      <c r="AP311" s="8">
        <f>AP150*Pricing!$B$33*AP307*Pricing!$B$15</f>
        <v/>
      </c>
      <c r="AQ311" s="8">
        <f>AQ150*Pricing!$B$33*AQ307*Pricing!$B$15</f>
        <v/>
      </c>
      <c r="AR311" s="8">
        <f>AR150*Pricing!$B$33*AR307*Pricing!$B$15</f>
        <v/>
      </c>
      <c r="AS311" s="8">
        <f>AS150*Pricing!$B$33*AS307*Pricing!$B$15</f>
        <v/>
      </c>
      <c r="AT311" s="8">
        <f>AT150*Pricing!$B$33*AT307*Pricing!$B$15</f>
        <v/>
      </c>
      <c r="AU311" s="8">
        <f>AU150*Pricing!$B$33*AU307*Pricing!$B$15</f>
        <v/>
      </c>
      <c r="AV311" s="8">
        <f>AV150*Pricing!$B$33*AV307*Pricing!$B$15</f>
        <v/>
      </c>
      <c r="AW311" s="8">
        <f>AW150*Pricing!$B$33*AW307*Pricing!$B$15</f>
        <v/>
      </c>
      <c r="AX311" s="8">
        <f>AX150*Pricing!$B$33*AX307*Pricing!$B$15</f>
        <v/>
      </c>
      <c r="AY311" s="8">
        <f>AY150*Pricing!$B$33*AY307*Pricing!$B$15</f>
        <v/>
      </c>
      <c r="AZ311" s="8">
        <f>AZ150*Pricing!$B$33*AZ307*Pricing!$B$15</f>
        <v/>
      </c>
      <c r="BA311" s="8">
        <f>BA150*Pricing!$B$33*BA307*Pricing!$B$15</f>
        <v/>
      </c>
      <c r="BB311" s="8">
        <f>BB150*Pricing!$B$33*BB307*Pricing!$B$15</f>
        <v/>
      </c>
      <c r="BC311" s="8">
        <f>BC150*Pricing!$B$33*BC307*Pricing!$B$15</f>
        <v/>
      </c>
      <c r="BD311" s="8">
        <f>BD150*Pricing!$B$33*BD307*Pricing!$B$15</f>
        <v/>
      </c>
      <c r="BE311" s="8">
        <f>BE150*Pricing!$B$33*BE307*Pricing!$B$15</f>
        <v/>
      </c>
      <c r="BF311" s="8">
        <f>BF150*Pricing!$B$33*BF307*Pricing!$B$15</f>
        <v/>
      </c>
      <c r="BG311" s="8">
        <f>BG150*Pricing!$B$33*BG307*Pricing!$B$15</f>
        <v/>
      </c>
      <c r="BH311" s="8">
        <f>BH150*Pricing!$B$33*BH307*Pricing!$B$15</f>
        <v/>
      </c>
      <c r="BI311" s="8">
        <f>BI150*Pricing!$B$33*BI307*Pricing!$B$15</f>
        <v/>
      </c>
      <c r="BJ311" s="8">
        <f>BJ150*Pricing!$B$33*BJ307*Pricing!$B$15</f>
        <v/>
      </c>
    </row>
    <row r="312">
      <c r="A312" s="4" t="inlineStr">
        <is>
          <t>Gross subscription revenue: South Africa: Agency / partner: Agency tier</t>
        </is>
      </c>
      <c r="B312" s="17" t="inlineStr">
        <is>
          <t>R</t>
        </is>
      </c>
      <c r="C312" s="8">
        <f>C154*(Pricing!$B$16*Pricing!$B$36+(1-Pricing!$B$16)*Pricing!$B$34)*C307*Pricing!$B$15</f>
        <v/>
      </c>
      <c r="D312" s="8">
        <f>D154*(Pricing!$B$16*Pricing!$B$36+(1-Pricing!$B$16)*Pricing!$B$34)*D307*Pricing!$B$15</f>
        <v/>
      </c>
      <c r="E312" s="8">
        <f>E154*(Pricing!$B$16*Pricing!$B$36+(1-Pricing!$B$16)*Pricing!$B$34)*E307*Pricing!$B$15</f>
        <v/>
      </c>
      <c r="F312" s="8">
        <f>F154*(Pricing!$B$16*Pricing!$B$36+(1-Pricing!$B$16)*Pricing!$B$34)*F307*Pricing!$B$15</f>
        <v/>
      </c>
      <c r="G312" s="8">
        <f>G154*(Pricing!$B$16*Pricing!$B$36+(1-Pricing!$B$16)*Pricing!$B$34)*G307*Pricing!$B$15</f>
        <v/>
      </c>
      <c r="H312" s="8">
        <f>H154*(Pricing!$B$16*Pricing!$B$36+(1-Pricing!$B$16)*Pricing!$B$34)*H307*Pricing!$B$15</f>
        <v/>
      </c>
      <c r="I312" s="8">
        <f>I154*(Pricing!$B$16*Pricing!$B$36+(1-Pricing!$B$16)*Pricing!$B$34)*I307*Pricing!$B$15</f>
        <v/>
      </c>
      <c r="J312" s="8">
        <f>J154*(Pricing!$B$16*Pricing!$B$36+(1-Pricing!$B$16)*Pricing!$B$34)*J307*Pricing!$B$15</f>
        <v/>
      </c>
      <c r="K312" s="8">
        <f>K154*(Pricing!$B$16*Pricing!$B$36+(1-Pricing!$B$16)*Pricing!$B$34)*K307*Pricing!$B$15</f>
        <v/>
      </c>
      <c r="L312" s="8">
        <f>L154*(Pricing!$B$16*Pricing!$B$36+(1-Pricing!$B$16)*Pricing!$B$34)*L307*Pricing!$B$15</f>
        <v/>
      </c>
      <c r="M312" s="8">
        <f>M154*(Pricing!$B$16*Pricing!$B$36+(1-Pricing!$B$16)*Pricing!$B$34)*M307*Pricing!$B$15</f>
        <v/>
      </c>
      <c r="N312" s="8">
        <f>N154*(Pricing!$B$16*Pricing!$B$36+(1-Pricing!$B$16)*Pricing!$B$34)*N307*Pricing!$B$15</f>
        <v/>
      </c>
      <c r="O312" s="8">
        <f>O154*(Pricing!$B$16*Pricing!$B$36+(1-Pricing!$B$16)*Pricing!$B$34)*O307*Pricing!$B$15</f>
        <v/>
      </c>
      <c r="P312" s="8">
        <f>P154*(Pricing!$B$16*Pricing!$B$36+(1-Pricing!$B$16)*Pricing!$B$34)*P307*Pricing!$B$15</f>
        <v/>
      </c>
      <c r="Q312" s="8">
        <f>Q154*(Pricing!$B$16*Pricing!$B$36+(1-Pricing!$B$16)*Pricing!$B$34)*Q307*Pricing!$B$15</f>
        <v/>
      </c>
      <c r="R312" s="8">
        <f>R154*(Pricing!$B$16*Pricing!$B$36+(1-Pricing!$B$16)*Pricing!$B$34)*R307*Pricing!$B$15</f>
        <v/>
      </c>
      <c r="S312" s="8">
        <f>S154*(Pricing!$B$16*Pricing!$B$36+(1-Pricing!$B$16)*Pricing!$B$34)*S307*Pricing!$B$15</f>
        <v/>
      </c>
      <c r="T312" s="8">
        <f>T154*(Pricing!$B$16*Pricing!$B$36+(1-Pricing!$B$16)*Pricing!$B$34)*T307*Pricing!$B$15</f>
        <v/>
      </c>
      <c r="U312" s="8">
        <f>U154*(Pricing!$B$16*Pricing!$B$36+(1-Pricing!$B$16)*Pricing!$B$34)*U307*Pricing!$B$15</f>
        <v/>
      </c>
      <c r="V312" s="8">
        <f>V154*(Pricing!$B$16*Pricing!$B$36+(1-Pricing!$B$16)*Pricing!$B$34)*V307*Pricing!$B$15</f>
        <v/>
      </c>
      <c r="W312" s="8">
        <f>W154*(Pricing!$B$16*Pricing!$B$36+(1-Pricing!$B$16)*Pricing!$B$34)*W307*Pricing!$B$15</f>
        <v/>
      </c>
      <c r="X312" s="8">
        <f>X154*(Pricing!$B$16*Pricing!$B$36+(1-Pricing!$B$16)*Pricing!$B$34)*X307*Pricing!$B$15</f>
        <v/>
      </c>
      <c r="Y312" s="8">
        <f>Y154*(Pricing!$B$16*Pricing!$B$36+(1-Pricing!$B$16)*Pricing!$B$34)*Y307*Pricing!$B$15</f>
        <v/>
      </c>
      <c r="Z312" s="8">
        <f>Z154*(Pricing!$B$16*Pricing!$B$36+(1-Pricing!$B$16)*Pricing!$B$34)*Z307*Pricing!$B$15</f>
        <v/>
      </c>
      <c r="AA312" s="8">
        <f>AA154*(Pricing!$B$16*Pricing!$B$36+(1-Pricing!$B$16)*Pricing!$B$34)*AA307*Pricing!$B$15</f>
        <v/>
      </c>
      <c r="AB312" s="8">
        <f>AB154*(Pricing!$B$16*Pricing!$B$36+(1-Pricing!$B$16)*Pricing!$B$34)*AB307*Pricing!$B$15</f>
        <v/>
      </c>
      <c r="AC312" s="8">
        <f>AC154*(Pricing!$B$16*Pricing!$B$36+(1-Pricing!$B$16)*Pricing!$B$34)*AC307*Pricing!$B$15</f>
        <v/>
      </c>
      <c r="AD312" s="8">
        <f>AD154*(Pricing!$B$16*Pricing!$B$36+(1-Pricing!$B$16)*Pricing!$B$34)*AD307*Pricing!$B$15</f>
        <v/>
      </c>
      <c r="AE312" s="8">
        <f>AE154*(Pricing!$B$16*Pricing!$B$36+(1-Pricing!$B$16)*Pricing!$B$34)*AE307*Pricing!$B$15</f>
        <v/>
      </c>
      <c r="AF312" s="8">
        <f>AF154*(Pricing!$B$16*Pricing!$B$36+(1-Pricing!$B$16)*Pricing!$B$34)*AF307*Pricing!$B$15</f>
        <v/>
      </c>
      <c r="AG312" s="8">
        <f>AG154*(Pricing!$B$16*Pricing!$B$36+(1-Pricing!$B$16)*Pricing!$B$34)*AG307*Pricing!$B$15</f>
        <v/>
      </c>
      <c r="AH312" s="8">
        <f>AH154*(Pricing!$B$16*Pricing!$B$36+(1-Pricing!$B$16)*Pricing!$B$34)*AH307*Pricing!$B$15</f>
        <v/>
      </c>
      <c r="AI312" s="8">
        <f>AI154*(Pricing!$B$16*Pricing!$B$36+(1-Pricing!$B$16)*Pricing!$B$34)*AI307*Pricing!$B$15</f>
        <v/>
      </c>
      <c r="AJ312" s="8">
        <f>AJ154*(Pricing!$B$16*Pricing!$B$36+(1-Pricing!$B$16)*Pricing!$B$34)*AJ307*Pricing!$B$15</f>
        <v/>
      </c>
      <c r="AK312" s="8">
        <f>AK154*(Pricing!$B$16*Pricing!$B$36+(1-Pricing!$B$16)*Pricing!$B$34)*AK307*Pricing!$B$15</f>
        <v/>
      </c>
      <c r="AL312" s="8">
        <f>AL154*(Pricing!$B$16*Pricing!$B$36+(1-Pricing!$B$16)*Pricing!$B$34)*AL307*Pricing!$B$15</f>
        <v/>
      </c>
      <c r="AM312" s="8">
        <f>AM154*(Pricing!$B$16*Pricing!$B$36+(1-Pricing!$B$16)*Pricing!$B$34)*AM307*Pricing!$B$15</f>
        <v/>
      </c>
      <c r="AN312" s="8">
        <f>AN154*(Pricing!$B$16*Pricing!$B$36+(1-Pricing!$B$16)*Pricing!$B$34)*AN307*Pricing!$B$15</f>
        <v/>
      </c>
      <c r="AO312" s="8">
        <f>AO154*(Pricing!$B$16*Pricing!$B$36+(1-Pricing!$B$16)*Pricing!$B$34)*AO307*Pricing!$B$15</f>
        <v/>
      </c>
      <c r="AP312" s="8">
        <f>AP154*(Pricing!$B$16*Pricing!$B$36+(1-Pricing!$B$16)*Pricing!$B$34)*AP307*Pricing!$B$15</f>
        <v/>
      </c>
      <c r="AQ312" s="8">
        <f>AQ154*(Pricing!$B$16*Pricing!$B$36+(1-Pricing!$B$16)*Pricing!$B$34)*AQ307*Pricing!$B$15</f>
        <v/>
      </c>
      <c r="AR312" s="8">
        <f>AR154*(Pricing!$B$16*Pricing!$B$36+(1-Pricing!$B$16)*Pricing!$B$34)*AR307*Pricing!$B$15</f>
        <v/>
      </c>
      <c r="AS312" s="8">
        <f>AS154*(Pricing!$B$16*Pricing!$B$36+(1-Pricing!$B$16)*Pricing!$B$34)*AS307*Pricing!$B$15</f>
        <v/>
      </c>
      <c r="AT312" s="8">
        <f>AT154*(Pricing!$B$16*Pricing!$B$36+(1-Pricing!$B$16)*Pricing!$B$34)*AT307*Pricing!$B$15</f>
        <v/>
      </c>
      <c r="AU312" s="8">
        <f>AU154*(Pricing!$B$16*Pricing!$B$36+(1-Pricing!$B$16)*Pricing!$B$34)*AU307*Pricing!$B$15</f>
        <v/>
      </c>
      <c r="AV312" s="8">
        <f>AV154*(Pricing!$B$16*Pricing!$B$36+(1-Pricing!$B$16)*Pricing!$B$34)*AV307*Pricing!$B$15</f>
        <v/>
      </c>
      <c r="AW312" s="8">
        <f>AW154*(Pricing!$B$16*Pricing!$B$36+(1-Pricing!$B$16)*Pricing!$B$34)*AW307*Pricing!$B$15</f>
        <v/>
      </c>
      <c r="AX312" s="8">
        <f>AX154*(Pricing!$B$16*Pricing!$B$36+(1-Pricing!$B$16)*Pricing!$B$34)*AX307*Pricing!$B$15</f>
        <v/>
      </c>
      <c r="AY312" s="8">
        <f>AY154*(Pricing!$B$16*Pricing!$B$36+(1-Pricing!$B$16)*Pricing!$B$34)*AY307*Pricing!$B$15</f>
        <v/>
      </c>
      <c r="AZ312" s="8">
        <f>AZ154*(Pricing!$B$16*Pricing!$B$36+(1-Pricing!$B$16)*Pricing!$B$34)*AZ307*Pricing!$B$15</f>
        <v/>
      </c>
      <c r="BA312" s="8">
        <f>BA154*(Pricing!$B$16*Pricing!$B$36+(1-Pricing!$B$16)*Pricing!$B$34)*BA307*Pricing!$B$15</f>
        <v/>
      </c>
      <c r="BB312" s="8">
        <f>BB154*(Pricing!$B$16*Pricing!$B$36+(1-Pricing!$B$16)*Pricing!$B$34)*BB307*Pricing!$B$15</f>
        <v/>
      </c>
      <c r="BC312" s="8">
        <f>BC154*(Pricing!$B$16*Pricing!$B$36+(1-Pricing!$B$16)*Pricing!$B$34)*BC307*Pricing!$B$15</f>
        <v/>
      </c>
      <c r="BD312" s="8">
        <f>BD154*(Pricing!$B$16*Pricing!$B$36+(1-Pricing!$B$16)*Pricing!$B$34)*BD307*Pricing!$B$15</f>
        <v/>
      </c>
      <c r="BE312" s="8">
        <f>BE154*(Pricing!$B$16*Pricing!$B$36+(1-Pricing!$B$16)*Pricing!$B$34)*BE307*Pricing!$B$15</f>
        <v/>
      </c>
      <c r="BF312" s="8">
        <f>BF154*(Pricing!$B$16*Pricing!$B$36+(1-Pricing!$B$16)*Pricing!$B$34)*BF307*Pricing!$B$15</f>
        <v/>
      </c>
      <c r="BG312" s="8">
        <f>BG154*(Pricing!$B$16*Pricing!$B$36+(1-Pricing!$B$16)*Pricing!$B$34)*BG307*Pricing!$B$15</f>
        <v/>
      </c>
      <c r="BH312" s="8">
        <f>BH154*(Pricing!$B$16*Pricing!$B$36+(1-Pricing!$B$16)*Pricing!$B$34)*BH307*Pricing!$B$15</f>
        <v/>
      </c>
      <c r="BI312" s="8">
        <f>BI154*(Pricing!$B$16*Pricing!$B$36+(1-Pricing!$B$16)*Pricing!$B$34)*BI307*Pricing!$B$15</f>
        <v/>
      </c>
      <c r="BJ312" s="8">
        <f>BJ154*(Pricing!$B$16*Pricing!$B$36+(1-Pricing!$B$16)*Pricing!$B$34)*BJ307*Pricing!$B$15</f>
        <v/>
      </c>
    </row>
    <row r="313">
      <c r="A313" s="4" t="inlineStr">
        <is>
          <t>Gross subscription revenue: South Africa: Enterprise (inbound)</t>
        </is>
      </c>
      <c r="B313" s="17" t="inlineStr">
        <is>
          <t>R</t>
        </is>
      </c>
      <c r="C313" s="8">
        <f>C158*Pricing!$B$35*C307*Pricing!$B$15</f>
        <v/>
      </c>
      <c r="D313" s="8">
        <f>D158*Pricing!$B$35*D307*Pricing!$B$15</f>
        <v/>
      </c>
      <c r="E313" s="8">
        <f>E158*Pricing!$B$35*E307*Pricing!$B$15</f>
        <v/>
      </c>
      <c r="F313" s="8">
        <f>F158*Pricing!$B$35*F307*Pricing!$B$15</f>
        <v/>
      </c>
      <c r="G313" s="8">
        <f>G158*Pricing!$B$35*G307*Pricing!$B$15</f>
        <v/>
      </c>
      <c r="H313" s="8">
        <f>H158*Pricing!$B$35*H307*Pricing!$B$15</f>
        <v/>
      </c>
      <c r="I313" s="8">
        <f>I158*Pricing!$B$35*I307*Pricing!$B$15</f>
        <v/>
      </c>
      <c r="J313" s="8">
        <f>J158*Pricing!$B$35*J307*Pricing!$B$15</f>
        <v/>
      </c>
      <c r="K313" s="8">
        <f>K158*Pricing!$B$35*K307*Pricing!$B$15</f>
        <v/>
      </c>
      <c r="L313" s="8">
        <f>L158*Pricing!$B$35*L307*Pricing!$B$15</f>
        <v/>
      </c>
      <c r="M313" s="8">
        <f>M158*Pricing!$B$35*M307*Pricing!$B$15</f>
        <v/>
      </c>
      <c r="N313" s="8">
        <f>N158*Pricing!$B$35*N307*Pricing!$B$15</f>
        <v/>
      </c>
      <c r="O313" s="8">
        <f>O158*Pricing!$B$35*O307*Pricing!$B$15</f>
        <v/>
      </c>
      <c r="P313" s="8">
        <f>P158*Pricing!$B$35*P307*Pricing!$B$15</f>
        <v/>
      </c>
      <c r="Q313" s="8">
        <f>Q158*Pricing!$B$35*Q307*Pricing!$B$15</f>
        <v/>
      </c>
      <c r="R313" s="8">
        <f>R158*Pricing!$B$35*R307*Pricing!$B$15</f>
        <v/>
      </c>
      <c r="S313" s="8">
        <f>S158*Pricing!$B$35*S307*Pricing!$B$15</f>
        <v/>
      </c>
      <c r="T313" s="8">
        <f>T158*Pricing!$B$35*T307*Pricing!$B$15</f>
        <v/>
      </c>
      <c r="U313" s="8">
        <f>U158*Pricing!$B$35*U307*Pricing!$B$15</f>
        <v/>
      </c>
      <c r="V313" s="8">
        <f>V158*Pricing!$B$35*V307*Pricing!$B$15</f>
        <v/>
      </c>
      <c r="W313" s="8">
        <f>W158*Pricing!$B$35*W307*Pricing!$B$15</f>
        <v/>
      </c>
      <c r="X313" s="8">
        <f>X158*Pricing!$B$35*X307*Pricing!$B$15</f>
        <v/>
      </c>
      <c r="Y313" s="8">
        <f>Y158*Pricing!$B$35*Y307*Pricing!$B$15</f>
        <v/>
      </c>
      <c r="Z313" s="8">
        <f>Z158*Pricing!$B$35*Z307*Pricing!$B$15</f>
        <v/>
      </c>
      <c r="AA313" s="8">
        <f>AA158*Pricing!$B$35*AA307*Pricing!$B$15</f>
        <v/>
      </c>
      <c r="AB313" s="8">
        <f>AB158*Pricing!$B$35*AB307*Pricing!$B$15</f>
        <v/>
      </c>
      <c r="AC313" s="8">
        <f>AC158*Pricing!$B$35*AC307*Pricing!$B$15</f>
        <v/>
      </c>
      <c r="AD313" s="8">
        <f>AD158*Pricing!$B$35*AD307*Pricing!$B$15</f>
        <v/>
      </c>
      <c r="AE313" s="8">
        <f>AE158*Pricing!$B$35*AE307*Pricing!$B$15</f>
        <v/>
      </c>
      <c r="AF313" s="8">
        <f>AF158*Pricing!$B$35*AF307*Pricing!$B$15</f>
        <v/>
      </c>
      <c r="AG313" s="8">
        <f>AG158*Pricing!$B$35*AG307*Pricing!$B$15</f>
        <v/>
      </c>
      <c r="AH313" s="8">
        <f>AH158*Pricing!$B$35*AH307*Pricing!$B$15</f>
        <v/>
      </c>
      <c r="AI313" s="8">
        <f>AI158*Pricing!$B$35*AI307*Pricing!$B$15</f>
        <v/>
      </c>
      <c r="AJ313" s="8">
        <f>AJ158*Pricing!$B$35*AJ307*Pricing!$B$15</f>
        <v/>
      </c>
      <c r="AK313" s="8">
        <f>AK158*Pricing!$B$35*AK307*Pricing!$B$15</f>
        <v/>
      </c>
      <c r="AL313" s="8">
        <f>AL158*Pricing!$B$35*AL307*Pricing!$B$15</f>
        <v/>
      </c>
      <c r="AM313" s="8">
        <f>AM158*Pricing!$B$35*AM307*Pricing!$B$15</f>
        <v/>
      </c>
      <c r="AN313" s="8">
        <f>AN158*Pricing!$B$35*AN307*Pricing!$B$15</f>
        <v/>
      </c>
      <c r="AO313" s="8">
        <f>AO158*Pricing!$B$35*AO307*Pricing!$B$15</f>
        <v/>
      </c>
      <c r="AP313" s="8">
        <f>AP158*Pricing!$B$35*AP307*Pricing!$B$15</f>
        <v/>
      </c>
      <c r="AQ313" s="8">
        <f>AQ158*Pricing!$B$35*AQ307*Pricing!$B$15</f>
        <v/>
      </c>
      <c r="AR313" s="8">
        <f>AR158*Pricing!$B$35*AR307*Pricing!$B$15</f>
        <v/>
      </c>
      <c r="AS313" s="8">
        <f>AS158*Pricing!$B$35*AS307*Pricing!$B$15</f>
        <v/>
      </c>
      <c r="AT313" s="8">
        <f>AT158*Pricing!$B$35*AT307*Pricing!$B$15</f>
        <v/>
      </c>
      <c r="AU313" s="8">
        <f>AU158*Pricing!$B$35*AU307*Pricing!$B$15</f>
        <v/>
      </c>
      <c r="AV313" s="8">
        <f>AV158*Pricing!$B$35*AV307*Pricing!$B$15</f>
        <v/>
      </c>
      <c r="AW313" s="8">
        <f>AW158*Pricing!$B$35*AW307*Pricing!$B$15</f>
        <v/>
      </c>
      <c r="AX313" s="8">
        <f>AX158*Pricing!$B$35*AX307*Pricing!$B$15</f>
        <v/>
      </c>
      <c r="AY313" s="8">
        <f>AY158*Pricing!$B$35*AY307*Pricing!$B$15</f>
        <v/>
      </c>
      <c r="AZ313" s="8">
        <f>AZ158*Pricing!$B$35*AZ307*Pricing!$B$15</f>
        <v/>
      </c>
      <c r="BA313" s="8">
        <f>BA158*Pricing!$B$35*BA307*Pricing!$B$15</f>
        <v/>
      </c>
      <c r="BB313" s="8">
        <f>BB158*Pricing!$B$35*BB307*Pricing!$B$15</f>
        <v/>
      </c>
      <c r="BC313" s="8">
        <f>BC158*Pricing!$B$35*BC307*Pricing!$B$15</f>
        <v/>
      </c>
      <c r="BD313" s="8">
        <f>BD158*Pricing!$B$35*BD307*Pricing!$B$15</f>
        <v/>
      </c>
      <c r="BE313" s="8">
        <f>BE158*Pricing!$B$35*BE307*Pricing!$B$15</f>
        <v/>
      </c>
      <c r="BF313" s="8">
        <f>BF158*Pricing!$B$35*BF307*Pricing!$B$15</f>
        <v/>
      </c>
      <c r="BG313" s="8">
        <f>BG158*Pricing!$B$35*BG307*Pricing!$B$15</f>
        <v/>
      </c>
      <c r="BH313" s="8">
        <f>BH158*Pricing!$B$35*BH307*Pricing!$B$15</f>
        <v/>
      </c>
      <c r="BI313" s="8">
        <f>BI158*Pricing!$B$35*BI307*Pricing!$B$15</f>
        <v/>
      </c>
      <c r="BJ313" s="8">
        <f>BJ158*Pricing!$B$35*BJ307*Pricing!$B$15</f>
        <v/>
      </c>
    </row>
    <row r="314">
      <c r="A314" s="4" t="inlineStr">
        <is>
          <t>Gross subscription revenue: Nigeria: Solo: Starter</t>
        </is>
      </c>
      <c r="B314" s="17" t="inlineStr">
        <is>
          <t>R</t>
        </is>
      </c>
      <c r="C314" s="8">
        <f>C163*Pricing!$C$31*C307*Pricing!$B$15*C38</f>
        <v/>
      </c>
      <c r="D314" s="8">
        <f>D163*Pricing!$C$31*D307*Pricing!$B$15*D38</f>
        <v/>
      </c>
      <c r="E314" s="8">
        <f>E163*Pricing!$C$31*E307*Pricing!$B$15*E38</f>
        <v/>
      </c>
      <c r="F314" s="8">
        <f>F163*Pricing!$C$31*F307*Pricing!$B$15*F38</f>
        <v/>
      </c>
      <c r="G314" s="8">
        <f>G163*Pricing!$C$31*G307*Pricing!$B$15*G38</f>
        <v/>
      </c>
      <c r="H314" s="8">
        <f>H163*Pricing!$C$31*H307*Pricing!$B$15*H38</f>
        <v/>
      </c>
      <c r="I314" s="8">
        <f>I163*Pricing!$C$31*I307*Pricing!$B$15*I38</f>
        <v/>
      </c>
      <c r="J314" s="8">
        <f>J163*Pricing!$C$31*J307*Pricing!$B$15*J38</f>
        <v/>
      </c>
      <c r="K314" s="8">
        <f>K163*Pricing!$C$31*K307*Pricing!$B$15*K38</f>
        <v/>
      </c>
      <c r="L314" s="8">
        <f>L163*Pricing!$C$31*L307*Pricing!$B$15*L38</f>
        <v/>
      </c>
      <c r="M314" s="8">
        <f>M163*Pricing!$C$31*M307*Pricing!$B$15*M38</f>
        <v/>
      </c>
      <c r="N314" s="8">
        <f>N163*Pricing!$C$31*N307*Pricing!$B$15*N38</f>
        <v/>
      </c>
      <c r="O314" s="8">
        <f>O163*Pricing!$C$31*O307*Pricing!$B$15*O38</f>
        <v/>
      </c>
      <c r="P314" s="8">
        <f>P163*Pricing!$C$31*P307*Pricing!$B$15*P38</f>
        <v/>
      </c>
      <c r="Q314" s="8">
        <f>Q163*Pricing!$C$31*Q307*Pricing!$B$15*Q38</f>
        <v/>
      </c>
      <c r="R314" s="8">
        <f>R163*Pricing!$C$31*R307*Pricing!$B$15*R38</f>
        <v/>
      </c>
      <c r="S314" s="8">
        <f>S163*Pricing!$C$31*S307*Pricing!$B$15*S38</f>
        <v/>
      </c>
      <c r="T314" s="8">
        <f>T163*Pricing!$C$31*T307*Pricing!$B$15*T38</f>
        <v/>
      </c>
      <c r="U314" s="8">
        <f>U163*Pricing!$C$31*U307*Pricing!$B$15*U38</f>
        <v/>
      </c>
      <c r="V314" s="8">
        <f>V163*Pricing!$C$31*V307*Pricing!$B$15*V38</f>
        <v/>
      </c>
      <c r="W314" s="8">
        <f>W163*Pricing!$C$31*W307*Pricing!$B$15*W38</f>
        <v/>
      </c>
      <c r="X314" s="8">
        <f>X163*Pricing!$C$31*X307*Pricing!$B$15*X38</f>
        <v/>
      </c>
      <c r="Y314" s="8">
        <f>Y163*Pricing!$C$31*Y307*Pricing!$B$15*Y38</f>
        <v/>
      </c>
      <c r="Z314" s="8">
        <f>Z163*Pricing!$C$31*Z307*Pricing!$B$15*Z38</f>
        <v/>
      </c>
      <c r="AA314" s="8">
        <f>AA163*Pricing!$C$31*AA307*Pricing!$B$15*AA38</f>
        <v/>
      </c>
      <c r="AB314" s="8">
        <f>AB163*Pricing!$C$31*AB307*Pricing!$B$15*AB38</f>
        <v/>
      </c>
      <c r="AC314" s="8">
        <f>AC163*Pricing!$C$31*AC307*Pricing!$B$15*AC38</f>
        <v/>
      </c>
      <c r="AD314" s="8">
        <f>AD163*Pricing!$C$31*AD307*Pricing!$B$15*AD38</f>
        <v/>
      </c>
      <c r="AE314" s="8">
        <f>AE163*Pricing!$C$31*AE307*Pricing!$B$15*AE38</f>
        <v/>
      </c>
      <c r="AF314" s="8">
        <f>AF163*Pricing!$C$31*AF307*Pricing!$B$15*AF38</f>
        <v/>
      </c>
      <c r="AG314" s="8">
        <f>AG163*Pricing!$C$31*AG307*Pricing!$B$15*AG38</f>
        <v/>
      </c>
      <c r="AH314" s="8">
        <f>AH163*Pricing!$C$31*AH307*Pricing!$B$15*AH38</f>
        <v/>
      </c>
      <c r="AI314" s="8">
        <f>AI163*Pricing!$C$31*AI307*Pricing!$B$15*AI38</f>
        <v/>
      </c>
      <c r="AJ314" s="8">
        <f>AJ163*Pricing!$C$31*AJ307*Pricing!$B$15*AJ38</f>
        <v/>
      </c>
      <c r="AK314" s="8">
        <f>AK163*Pricing!$C$31*AK307*Pricing!$B$15*AK38</f>
        <v/>
      </c>
      <c r="AL314" s="8">
        <f>AL163*Pricing!$C$31*AL307*Pricing!$B$15*AL38</f>
        <v/>
      </c>
      <c r="AM314" s="8">
        <f>AM163*Pricing!$C$31*AM307*Pricing!$B$15*AM38</f>
        <v/>
      </c>
      <c r="AN314" s="8">
        <f>AN163*Pricing!$C$31*AN307*Pricing!$B$15*AN38</f>
        <v/>
      </c>
      <c r="AO314" s="8">
        <f>AO163*Pricing!$C$31*AO307*Pricing!$B$15*AO38</f>
        <v/>
      </c>
      <c r="AP314" s="8">
        <f>AP163*Pricing!$C$31*AP307*Pricing!$B$15*AP38</f>
        <v/>
      </c>
      <c r="AQ314" s="8">
        <f>AQ163*Pricing!$C$31*AQ307*Pricing!$B$15*AQ38</f>
        <v/>
      </c>
      <c r="AR314" s="8">
        <f>AR163*Pricing!$C$31*AR307*Pricing!$B$15*AR38</f>
        <v/>
      </c>
      <c r="AS314" s="8">
        <f>AS163*Pricing!$C$31*AS307*Pricing!$B$15*AS38</f>
        <v/>
      </c>
      <c r="AT314" s="8">
        <f>AT163*Pricing!$C$31*AT307*Pricing!$B$15*AT38</f>
        <v/>
      </c>
      <c r="AU314" s="8">
        <f>AU163*Pricing!$C$31*AU307*Pricing!$B$15*AU38</f>
        <v/>
      </c>
      <c r="AV314" s="8">
        <f>AV163*Pricing!$C$31*AV307*Pricing!$B$15*AV38</f>
        <v/>
      </c>
      <c r="AW314" s="8">
        <f>AW163*Pricing!$C$31*AW307*Pricing!$B$15*AW38</f>
        <v/>
      </c>
      <c r="AX314" s="8">
        <f>AX163*Pricing!$C$31*AX307*Pricing!$B$15*AX38</f>
        <v/>
      </c>
      <c r="AY314" s="8">
        <f>AY163*Pricing!$C$31*AY307*Pricing!$B$15*AY38</f>
        <v/>
      </c>
      <c r="AZ314" s="8">
        <f>AZ163*Pricing!$C$31*AZ307*Pricing!$B$15*AZ38</f>
        <v/>
      </c>
      <c r="BA314" s="8">
        <f>BA163*Pricing!$C$31*BA307*Pricing!$B$15*BA38</f>
        <v/>
      </c>
      <c r="BB314" s="8">
        <f>BB163*Pricing!$C$31*BB307*Pricing!$B$15*BB38</f>
        <v/>
      </c>
      <c r="BC314" s="8">
        <f>BC163*Pricing!$C$31*BC307*Pricing!$B$15*BC38</f>
        <v/>
      </c>
      <c r="BD314" s="8">
        <f>BD163*Pricing!$C$31*BD307*Pricing!$B$15*BD38</f>
        <v/>
      </c>
      <c r="BE314" s="8">
        <f>BE163*Pricing!$C$31*BE307*Pricing!$B$15*BE38</f>
        <v/>
      </c>
      <c r="BF314" s="8">
        <f>BF163*Pricing!$C$31*BF307*Pricing!$B$15*BF38</f>
        <v/>
      </c>
      <c r="BG314" s="8">
        <f>BG163*Pricing!$C$31*BG307*Pricing!$B$15*BG38</f>
        <v/>
      </c>
      <c r="BH314" s="8">
        <f>BH163*Pricing!$C$31*BH307*Pricing!$B$15*BH38</f>
        <v/>
      </c>
      <c r="BI314" s="8">
        <f>BI163*Pricing!$C$31*BI307*Pricing!$B$15*BI38</f>
        <v/>
      </c>
      <c r="BJ314" s="8">
        <f>BJ163*Pricing!$C$31*BJ307*Pricing!$B$15*BJ38</f>
        <v/>
      </c>
    </row>
    <row r="315">
      <c r="A315" s="4" t="inlineStr">
        <is>
          <t>Gross subscription revenue: Nigeria: Solo: Growth (upgraded or direct)</t>
        </is>
      </c>
      <c r="B315" s="17" t="inlineStr">
        <is>
          <t>R</t>
        </is>
      </c>
      <c r="C315" s="8">
        <f>C167*Pricing!$C$32*C307*Pricing!$B$15*C38</f>
        <v/>
      </c>
      <c r="D315" s="8">
        <f>D167*Pricing!$C$32*D307*Pricing!$B$15*D38</f>
        <v/>
      </c>
      <c r="E315" s="8">
        <f>E167*Pricing!$C$32*E307*Pricing!$B$15*E38</f>
        <v/>
      </c>
      <c r="F315" s="8">
        <f>F167*Pricing!$C$32*F307*Pricing!$B$15*F38</f>
        <v/>
      </c>
      <c r="G315" s="8">
        <f>G167*Pricing!$C$32*G307*Pricing!$B$15*G38</f>
        <v/>
      </c>
      <c r="H315" s="8">
        <f>H167*Pricing!$C$32*H307*Pricing!$B$15*H38</f>
        <v/>
      </c>
      <c r="I315" s="8">
        <f>I167*Pricing!$C$32*I307*Pricing!$B$15*I38</f>
        <v/>
      </c>
      <c r="J315" s="8">
        <f>J167*Pricing!$C$32*J307*Pricing!$B$15*J38</f>
        <v/>
      </c>
      <c r="K315" s="8">
        <f>K167*Pricing!$C$32*K307*Pricing!$B$15*K38</f>
        <v/>
      </c>
      <c r="L315" s="8">
        <f>L167*Pricing!$C$32*L307*Pricing!$B$15*L38</f>
        <v/>
      </c>
      <c r="M315" s="8">
        <f>M167*Pricing!$C$32*M307*Pricing!$B$15*M38</f>
        <v/>
      </c>
      <c r="N315" s="8">
        <f>N167*Pricing!$C$32*N307*Pricing!$B$15*N38</f>
        <v/>
      </c>
      <c r="O315" s="8">
        <f>O167*Pricing!$C$32*O307*Pricing!$B$15*O38</f>
        <v/>
      </c>
      <c r="P315" s="8">
        <f>P167*Pricing!$C$32*P307*Pricing!$B$15*P38</f>
        <v/>
      </c>
      <c r="Q315" s="8">
        <f>Q167*Pricing!$C$32*Q307*Pricing!$B$15*Q38</f>
        <v/>
      </c>
      <c r="R315" s="8">
        <f>R167*Pricing!$C$32*R307*Pricing!$B$15*R38</f>
        <v/>
      </c>
      <c r="S315" s="8">
        <f>S167*Pricing!$C$32*S307*Pricing!$B$15*S38</f>
        <v/>
      </c>
      <c r="T315" s="8">
        <f>T167*Pricing!$C$32*T307*Pricing!$B$15*T38</f>
        <v/>
      </c>
      <c r="U315" s="8">
        <f>U167*Pricing!$C$32*U307*Pricing!$B$15*U38</f>
        <v/>
      </c>
      <c r="V315" s="8">
        <f>V167*Pricing!$C$32*V307*Pricing!$B$15*V38</f>
        <v/>
      </c>
      <c r="W315" s="8">
        <f>W167*Pricing!$C$32*W307*Pricing!$B$15*W38</f>
        <v/>
      </c>
      <c r="X315" s="8">
        <f>X167*Pricing!$C$32*X307*Pricing!$B$15*X38</f>
        <v/>
      </c>
      <c r="Y315" s="8">
        <f>Y167*Pricing!$C$32*Y307*Pricing!$B$15*Y38</f>
        <v/>
      </c>
      <c r="Z315" s="8">
        <f>Z167*Pricing!$C$32*Z307*Pricing!$B$15*Z38</f>
        <v/>
      </c>
      <c r="AA315" s="8">
        <f>AA167*Pricing!$C$32*AA307*Pricing!$B$15*AA38</f>
        <v/>
      </c>
      <c r="AB315" s="8">
        <f>AB167*Pricing!$C$32*AB307*Pricing!$B$15*AB38</f>
        <v/>
      </c>
      <c r="AC315" s="8">
        <f>AC167*Pricing!$C$32*AC307*Pricing!$B$15*AC38</f>
        <v/>
      </c>
      <c r="AD315" s="8">
        <f>AD167*Pricing!$C$32*AD307*Pricing!$B$15*AD38</f>
        <v/>
      </c>
      <c r="AE315" s="8">
        <f>AE167*Pricing!$C$32*AE307*Pricing!$B$15*AE38</f>
        <v/>
      </c>
      <c r="AF315" s="8">
        <f>AF167*Pricing!$C$32*AF307*Pricing!$B$15*AF38</f>
        <v/>
      </c>
      <c r="AG315" s="8">
        <f>AG167*Pricing!$C$32*AG307*Pricing!$B$15*AG38</f>
        <v/>
      </c>
      <c r="AH315" s="8">
        <f>AH167*Pricing!$C$32*AH307*Pricing!$B$15*AH38</f>
        <v/>
      </c>
      <c r="AI315" s="8">
        <f>AI167*Pricing!$C$32*AI307*Pricing!$B$15*AI38</f>
        <v/>
      </c>
      <c r="AJ315" s="8">
        <f>AJ167*Pricing!$C$32*AJ307*Pricing!$B$15*AJ38</f>
        <v/>
      </c>
      <c r="AK315" s="8">
        <f>AK167*Pricing!$C$32*AK307*Pricing!$B$15*AK38</f>
        <v/>
      </c>
      <c r="AL315" s="8">
        <f>AL167*Pricing!$C$32*AL307*Pricing!$B$15*AL38</f>
        <v/>
      </c>
      <c r="AM315" s="8">
        <f>AM167*Pricing!$C$32*AM307*Pricing!$B$15*AM38</f>
        <v/>
      </c>
      <c r="AN315" s="8">
        <f>AN167*Pricing!$C$32*AN307*Pricing!$B$15*AN38</f>
        <v/>
      </c>
      <c r="AO315" s="8">
        <f>AO167*Pricing!$C$32*AO307*Pricing!$B$15*AO38</f>
        <v/>
      </c>
      <c r="AP315" s="8">
        <f>AP167*Pricing!$C$32*AP307*Pricing!$B$15*AP38</f>
        <v/>
      </c>
      <c r="AQ315" s="8">
        <f>AQ167*Pricing!$C$32*AQ307*Pricing!$B$15*AQ38</f>
        <v/>
      </c>
      <c r="AR315" s="8">
        <f>AR167*Pricing!$C$32*AR307*Pricing!$B$15*AR38</f>
        <v/>
      </c>
      <c r="AS315" s="8">
        <f>AS167*Pricing!$C$32*AS307*Pricing!$B$15*AS38</f>
        <v/>
      </c>
      <c r="AT315" s="8">
        <f>AT167*Pricing!$C$32*AT307*Pricing!$B$15*AT38</f>
        <v/>
      </c>
      <c r="AU315" s="8">
        <f>AU167*Pricing!$C$32*AU307*Pricing!$B$15*AU38</f>
        <v/>
      </c>
      <c r="AV315" s="8">
        <f>AV167*Pricing!$C$32*AV307*Pricing!$B$15*AV38</f>
        <v/>
      </c>
      <c r="AW315" s="8">
        <f>AW167*Pricing!$C$32*AW307*Pricing!$B$15*AW38</f>
        <v/>
      </c>
      <c r="AX315" s="8">
        <f>AX167*Pricing!$C$32*AX307*Pricing!$B$15*AX38</f>
        <v/>
      </c>
      <c r="AY315" s="8">
        <f>AY167*Pricing!$C$32*AY307*Pricing!$B$15*AY38</f>
        <v/>
      </c>
      <c r="AZ315" s="8">
        <f>AZ167*Pricing!$C$32*AZ307*Pricing!$B$15*AZ38</f>
        <v/>
      </c>
      <c r="BA315" s="8">
        <f>BA167*Pricing!$C$32*BA307*Pricing!$B$15*BA38</f>
        <v/>
      </c>
      <c r="BB315" s="8">
        <f>BB167*Pricing!$C$32*BB307*Pricing!$B$15*BB38</f>
        <v/>
      </c>
      <c r="BC315" s="8">
        <f>BC167*Pricing!$C$32*BC307*Pricing!$B$15*BC38</f>
        <v/>
      </c>
      <c r="BD315" s="8">
        <f>BD167*Pricing!$C$32*BD307*Pricing!$B$15*BD38</f>
        <v/>
      </c>
      <c r="BE315" s="8">
        <f>BE167*Pricing!$C$32*BE307*Pricing!$B$15*BE38</f>
        <v/>
      </c>
      <c r="BF315" s="8">
        <f>BF167*Pricing!$C$32*BF307*Pricing!$B$15*BF38</f>
        <v/>
      </c>
      <c r="BG315" s="8">
        <f>BG167*Pricing!$C$32*BG307*Pricing!$B$15*BG38</f>
        <v/>
      </c>
      <c r="BH315" s="8">
        <f>BH167*Pricing!$C$32*BH307*Pricing!$B$15*BH38</f>
        <v/>
      </c>
      <c r="BI315" s="8">
        <f>BI167*Pricing!$C$32*BI307*Pricing!$B$15*BI38</f>
        <v/>
      </c>
      <c r="BJ315" s="8">
        <f>BJ167*Pricing!$C$32*BJ307*Pricing!$B$15*BJ38</f>
        <v/>
      </c>
    </row>
    <row r="316">
      <c r="A316" s="4" t="inlineStr">
        <is>
          <t>Gross subscription revenue: Nigeria: SME: Growth</t>
        </is>
      </c>
      <c r="B316" s="17" t="inlineStr">
        <is>
          <t>R</t>
        </is>
      </c>
      <c r="C316" s="8">
        <f>C172*Pricing!$C$32*C307*Pricing!$B$15*C38</f>
        <v/>
      </c>
      <c r="D316" s="8">
        <f>D172*Pricing!$C$32*D307*Pricing!$B$15*D38</f>
        <v/>
      </c>
      <c r="E316" s="8">
        <f>E172*Pricing!$C$32*E307*Pricing!$B$15*E38</f>
        <v/>
      </c>
      <c r="F316" s="8">
        <f>F172*Pricing!$C$32*F307*Pricing!$B$15*F38</f>
        <v/>
      </c>
      <c r="G316" s="8">
        <f>G172*Pricing!$C$32*G307*Pricing!$B$15*G38</f>
        <v/>
      </c>
      <c r="H316" s="8">
        <f>H172*Pricing!$C$32*H307*Pricing!$B$15*H38</f>
        <v/>
      </c>
      <c r="I316" s="8">
        <f>I172*Pricing!$C$32*I307*Pricing!$B$15*I38</f>
        <v/>
      </c>
      <c r="J316" s="8">
        <f>J172*Pricing!$C$32*J307*Pricing!$B$15*J38</f>
        <v/>
      </c>
      <c r="K316" s="8">
        <f>K172*Pricing!$C$32*K307*Pricing!$B$15*K38</f>
        <v/>
      </c>
      <c r="L316" s="8">
        <f>L172*Pricing!$C$32*L307*Pricing!$B$15*L38</f>
        <v/>
      </c>
      <c r="M316" s="8">
        <f>M172*Pricing!$C$32*M307*Pricing!$B$15*M38</f>
        <v/>
      </c>
      <c r="N316" s="8">
        <f>N172*Pricing!$C$32*N307*Pricing!$B$15*N38</f>
        <v/>
      </c>
      <c r="O316" s="8">
        <f>O172*Pricing!$C$32*O307*Pricing!$B$15*O38</f>
        <v/>
      </c>
      <c r="P316" s="8">
        <f>P172*Pricing!$C$32*P307*Pricing!$B$15*P38</f>
        <v/>
      </c>
      <c r="Q316" s="8">
        <f>Q172*Pricing!$C$32*Q307*Pricing!$B$15*Q38</f>
        <v/>
      </c>
      <c r="R316" s="8">
        <f>R172*Pricing!$C$32*R307*Pricing!$B$15*R38</f>
        <v/>
      </c>
      <c r="S316" s="8">
        <f>S172*Pricing!$C$32*S307*Pricing!$B$15*S38</f>
        <v/>
      </c>
      <c r="T316" s="8">
        <f>T172*Pricing!$C$32*T307*Pricing!$B$15*T38</f>
        <v/>
      </c>
      <c r="U316" s="8">
        <f>U172*Pricing!$C$32*U307*Pricing!$B$15*U38</f>
        <v/>
      </c>
      <c r="V316" s="8">
        <f>V172*Pricing!$C$32*V307*Pricing!$B$15*V38</f>
        <v/>
      </c>
      <c r="W316" s="8">
        <f>W172*Pricing!$C$32*W307*Pricing!$B$15*W38</f>
        <v/>
      </c>
      <c r="X316" s="8">
        <f>X172*Pricing!$C$32*X307*Pricing!$B$15*X38</f>
        <v/>
      </c>
      <c r="Y316" s="8">
        <f>Y172*Pricing!$C$32*Y307*Pricing!$B$15*Y38</f>
        <v/>
      </c>
      <c r="Z316" s="8">
        <f>Z172*Pricing!$C$32*Z307*Pricing!$B$15*Z38</f>
        <v/>
      </c>
      <c r="AA316" s="8">
        <f>AA172*Pricing!$C$32*AA307*Pricing!$B$15*AA38</f>
        <v/>
      </c>
      <c r="AB316" s="8">
        <f>AB172*Pricing!$C$32*AB307*Pricing!$B$15*AB38</f>
        <v/>
      </c>
      <c r="AC316" s="8">
        <f>AC172*Pricing!$C$32*AC307*Pricing!$B$15*AC38</f>
        <v/>
      </c>
      <c r="AD316" s="8">
        <f>AD172*Pricing!$C$32*AD307*Pricing!$B$15*AD38</f>
        <v/>
      </c>
      <c r="AE316" s="8">
        <f>AE172*Pricing!$C$32*AE307*Pricing!$B$15*AE38</f>
        <v/>
      </c>
      <c r="AF316" s="8">
        <f>AF172*Pricing!$C$32*AF307*Pricing!$B$15*AF38</f>
        <v/>
      </c>
      <c r="AG316" s="8">
        <f>AG172*Pricing!$C$32*AG307*Pricing!$B$15*AG38</f>
        <v/>
      </c>
      <c r="AH316" s="8">
        <f>AH172*Pricing!$C$32*AH307*Pricing!$B$15*AH38</f>
        <v/>
      </c>
      <c r="AI316" s="8">
        <f>AI172*Pricing!$C$32*AI307*Pricing!$B$15*AI38</f>
        <v/>
      </c>
      <c r="AJ316" s="8">
        <f>AJ172*Pricing!$C$32*AJ307*Pricing!$B$15*AJ38</f>
        <v/>
      </c>
      <c r="AK316" s="8">
        <f>AK172*Pricing!$C$32*AK307*Pricing!$B$15*AK38</f>
        <v/>
      </c>
      <c r="AL316" s="8">
        <f>AL172*Pricing!$C$32*AL307*Pricing!$B$15*AL38</f>
        <v/>
      </c>
      <c r="AM316" s="8">
        <f>AM172*Pricing!$C$32*AM307*Pricing!$B$15*AM38</f>
        <v/>
      </c>
      <c r="AN316" s="8">
        <f>AN172*Pricing!$C$32*AN307*Pricing!$B$15*AN38</f>
        <v/>
      </c>
      <c r="AO316" s="8">
        <f>AO172*Pricing!$C$32*AO307*Pricing!$B$15*AO38</f>
        <v/>
      </c>
      <c r="AP316" s="8">
        <f>AP172*Pricing!$C$32*AP307*Pricing!$B$15*AP38</f>
        <v/>
      </c>
      <c r="AQ316" s="8">
        <f>AQ172*Pricing!$C$32*AQ307*Pricing!$B$15*AQ38</f>
        <v/>
      </c>
      <c r="AR316" s="8">
        <f>AR172*Pricing!$C$32*AR307*Pricing!$B$15*AR38</f>
        <v/>
      </c>
      <c r="AS316" s="8">
        <f>AS172*Pricing!$C$32*AS307*Pricing!$B$15*AS38</f>
        <v/>
      </c>
      <c r="AT316" s="8">
        <f>AT172*Pricing!$C$32*AT307*Pricing!$B$15*AT38</f>
        <v/>
      </c>
      <c r="AU316" s="8">
        <f>AU172*Pricing!$C$32*AU307*Pricing!$B$15*AU38</f>
        <v/>
      </c>
      <c r="AV316" s="8">
        <f>AV172*Pricing!$C$32*AV307*Pricing!$B$15*AV38</f>
        <v/>
      </c>
      <c r="AW316" s="8">
        <f>AW172*Pricing!$C$32*AW307*Pricing!$B$15*AW38</f>
        <v/>
      </c>
      <c r="AX316" s="8">
        <f>AX172*Pricing!$C$32*AX307*Pricing!$B$15*AX38</f>
        <v/>
      </c>
      <c r="AY316" s="8">
        <f>AY172*Pricing!$C$32*AY307*Pricing!$B$15*AY38</f>
        <v/>
      </c>
      <c r="AZ316" s="8">
        <f>AZ172*Pricing!$C$32*AZ307*Pricing!$B$15*AZ38</f>
        <v/>
      </c>
      <c r="BA316" s="8">
        <f>BA172*Pricing!$C$32*BA307*Pricing!$B$15*BA38</f>
        <v/>
      </c>
      <c r="BB316" s="8">
        <f>BB172*Pricing!$C$32*BB307*Pricing!$B$15*BB38</f>
        <v/>
      </c>
      <c r="BC316" s="8">
        <f>BC172*Pricing!$C$32*BC307*Pricing!$B$15*BC38</f>
        <v/>
      </c>
      <c r="BD316" s="8">
        <f>BD172*Pricing!$C$32*BD307*Pricing!$B$15*BD38</f>
        <v/>
      </c>
      <c r="BE316" s="8">
        <f>BE172*Pricing!$C$32*BE307*Pricing!$B$15*BE38</f>
        <v/>
      </c>
      <c r="BF316" s="8">
        <f>BF172*Pricing!$C$32*BF307*Pricing!$B$15*BF38</f>
        <v/>
      </c>
      <c r="BG316" s="8">
        <f>BG172*Pricing!$C$32*BG307*Pricing!$B$15*BG38</f>
        <v/>
      </c>
      <c r="BH316" s="8">
        <f>BH172*Pricing!$C$32*BH307*Pricing!$B$15*BH38</f>
        <v/>
      </c>
      <c r="BI316" s="8">
        <f>BI172*Pricing!$C$32*BI307*Pricing!$B$15*BI38</f>
        <v/>
      </c>
      <c r="BJ316" s="8">
        <f>BJ172*Pricing!$C$32*BJ307*Pricing!$B$15*BJ38</f>
        <v/>
      </c>
    </row>
    <row r="317">
      <c r="A317" s="4" t="inlineStr">
        <is>
          <t>Gross subscription revenue: Nigeria: SME: Scale (upgraded or direct)</t>
        </is>
      </c>
      <c r="B317" s="17" t="inlineStr">
        <is>
          <t>R</t>
        </is>
      </c>
      <c r="C317" s="8">
        <f>C176*Pricing!$C$33*C307*Pricing!$B$15*C38</f>
        <v/>
      </c>
      <c r="D317" s="8">
        <f>D176*Pricing!$C$33*D307*Pricing!$B$15*D38</f>
        <v/>
      </c>
      <c r="E317" s="8">
        <f>E176*Pricing!$C$33*E307*Pricing!$B$15*E38</f>
        <v/>
      </c>
      <c r="F317" s="8">
        <f>F176*Pricing!$C$33*F307*Pricing!$B$15*F38</f>
        <v/>
      </c>
      <c r="G317" s="8">
        <f>G176*Pricing!$C$33*G307*Pricing!$B$15*G38</f>
        <v/>
      </c>
      <c r="H317" s="8">
        <f>H176*Pricing!$C$33*H307*Pricing!$B$15*H38</f>
        <v/>
      </c>
      <c r="I317" s="8">
        <f>I176*Pricing!$C$33*I307*Pricing!$B$15*I38</f>
        <v/>
      </c>
      <c r="J317" s="8">
        <f>J176*Pricing!$C$33*J307*Pricing!$B$15*J38</f>
        <v/>
      </c>
      <c r="K317" s="8">
        <f>K176*Pricing!$C$33*K307*Pricing!$B$15*K38</f>
        <v/>
      </c>
      <c r="L317" s="8">
        <f>L176*Pricing!$C$33*L307*Pricing!$B$15*L38</f>
        <v/>
      </c>
      <c r="M317" s="8">
        <f>M176*Pricing!$C$33*M307*Pricing!$B$15*M38</f>
        <v/>
      </c>
      <c r="N317" s="8">
        <f>N176*Pricing!$C$33*N307*Pricing!$B$15*N38</f>
        <v/>
      </c>
      <c r="O317" s="8">
        <f>O176*Pricing!$C$33*O307*Pricing!$B$15*O38</f>
        <v/>
      </c>
      <c r="P317" s="8">
        <f>P176*Pricing!$C$33*P307*Pricing!$B$15*P38</f>
        <v/>
      </c>
      <c r="Q317" s="8">
        <f>Q176*Pricing!$C$33*Q307*Pricing!$B$15*Q38</f>
        <v/>
      </c>
      <c r="R317" s="8">
        <f>R176*Pricing!$C$33*R307*Pricing!$B$15*R38</f>
        <v/>
      </c>
      <c r="S317" s="8">
        <f>S176*Pricing!$C$33*S307*Pricing!$B$15*S38</f>
        <v/>
      </c>
      <c r="T317" s="8">
        <f>T176*Pricing!$C$33*T307*Pricing!$B$15*T38</f>
        <v/>
      </c>
      <c r="U317" s="8">
        <f>U176*Pricing!$C$33*U307*Pricing!$B$15*U38</f>
        <v/>
      </c>
      <c r="V317" s="8">
        <f>V176*Pricing!$C$33*V307*Pricing!$B$15*V38</f>
        <v/>
      </c>
      <c r="W317" s="8">
        <f>W176*Pricing!$C$33*W307*Pricing!$B$15*W38</f>
        <v/>
      </c>
      <c r="X317" s="8">
        <f>X176*Pricing!$C$33*X307*Pricing!$B$15*X38</f>
        <v/>
      </c>
      <c r="Y317" s="8">
        <f>Y176*Pricing!$C$33*Y307*Pricing!$B$15*Y38</f>
        <v/>
      </c>
      <c r="Z317" s="8">
        <f>Z176*Pricing!$C$33*Z307*Pricing!$B$15*Z38</f>
        <v/>
      </c>
      <c r="AA317" s="8">
        <f>AA176*Pricing!$C$33*AA307*Pricing!$B$15*AA38</f>
        <v/>
      </c>
      <c r="AB317" s="8">
        <f>AB176*Pricing!$C$33*AB307*Pricing!$B$15*AB38</f>
        <v/>
      </c>
      <c r="AC317" s="8">
        <f>AC176*Pricing!$C$33*AC307*Pricing!$B$15*AC38</f>
        <v/>
      </c>
      <c r="AD317" s="8">
        <f>AD176*Pricing!$C$33*AD307*Pricing!$B$15*AD38</f>
        <v/>
      </c>
      <c r="AE317" s="8">
        <f>AE176*Pricing!$C$33*AE307*Pricing!$B$15*AE38</f>
        <v/>
      </c>
      <c r="AF317" s="8">
        <f>AF176*Pricing!$C$33*AF307*Pricing!$B$15*AF38</f>
        <v/>
      </c>
      <c r="AG317" s="8">
        <f>AG176*Pricing!$C$33*AG307*Pricing!$B$15*AG38</f>
        <v/>
      </c>
      <c r="AH317" s="8">
        <f>AH176*Pricing!$C$33*AH307*Pricing!$B$15*AH38</f>
        <v/>
      </c>
      <c r="AI317" s="8">
        <f>AI176*Pricing!$C$33*AI307*Pricing!$B$15*AI38</f>
        <v/>
      </c>
      <c r="AJ317" s="8">
        <f>AJ176*Pricing!$C$33*AJ307*Pricing!$B$15*AJ38</f>
        <v/>
      </c>
      <c r="AK317" s="8">
        <f>AK176*Pricing!$C$33*AK307*Pricing!$B$15*AK38</f>
        <v/>
      </c>
      <c r="AL317" s="8">
        <f>AL176*Pricing!$C$33*AL307*Pricing!$B$15*AL38</f>
        <v/>
      </c>
      <c r="AM317" s="8">
        <f>AM176*Pricing!$C$33*AM307*Pricing!$B$15*AM38</f>
        <v/>
      </c>
      <c r="AN317" s="8">
        <f>AN176*Pricing!$C$33*AN307*Pricing!$B$15*AN38</f>
        <v/>
      </c>
      <c r="AO317" s="8">
        <f>AO176*Pricing!$C$33*AO307*Pricing!$B$15*AO38</f>
        <v/>
      </c>
      <c r="AP317" s="8">
        <f>AP176*Pricing!$C$33*AP307*Pricing!$B$15*AP38</f>
        <v/>
      </c>
      <c r="AQ317" s="8">
        <f>AQ176*Pricing!$C$33*AQ307*Pricing!$B$15*AQ38</f>
        <v/>
      </c>
      <c r="AR317" s="8">
        <f>AR176*Pricing!$C$33*AR307*Pricing!$B$15*AR38</f>
        <v/>
      </c>
      <c r="AS317" s="8">
        <f>AS176*Pricing!$C$33*AS307*Pricing!$B$15*AS38</f>
        <v/>
      </c>
      <c r="AT317" s="8">
        <f>AT176*Pricing!$C$33*AT307*Pricing!$B$15*AT38</f>
        <v/>
      </c>
      <c r="AU317" s="8">
        <f>AU176*Pricing!$C$33*AU307*Pricing!$B$15*AU38</f>
        <v/>
      </c>
      <c r="AV317" s="8">
        <f>AV176*Pricing!$C$33*AV307*Pricing!$B$15*AV38</f>
        <v/>
      </c>
      <c r="AW317" s="8">
        <f>AW176*Pricing!$C$33*AW307*Pricing!$B$15*AW38</f>
        <v/>
      </c>
      <c r="AX317" s="8">
        <f>AX176*Pricing!$C$33*AX307*Pricing!$B$15*AX38</f>
        <v/>
      </c>
      <c r="AY317" s="8">
        <f>AY176*Pricing!$C$33*AY307*Pricing!$B$15*AY38</f>
        <v/>
      </c>
      <c r="AZ317" s="8">
        <f>AZ176*Pricing!$C$33*AZ307*Pricing!$B$15*AZ38</f>
        <v/>
      </c>
      <c r="BA317" s="8">
        <f>BA176*Pricing!$C$33*BA307*Pricing!$B$15*BA38</f>
        <v/>
      </c>
      <c r="BB317" s="8">
        <f>BB176*Pricing!$C$33*BB307*Pricing!$B$15*BB38</f>
        <v/>
      </c>
      <c r="BC317" s="8">
        <f>BC176*Pricing!$C$33*BC307*Pricing!$B$15*BC38</f>
        <v/>
      </c>
      <c r="BD317" s="8">
        <f>BD176*Pricing!$C$33*BD307*Pricing!$B$15*BD38</f>
        <v/>
      </c>
      <c r="BE317" s="8">
        <f>BE176*Pricing!$C$33*BE307*Pricing!$B$15*BE38</f>
        <v/>
      </c>
      <c r="BF317" s="8">
        <f>BF176*Pricing!$C$33*BF307*Pricing!$B$15*BF38</f>
        <v/>
      </c>
      <c r="BG317" s="8">
        <f>BG176*Pricing!$C$33*BG307*Pricing!$B$15*BG38</f>
        <v/>
      </c>
      <c r="BH317" s="8">
        <f>BH176*Pricing!$C$33*BH307*Pricing!$B$15*BH38</f>
        <v/>
      </c>
      <c r="BI317" s="8">
        <f>BI176*Pricing!$C$33*BI307*Pricing!$B$15*BI38</f>
        <v/>
      </c>
      <c r="BJ317" s="8">
        <f>BJ176*Pricing!$C$33*BJ307*Pricing!$B$15*BJ38</f>
        <v/>
      </c>
    </row>
    <row r="318">
      <c r="A318" s="4" t="inlineStr">
        <is>
          <t>Gross subscription revenue: Nigeria: Agency / partner: Agency tier</t>
        </is>
      </c>
      <c r="B318" s="17" t="inlineStr">
        <is>
          <t>R</t>
        </is>
      </c>
      <c r="C318" s="8">
        <f>C180*(Pricing!$B$16*Pricing!$C$36+(1-Pricing!$B$16)*Pricing!$C$34)*C307*Pricing!$B$15*C38</f>
        <v/>
      </c>
      <c r="D318" s="8">
        <f>D180*(Pricing!$B$16*Pricing!$C$36+(1-Pricing!$B$16)*Pricing!$C$34)*D307*Pricing!$B$15*D38</f>
        <v/>
      </c>
      <c r="E318" s="8">
        <f>E180*(Pricing!$B$16*Pricing!$C$36+(1-Pricing!$B$16)*Pricing!$C$34)*E307*Pricing!$B$15*E38</f>
        <v/>
      </c>
      <c r="F318" s="8">
        <f>F180*(Pricing!$B$16*Pricing!$C$36+(1-Pricing!$B$16)*Pricing!$C$34)*F307*Pricing!$B$15*F38</f>
        <v/>
      </c>
      <c r="G318" s="8">
        <f>G180*(Pricing!$B$16*Pricing!$C$36+(1-Pricing!$B$16)*Pricing!$C$34)*G307*Pricing!$B$15*G38</f>
        <v/>
      </c>
      <c r="H318" s="8">
        <f>H180*(Pricing!$B$16*Pricing!$C$36+(1-Pricing!$B$16)*Pricing!$C$34)*H307*Pricing!$B$15*H38</f>
        <v/>
      </c>
      <c r="I318" s="8">
        <f>I180*(Pricing!$B$16*Pricing!$C$36+(1-Pricing!$B$16)*Pricing!$C$34)*I307*Pricing!$B$15*I38</f>
        <v/>
      </c>
      <c r="J318" s="8">
        <f>J180*(Pricing!$B$16*Pricing!$C$36+(1-Pricing!$B$16)*Pricing!$C$34)*J307*Pricing!$B$15*J38</f>
        <v/>
      </c>
      <c r="K318" s="8">
        <f>K180*(Pricing!$B$16*Pricing!$C$36+(1-Pricing!$B$16)*Pricing!$C$34)*K307*Pricing!$B$15*K38</f>
        <v/>
      </c>
      <c r="L318" s="8">
        <f>L180*(Pricing!$B$16*Pricing!$C$36+(1-Pricing!$B$16)*Pricing!$C$34)*L307*Pricing!$B$15*L38</f>
        <v/>
      </c>
      <c r="M318" s="8">
        <f>M180*(Pricing!$B$16*Pricing!$C$36+(1-Pricing!$B$16)*Pricing!$C$34)*M307*Pricing!$B$15*M38</f>
        <v/>
      </c>
      <c r="N318" s="8">
        <f>N180*(Pricing!$B$16*Pricing!$C$36+(1-Pricing!$B$16)*Pricing!$C$34)*N307*Pricing!$B$15*N38</f>
        <v/>
      </c>
      <c r="O318" s="8">
        <f>O180*(Pricing!$B$16*Pricing!$C$36+(1-Pricing!$B$16)*Pricing!$C$34)*O307*Pricing!$B$15*O38</f>
        <v/>
      </c>
      <c r="P318" s="8">
        <f>P180*(Pricing!$B$16*Pricing!$C$36+(1-Pricing!$B$16)*Pricing!$C$34)*P307*Pricing!$B$15*P38</f>
        <v/>
      </c>
      <c r="Q318" s="8">
        <f>Q180*(Pricing!$B$16*Pricing!$C$36+(1-Pricing!$B$16)*Pricing!$C$34)*Q307*Pricing!$B$15*Q38</f>
        <v/>
      </c>
      <c r="R318" s="8">
        <f>R180*(Pricing!$B$16*Pricing!$C$36+(1-Pricing!$B$16)*Pricing!$C$34)*R307*Pricing!$B$15*R38</f>
        <v/>
      </c>
      <c r="S318" s="8">
        <f>S180*(Pricing!$B$16*Pricing!$C$36+(1-Pricing!$B$16)*Pricing!$C$34)*S307*Pricing!$B$15*S38</f>
        <v/>
      </c>
      <c r="T318" s="8">
        <f>T180*(Pricing!$B$16*Pricing!$C$36+(1-Pricing!$B$16)*Pricing!$C$34)*T307*Pricing!$B$15*T38</f>
        <v/>
      </c>
      <c r="U318" s="8">
        <f>U180*(Pricing!$B$16*Pricing!$C$36+(1-Pricing!$B$16)*Pricing!$C$34)*U307*Pricing!$B$15*U38</f>
        <v/>
      </c>
      <c r="V318" s="8">
        <f>V180*(Pricing!$B$16*Pricing!$C$36+(1-Pricing!$B$16)*Pricing!$C$34)*V307*Pricing!$B$15*V38</f>
        <v/>
      </c>
      <c r="W318" s="8">
        <f>W180*(Pricing!$B$16*Pricing!$C$36+(1-Pricing!$B$16)*Pricing!$C$34)*W307*Pricing!$B$15*W38</f>
        <v/>
      </c>
      <c r="X318" s="8">
        <f>X180*(Pricing!$B$16*Pricing!$C$36+(1-Pricing!$B$16)*Pricing!$C$34)*X307*Pricing!$B$15*X38</f>
        <v/>
      </c>
      <c r="Y318" s="8">
        <f>Y180*(Pricing!$B$16*Pricing!$C$36+(1-Pricing!$B$16)*Pricing!$C$34)*Y307*Pricing!$B$15*Y38</f>
        <v/>
      </c>
      <c r="Z318" s="8">
        <f>Z180*(Pricing!$B$16*Pricing!$C$36+(1-Pricing!$B$16)*Pricing!$C$34)*Z307*Pricing!$B$15*Z38</f>
        <v/>
      </c>
      <c r="AA318" s="8">
        <f>AA180*(Pricing!$B$16*Pricing!$C$36+(1-Pricing!$B$16)*Pricing!$C$34)*AA307*Pricing!$B$15*AA38</f>
        <v/>
      </c>
      <c r="AB318" s="8">
        <f>AB180*(Pricing!$B$16*Pricing!$C$36+(1-Pricing!$B$16)*Pricing!$C$34)*AB307*Pricing!$B$15*AB38</f>
        <v/>
      </c>
      <c r="AC318" s="8">
        <f>AC180*(Pricing!$B$16*Pricing!$C$36+(1-Pricing!$B$16)*Pricing!$C$34)*AC307*Pricing!$B$15*AC38</f>
        <v/>
      </c>
      <c r="AD318" s="8">
        <f>AD180*(Pricing!$B$16*Pricing!$C$36+(1-Pricing!$B$16)*Pricing!$C$34)*AD307*Pricing!$B$15*AD38</f>
        <v/>
      </c>
      <c r="AE318" s="8">
        <f>AE180*(Pricing!$B$16*Pricing!$C$36+(1-Pricing!$B$16)*Pricing!$C$34)*AE307*Pricing!$B$15*AE38</f>
        <v/>
      </c>
      <c r="AF318" s="8">
        <f>AF180*(Pricing!$B$16*Pricing!$C$36+(1-Pricing!$B$16)*Pricing!$C$34)*AF307*Pricing!$B$15*AF38</f>
        <v/>
      </c>
      <c r="AG318" s="8">
        <f>AG180*(Pricing!$B$16*Pricing!$C$36+(1-Pricing!$B$16)*Pricing!$C$34)*AG307*Pricing!$B$15*AG38</f>
        <v/>
      </c>
      <c r="AH318" s="8">
        <f>AH180*(Pricing!$B$16*Pricing!$C$36+(1-Pricing!$B$16)*Pricing!$C$34)*AH307*Pricing!$B$15*AH38</f>
        <v/>
      </c>
      <c r="AI318" s="8">
        <f>AI180*(Pricing!$B$16*Pricing!$C$36+(1-Pricing!$B$16)*Pricing!$C$34)*AI307*Pricing!$B$15*AI38</f>
        <v/>
      </c>
      <c r="AJ318" s="8">
        <f>AJ180*(Pricing!$B$16*Pricing!$C$36+(1-Pricing!$B$16)*Pricing!$C$34)*AJ307*Pricing!$B$15*AJ38</f>
        <v/>
      </c>
      <c r="AK318" s="8">
        <f>AK180*(Pricing!$B$16*Pricing!$C$36+(1-Pricing!$B$16)*Pricing!$C$34)*AK307*Pricing!$B$15*AK38</f>
        <v/>
      </c>
      <c r="AL318" s="8">
        <f>AL180*(Pricing!$B$16*Pricing!$C$36+(1-Pricing!$B$16)*Pricing!$C$34)*AL307*Pricing!$B$15*AL38</f>
        <v/>
      </c>
      <c r="AM318" s="8">
        <f>AM180*(Pricing!$B$16*Pricing!$C$36+(1-Pricing!$B$16)*Pricing!$C$34)*AM307*Pricing!$B$15*AM38</f>
        <v/>
      </c>
      <c r="AN318" s="8">
        <f>AN180*(Pricing!$B$16*Pricing!$C$36+(1-Pricing!$B$16)*Pricing!$C$34)*AN307*Pricing!$B$15*AN38</f>
        <v/>
      </c>
      <c r="AO318" s="8">
        <f>AO180*(Pricing!$B$16*Pricing!$C$36+(1-Pricing!$B$16)*Pricing!$C$34)*AO307*Pricing!$B$15*AO38</f>
        <v/>
      </c>
      <c r="AP318" s="8">
        <f>AP180*(Pricing!$B$16*Pricing!$C$36+(1-Pricing!$B$16)*Pricing!$C$34)*AP307*Pricing!$B$15*AP38</f>
        <v/>
      </c>
      <c r="AQ318" s="8">
        <f>AQ180*(Pricing!$B$16*Pricing!$C$36+(1-Pricing!$B$16)*Pricing!$C$34)*AQ307*Pricing!$B$15*AQ38</f>
        <v/>
      </c>
      <c r="AR318" s="8">
        <f>AR180*(Pricing!$B$16*Pricing!$C$36+(1-Pricing!$B$16)*Pricing!$C$34)*AR307*Pricing!$B$15*AR38</f>
        <v/>
      </c>
      <c r="AS318" s="8">
        <f>AS180*(Pricing!$B$16*Pricing!$C$36+(1-Pricing!$B$16)*Pricing!$C$34)*AS307*Pricing!$B$15*AS38</f>
        <v/>
      </c>
      <c r="AT318" s="8">
        <f>AT180*(Pricing!$B$16*Pricing!$C$36+(1-Pricing!$B$16)*Pricing!$C$34)*AT307*Pricing!$B$15*AT38</f>
        <v/>
      </c>
      <c r="AU318" s="8">
        <f>AU180*(Pricing!$B$16*Pricing!$C$36+(1-Pricing!$B$16)*Pricing!$C$34)*AU307*Pricing!$B$15*AU38</f>
        <v/>
      </c>
      <c r="AV318" s="8">
        <f>AV180*(Pricing!$B$16*Pricing!$C$36+(1-Pricing!$B$16)*Pricing!$C$34)*AV307*Pricing!$B$15*AV38</f>
        <v/>
      </c>
      <c r="AW318" s="8">
        <f>AW180*(Pricing!$B$16*Pricing!$C$36+(1-Pricing!$B$16)*Pricing!$C$34)*AW307*Pricing!$B$15*AW38</f>
        <v/>
      </c>
      <c r="AX318" s="8">
        <f>AX180*(Pricing!$B$16*Pricing!$C$36+(1-Pricing!$B$16)*Pricing!$C$34)*AX307*Pricing!$B$15*AX38</f>
        <v/>
      </c>
      <c r="AY318" s="8">
        <f>AY180*(Pricing!$B$16*Pricing!$C$36+(1-Pricing!$B$16)*Pricing!$C$34)*AY307*Pricing!$B$15*AY38</f>
        <v/>
      </c>
      <c r="AZ318" s="8">
        <f>AZ180*(Pricing!$B$16*Pricing!$C$36+(1-Pricing!$B$16)*Pricing!$C$34)*AZ307*Pricing!$B$15*AZ38</f>
        <v/>
      </c>
      <c r="BA318" s="8">
        <f>BA180*(Pricing!$B$16*Pricing!$C$36+(1-Pricing!$B$16)*Pricing!$C$34)*BA307*Pricing!$B$15*BA38</f>
        <v/>
      </c>
      <c r="BB318" s="8">
        <f>BB180*(Pricing!$B$16*Pricing!$C$36+(1-Pricing!$B$16)*Pricing!$C$34)*BB307*Pricing!$B$15*BB38</f>
        <v/>
      </c>
      <c r="BC318" s="8">
        <f>BC180*(Pricing!$B$16*Pricing!$C$36+(1-Pricing!$B$16)*Pricing!$C$34)*BC307*Pricing!$B$15*BC38</f>
        <v/>
      </c>
      <c r="BD318" s="8">
        <f>BD180*(Pricing!$B$16*Pricing!$C$36+(1-Pricing!$B$16)*Pricing!$C$34)*BD307*Pricing!$B$15*BD38</f>
        <v/>
      </c>
      <c r="BE318" s="8">
        <f>BE180*(Pricing!$B$16*Pricing!$C$36+(1-Pricing!$B$16)*Pricing!$C$34)*BE307*Pricing!$B$15*BE38</f>
        <v/>
      </c>
      <c r="BF318" s="8">
        <f>BF180*(Pricing!$B$16*Pricing!$C$36+(1-Pricing!$B$16)*Pricing!$C$34)*BF307*Pricing!$B$15*BF38</f>
        <v/>
      </c>
      <c r="BG318" s="8">
        <f>BG180*(Pricing!$B$16*Pricing!$C$36+(1-Pricing!$B$16)*Pricing!$C$34)*BG307*Pricing!$B$15*BG38</f>
        <v/>
      </c>
      <c r="BH318" s="8">
        <f>BH180*(Pricing!$B$16*Pricing!$C$36+(1-Pricing!$B$16)*Pricing!$C$34)*BH307*Pricing!$B$15*BH38</f>
        <v/>
      </c>
      <c r="BI318" s="8">
        <f>BI180*(Pricing!$B$16*Pricing!$C$36+(1-Pricing!$B$16)*Pricing!$C$34)*BI307*Pricing!$B$15*BI38</f>
        <v/>
      </c>
      <c r="BJ318" s="8">
        <f>BJ180*(Pricing!$B$16*Pricing!$C$36+(1-Pricing!$B$16)*Pricing!$C$34)*BJ307*Pricing!$B$15*BJ38</f>
        <v/>
      </c>
    </row>
    <row r="319">
      <c r="A319" s="4" t="inlineStr">
        <is>
          <t>Gross subscription revenue: Kenya: Solo: Starter</t>
        </is>
      </c>
      <c r="B319" s="17" t="inlineStr">
        <is>
          <t>R</t>
        </is>
      </c>
      <c r="C319" s="8">
        <f>C185*Pricing!$D$31*C307*Pricing!$B$15*C41</f>
        <v/>
      </c>
      <c r="D319" s="8">
        <f>D185*Pricing!$D$31*D307*Pricing!$B$15*D41</f>
        <v/>
      </c>
      <c r="E319" s="8">
        <f>E185*Pricing!$D$31*E307*Pricing!$B$15*E41</f>
        <v/>
      </c>
      <c r="F319" s="8">
        <f>F185*Pricing!$D$31*F307*Pricing!$B$15*F41</f>
        <v/>
      </c>
      <c r="G319" s="8">
        <f>G185*Pricing!$D$31*G307*Pricing!$B$15*G41</f>
        <v/>
      </c>
      <c r="H319" s="8">
        <f>H185*Pricing!$D$31*H307*Pricing!$B$15*H41</f>
        <v/>
      </c>
      <c r="I319" s="8">
        <f>I185*Pricing!$D$31*I307*Pricing!$B$15*I41</f>
        <v/>
      </c>
      <c r="J319" s="8">
        <f>J185*Pricing!$D$31*J307*Pricing!$B$15*J41</f>
        <v/>
      </c>
      <c r="K319" s="8">
        <f>K185*Pricing!$D$31*K307*Pricing!$B$15*K41</f>
        <v/>
      </c>
      <c r="L319" s="8">
        <f>L185*Pricing!$D$31*L307*Pricing!$B$15*L41</f>
        <v/>
      </c>
      <c r="M319" s="8">
        <f>M185*Pricing!$D$31*M307*Pricing!$B$15*M41</f>
        <v/>
      </c>
      <c r="N319" s="8">
        <f>N185*Pricing!$D$31*N307*Pricing!$B$15*N41</f>
        <v/>
      </c>
      <c r="O319" s="8">
        <f>O185*Pricing!$D$31*O307*Pricing!$B$15*O41</f>
        <v/>
      </c>
      <c r="P319" s="8">
        <f>P185*Pricing!$D$31*P307*Pricing!$B$15*P41</f>
        <v/>
      </c>
      <c r="Q319" s="8">
        <f>Q185*Pricing!$D$31*Q307*Pricing!$B$15*Q41</f>
        <v/>
      </c>
      <c r="R319" s="8">
        <f>R185*Pricing!$D$31*R307*Pricing!$B$15*R41</f>
        <v/>
      </c>
      <c r="S319" s="8">
        <f>S185*Pricing!$D$31*S307*Pricing!$B$15*S41</f>
        <v/>
      </c>
      <c r="T319" s="8">
        <f>T185*Pricing!$D$31*T307*Pricing!$B$15*T41</f>
        <v/>
      </c>
      <c r="U319" s="8">
        <f>U185*Pricing!$D$31*U307*Pricing!$B$15*U41</f>
        <v/>
      </c>
      <c r="V319" s="8">
        <f>V185*Pricing!$D$31*V307*Pricing!$B$15*V41</f>
        <v/>
      </c>
      <c r="W319" s="8">
        <f>W185*Pricing!$D$31*W307*Pricing!$B$15*W41</f>
        <v/>
      </c>
      <c r="X319" s="8">
        <f>X185*Pricing!$D$31*X307*Pricing!$B$15*X41</f>
        <v/>
      </c>
      <c r="Y319" s="8">
        <f>Y185*Pricing!$D$31*Y307*Pricing!$B$15*Y41</f>
        <v/>
      </c>
      <c r="Z319" s="8">
        <f>Z185*Pricing!$D$31*Z307*Pricing!$B$15*Z41</f>
        <v/>
      </c>
      <c r="AA319" s="8">
        <f>AA185*Pricing!$D$31*AA307*Pricing!$B$15*AA41</f>
        <v/>
      </c>
      <c r="AB319" s="8">
        <f>AB185*Pricing!$D$31*AB307*Pricing!$B$15*AB41</f>
        <v/>
      </c>
      <c r="AC319" s="8">
        <f>AC185*Pricing!$D$31*AC307*Pricing!$B$15*AC41</f>
        <v/>
      </c>
      <c r="AD319" s="8">
        <f>AD185*Pricing!$D$31*AD307*Pricing!$B$15*AD41</f>
        <v/>
      </c>
      <c r="AE319" s="8">
        <f>AE185*Pricing!$D$31*AE307*Pricing!$B$15*AE41</f>
        <v/>
      </c>
      <c r="AF319" s="8">
        <f>AF185*Pricing!$D$31*AF307*Pricing!$B$15*AF41</f>
        <v/>
      </c>
      <c r="AG319" s="8">
        <f>AG185*Pricing!$D$31*AG307*Pricing!$B$15*AG41</f>
        <v/>
      </c>
      <c r="AH319" s="8">
        <f>AH185*Pricing!$D$31*AH307*Pricing!$B$15*AH41</f>
        <v/>
      </c>
      <c r="AI319" s="8">
        <f>AI185*Pricing!$D$31*AI307*Pricing!$B$15*AI41</f>
        <v/>
      </c>
      <c r="AJ319" s="8">
        <f>AJ185*Pricing!$D$31*AJ307*Pricing!$B$15*AJ41</f>
        <v/>
      </c>
      <c r="AK319" s="8">
        <f>AK185*Pricing!$D$31*AK307*Pricing!$B$15*AK41</f>
        <v/>
      </c>
      <c r="AL319" s="8">
        <f>AL185*Pricing!$D$31*AL307*Pricing!$B$15*AL41</f>
        <v/>
      </c>
      <c r="AM319" s="8">
        <f>AM185*Pricing!$D$31*AM307*Pricing!$B$15*AM41</f>
        <v/>
      </c>
      <c r="AN319" s="8">
        <f>AN185*Pricing!$D$31*AN307*Pricing!$B$15*AN41</f>
        <v/>
      </c>
      <c r="AO319" s="8">
        <f>AO185*Pricing!$D$31*AO307*Pricing!$B$15*AO41</f>
        <v/>
      </c>
      <c r="AP319" s="8">
        <f>AP185*Pricing!$D$31*AP307*Pricing!$B$15*AP41</f>
        <v/>
      </c>
      <c r="AQ319" s="8">
        <f>AQ185*Pricing!$D$31*AQ307*Pricing!$B$15*AQ41</f>
        <v/>
      </c>
      <c r="AR319" s="8">
        <f>AR185*Pricing!$D$31*AR307*Pricing!$B$15*AR41</f>
        <v/>
      </c>
      <c r="AS319" s="8">
        <f>AS185*Pricing!$D$31*AS307*Pricing!$B$15*AS41</f>
        <v/>
      </c>
      <c r="AT319" s="8">
        <f>AT185*Pricing!$D$31*AT307*Pricing!$B$15*AT41</f>
        <v/>
      </c>
      <c r="AU319" s="8">
        <f>AU185*Pricing!$D$31*AU307*Pricing!$B$15*AU41</f>
        <v/>
      </c>
      <c r="AV319" s="8">
        <f>AV185*Pricing!$D$31*AV307*Pricing!$B$15*AV41</f>
        <v/>
      </c>
      <c r="AW319" s="8">
        <f>AW185*Pricing!$D$31*AW307*Pricing!$B$15*AW41</f>
        <v/>
      </c>
      <c r="AX319" s="8">
        <f>AX185*Pricing!$D$31*AX307*Pricing!$B$15*AX41</f>
        <v/>
      </c>
      <c r="AY319" s="8">
        <f>AY185*Pricing!$D$31*AY307*Pricing!$B$15*AY41</f>
        <v/>
      </c>
      <c r="AZ319" s="8">
        <f>AZ185*Pricing!$D$31*AZ307*Pricing!$B$15*AZ41</f>
        <v/>
      </c>
      <c r="BA319" s="8">
        <f>BA185*Pricing!$D$31*BA307*Pricing!$B$15*BA41</f>
        <v/>
      </c>
      <c r="BB319" s="8">
        <f>BB185*Pricing!$D$31*BB307*Pricing!$B$15*BB41</f>
        <v/>
      </c>
      <c r="BC319" s="8">
        <f>BC185*Pricing!$D$31*BC307*Pricing!$B$15*BC41</f>
        <v/>
      </c>
      <c r="BD319" s="8">
        <f>BD185*Pricing!$D$31*BD307*Pricing!$B$15*BD41</f>
        <v/>
      </c>
      <c r="BE319" s="8">
        <f>BE185*Pricing!$D$31*BE307*Pricing!$B$15*BE41</f>
        <v/>
      </c>
      <c r="BF319" s="8">
        <f>BF185*Pricing!$D$31*BF307*Pricing!$B$15*BF41</f>
        <v/>
      </c>
      <c r="BG319" s="8">
        <f>BG185*Pricing!$D$31*BG307*Pricing!$B$15*BG41</f>
        <v/>
      </c>
      <c r="BH319" s="8">
        <f>BH185*Pricing!$D$31*BH307*Pricing!$B$15*BH41</f>
        <v/>
      </c>
      <c r="BI319" s="8">
        <f>BI185*Pricing!$D$31*BI307*Pricing!$B$15*BI41</f>
        <v/>
      </c>
      <c r="BJ319" s="8">
        <f>BJ185*Pricing!$D$31*BJ307*Pricing!$B$15*BJ41</f>
        <v/>
      </c>
    </row>
    <row r="320">
      <c r="A320" s="4" t="inlineStr">
        <is>
          <t>Gross subscription revenue: Kenya: Solo: Growth (upgraded or direct)</t>
        </is>
      </c>
      <c r="B320" s="17" t="inlineStr">
        <is>
          <t>R</t>
        </is>
      </c>
      <c r="C320" s="8">
        <f>C189*Pricing!$D$32*C307*Pricing!$B$15*C41</f>
        <v/>
      </c>
      <c r="D320" s="8">
        <f>D189*Pricing!$D$32*D307*Pricing!$B$15*D41</f>
        <v/>
      </c>
      <c r="E320" s="8">
        <f>E189*Pricing!$D$32*E307*Pricing!$B$15*E41</f>
        <v/>
      </c>
      <c r="F320" s="8">
        <f>F189*Pricing!$D$32*F307*Pricing!$B$15*F41</f>
        <v/>
      </c>
      <c r="G320" s="8">
        <f>G189*Pricing!$D$32*G307*Pricing!$B$15*G41</f>
        <v/>
      </c>
      <c r="H320" s="8">
        <f>H189*Pricing!$D$32*H307*Pricing!$B$15*H41</f>
        <v/>
      </c>
      <c r="I320" s="8">
        <f>I189*Pricing!$D$32*I307*Pricing!$B$15*I41</f>
        <v/>
      </c>
      <c r="J320" s="8">
        <f>J189*Pricing!$D$32*J307*Pricing!$B$15*J41</f>
        <v/>
      </c>
      <c r="K320" s="8">
        <f>K189*Pricing!$D$32*K307*Pricing!$B$15*K41</f>
        <v/>
      </c>
      <c r="L320" s="8">
        <f>L189*Pricing!$D$32*L307*Pricing!$B$15*L41</f>
        <v/>
      </c>
      <c r="M320" s="8">
        <f>M189*Pricing!$D$32*M307*Pricing!$B$15*M41</f>
        <v/>
      </c>
      <c r="N320" s="8">
        <f>N189*Pricing!$D$32*N307*Pricing!$B$15*N41</f>
        <v/>
      </c>
      <c r="O320" s="8">
        <f>O189*Pricing!$D$32*O307*Pricing!$B$15*O41</f>
        <v/>
      </c>
      <c r="P320" s="8">
        <f>P189*Pricing!$D$32*P307*Pricing!$B$15*P41</f>
        <v/>
      </c>
      <c r="Q320" s="8">
        <f>Q189*Pricing!$D$32*Q307*Pricing!$B$15*Q41</f>
        <v/>
      </c>
      <c r="R320" s="8">
        <f>R189*Pricing!$D$32*R307*Pricing!$B$15*R41</f>
        <v/>
      </c>
      <c r="S320" s="8">
        <f>S189*Pricing!$D$32*S307*Pricing!$B$15*S41</f>
        <v/>
      </c>
      <c r="T320" s="8">
        <f>T189*Pricing!$D$32*T307*Pricing!$B$15*T41</f>
        <v/>
      </c>
      <c r="U320" s="8">
        <f>U189*Pricing!$D$32*U307*Pricing!$B$15*U41</f>
        <v/>
      </c>
      <c r="V320" s="8">
        <f>V189*Pricing!$D$32*V307*Pricing!$B$15*V41</f>
        <v/>
      </c>
      <c r="W320" s="8">
        <f>W189*Pricing!$D$32*W307*Pricing!$B$15*W41</f>
        <v/>
      </c>
      <c r="X320" s="8">
        <f>X189*Pricing!$D$32*X307*Pricing!$B$15*X41</f>
        <v/>
      </c>
      <c r="Y320" s="8">
        <f>Y189*Pricing!$D$32*Y307*Pricing!$B$15*Y41</f>
        <v/>
      </c>
      <c r="Z320" s="8">
        <f>Z189*Pricing!$D$32*Z307*Pricing!$B$15*Z41</f>
        <v/>
      </c>
      <c r="AA320" s="8">
        <f>AA189*Pricing!$D$32*AA307*Pricing!$B$15*AA41</f>
        <v/>
      </c>
      <c r="AB320" s="8">
        <f>AB189*Pricing!$D$32*AB307*Pricing!$B$15*AB41</f>
        <v/>
      </c>
      <c r="AC320" s="8">
        <f>AC189*Pricing!$D$32*AC307*Pricing!$B$15*AC41</f>
        <v/>
      </c>
      <c r="AD320" s="8">
        <f>AD189*Pricing!$D$32*AD307*Pricing!$B$15*AD41</f>
        <v/>
      </c>
      <c r="AE320" s="8">
        <f>AE189*Pricing!$D$32*AE307*Pricing!$B$15*AE41</f>
        <v/>
      </c>
      <c r="AF320" s="8">
        <f>AF189*Pricing!$D$32*AF307*Pricing!$B$15*AF41</f>
        <v/>
      </c>
      <c r="AG320" s="8">
        <f>AG189*Pricing!$D$32*AG307*Pricing!$B$15*AG41</f>
        <v/>
      </c>
      <c r="AH320" s="8">
        <f>AH189*Pricing!$D$32*AH307*Pricing!$B$15*AH41</f>
        <v/>
      </c>
      <c r="AI320" s="8">
        <f>AI189*Pricing!$D$32*AI307*Pricing!$B$15*AI41</f>
        <v/>
      </c>
      <c r="AJ320" s="8">
        <f>AJ189*Pricing!$D$32*AJ307*Pricing!$B$15*AJ41</f>
        <v/>
      </c>
      <c r="AK320" s="8">
        <f>AK189*Pricing!$D$32*AK307*Pricing!$B$15*AK41</f>
        <v/>
      </c>
      <c r="AL320" s="8">
        <f>AL189*Pricing!$D$32*AL307*Pricing!$B$15*AL41</f>
        <v/>
      </c>
      <c r="AM320" s="8">
        <f>AM189*Pricing!$D$32*AM307*Pricing!$B$15*AM41</f>
        <v/>
      </c>
      <c r="AN320" s="8">
        <f>AN189*Pricing!$D$32*AN307*Pricing!$B$15*AN41</f>
        <v/>
      </c>
      <c r="AO320" s="8">
        <f>AO189*Pricing!$D$32*AO307*Pricing!$B$15*AO41</f>
        <v/>
      </c>
      <c r="AP320" s="8">
        <f>AP189*Pricing!$D$32*AP307*Pricing!$B$15*AP41</f>
        <v/>
      </c>
      <c r="AQ320" s="8">
        <f>AQ189*Pricing!$D$32*AQ307*Pricing!$B$15*AQ41</f>
        <v/>
      </c>
      <c r="AR320" s="8">
        <f>AR189*Pricing!$D$32*AR307*Pricing!$B$15*AR41</f>
        <v/>
      </c>
      <c r="AS320" s="8">
        <f>AS189*Pricing!$D$32*AS307*Pricing!$B$15*AS41</f>
        <v/>
      </c>
      <c r="AT320" s="8">
        <f>AT189*Pricing!$D$32*AT307*Pricing!$B$15*AT41</f>
        <v/>
      </c>
      <c r="AU320" s="8">
        <f>AU189*Pricing!$D$32*AU307*Pricing!$B$15*AU41</f>
        <v/>
      </c>
      <c r="AV320" s="8">
        <f>AV189*Pricing!$D$32*AV307*Pricing!$B$15*AV41</f>
        <v/>
      </c>
      <c r="AW320" s="8">
        <f>AW189*Pricing!$D$32*AW307*Pricing!$B$15*AW41</f>
        <v/>
      </c>
      <c r="AX320" s="8">
        <f>AX189*Pricing!$D$32*AX307*Pricing!$B$15*AX41</f>
        <v/>
      </c>
      <c r="AY320" s="8">
        <f>AY189*Pricing!$D$32*AY307*Pricing!$B$15*AY41</f>
        <v/>
      </c>
      <c r="AZ320" s="8">
        <f>AZ189*Pricing!$D$32*AZ307*Pricing!$B$15*AZ41</f>
        <v/>
      </c>
      <c r="BA320" s="8">
        <f>BA189*Pricing!$D$32*BA307*Pricing!$B$15*BA41</f>
        <v/>
      </c>
      <c r="BB320" s="8">
        <f>BB189*Pricing!$D$32*BB307*Pricing!$B$15*BB41</f>
        <v/>
      </c>
      <c r="BC320" s="8">
        <f>BC189*Pricing!$D$32*BC307*Pricing!$B$15*BC41</f>
        <v/>
      </c>
      <c r="BD320" s="8">
        <f>BD189*Pricing!$D$32*BD307*Pricing!$B$15*BD41</f>
        <v/>
      </c>
      <c r="BE320" s="8">
        <f>BE189*Pricing!$D$32*BE307*Pricing!$B$15*BE41</f>
        <v/>
      </c>
      <c r="BF320" s="8">
        <f>BF189*Pricing!$D$32*BF307*Pricing!$B$15*BF41</f>
        <v/>
      </c>
      <c r="BG320" s="8">
        <f>BG189*Pricing!$D$32*BG307*Pricing!$B$15*BG41</f>
        <v/>
      </c>
      <c r="BH320" s="8">
        <f>BH189*Pricing!$D$32*BH307*Pricing!$B$15*BH41</f>
        <v/>
      </c>
      <c r="BI320" s="8">
        <f>BI189*Pricing!$D$32*BI307*Pricing!$B$15*BI41</f>
        <v/>
      </c>
      <c r="BJ320" s="8">
        <f>BJ189*Pricing!$D$32*BJ307*Pricing!$B$15*BJ41</f>
        <v/>
      </c>
    </row>
    <row r="321">
      <c r="A321" s="4" t="inlineStr">
        <is>
          <t>Gross subscription revenue: Kenya: SME: Growth</t>
        </is>
      </c>
      <c r="B321" s="17" t="inlineStr">
        <is>
          <t>R</t>
        </is>
      </c>
      <c r="C321" s="8">
        <f>C194*Pricing!$D$32*C307*Pricing!$B$15*C41</f>
        <v/>
      </c>
      <c r="D321" s="8">
        <f>D194*Pricing!$D$32*D307*Pricing!$B$15*D41</f>
        <v/>
      </c>
      <c r="E321" s="8">
        <f>E194*Pricing!$D$32*E307*Pricing!$B$15*E41</f>
        <v/>
      </c>
      <c r="F321" s="8">
        <f>F194*Pricing!$D$32*F307*Pricing!$B$15*F41</f>
        <v/>
      </c>
      <c r="G321" s="8">
        <f>G194*Pricing!$D$32*G307*Pricing!$B$15*G41</f>
        <v/>
      </c>
      <c r="H321" s="8">
        <f>H194*Pricing!$D$32*H307*Pricing!$B$15*H41</f>
        <v/>
      </c>
      <c r="I321" s="8">
        <f>I194*Pricing!$D$32*I307*Pricing!$B$15*I41</f>
        <v/>
      </c>
      <c r="J321" s="8">
        <f>J194*Pricing!$D$32*J307*Pricing!$B$15*J41</f>
        <v/>
      </c>
      <c r="K321" s="8">
        <f>K194*Pricing!$D$32*K307*Pricing!$B$15*K41</f>
        <v/>
      </c>
      <c r="L321" s="8">
        <f>L194*Pricing!$D$32*L307*Pricing!$B$15*L41</f>
        <v/>
      </c>
      <c r="M321" s="8">
        <f>M194*Pricing!$D$32*M307*Pricing!$B$15*M41</f>
        <v/>
      </c>
      <c r="N321" s="8">
        <f>N194*Pricing!$D$32*N307*Pricing!$B$15*N41</f>
        <v/>
      </c>
      <c r="O321" s="8">
        <f>O194*Pricing!$D$32*O307*Pricing!$B$15*O41</f>
        <v/>
      </c>
      <c r="P321" s="8">
        <f>P194*Pricing!$D$32*P307*Pricing!$B$15*P41</f>
        <v/>
      </c>
      <c r="Q321" s="8">
        <f>Q194*Pricing!$D$32*Q307*Pricing!$B$15*Q41</f>
        <v/>
      </c>
      <c r="R321" s="8">
        <f>R194*Pricing!$D$32*R307*Pricing!$B$15*R41</f>
        <v/>
      </c>
      <c r="S321" s="8">
        <f>S194*Pricing!$D$32*S307*Pricing!$B$15*S41</f>
        <v/>
      </c>
      <c r="T321" s="8">
        <f>T194*Pricing!$D$32*T307*Pricing!$B$15*T41</f>
        <v/>
      </c>
      <c r="U321" s="8">
        <f>U194*Pricing!$D$32*U307*Pricing!$B$15*U41</f>
        <v/>
      </c>
      <c r="V321" s="8">
        <f>V194*Pricing!$D$32*V307*Pricing!$B$15*V41</f>
        <v/>
      </c>
      <c r="W321" s="8">
        <f>W194*Pricing!$D$32*W307*Pricing!$B$15*W41</f>
        <v/>
      </c>
      <c r="X321" s="8">
        <f>X194*Pricing!$D$32*X307*Pricing!$B$15*X41</f>
        <v/>
      </c>
      <c r="Y321" s="8">
        <f>Y194*Pricing!$D$32*Y307*Pricing!$B$15*Y41</f>
        <v/>
      </c>
      <c r="Z321" s="8">
        <f>Z194*Pricing!$D$32*Z307*Pricing!$B$15*Z41</f>
        <v/>
      </c>
      <c r="AA321" s="8">
        <f>AA194*Pricing!$D$32*AA307*Pricing!$B$15*AA41</f>
        <v/>
      </c>
      <c r="AB321" s="8">
        <f>AB194*Pricing!$D$32*AB307*Pricing!$B$15*AB41</f>
        <v/>
      </c>
      <c r="AC321" s="8">
        <f>AC194*Pricing!$D$32*AC307*Pricing!$B$15*AC41</f>
        <v/>
      </c>
      <c r="AD321" s="8">
        <f>AD194*Pricing!$D$32*AD307*Pricing!$B$15*AD41</f>
        <v/>
      </c>
      <c r="AE321" s="8">
        <f>AE194*Pricing!$D$32*AE307*Pricing!$B$15*AE41</f>
        <v/>
      </c>
      <c r="AF321" s="8">
        <f>AF194*Pricing!$D$32*AF307*Pricing!$B$15*AF41</f>
        <v/>
      </c>
      <c r="AG321" s="8">
        <f>AG194*Pricing!$D$32*AG307*Pricing!$B$15*AG41</f>
        <v/>
      </c>
      <c r="AH321" s="8">
        <f>AH194*Pricing!$D$32*AH307*Pricing!$B$15*AH41</f>
        <v/>
      </c>
      <c r="AI321" s="8">
        <f>AI194*Pricing!$D$32*AI307*Pricing!$B$15*AI41</f>
        <v/>
      </c>
      <c r="AJ321" s="8">
        <f>AJ194*Pricing!$D$32*AJ307*Pricing!$B$15*AJ41</f>
        <v/>
      </c>
      <c r="AK321" s="8">
        <f>AK194*Pricing!$D$32*AK307*Pricing!$B$15*AK41</f>
        <v/>
      </c>
      <c r="AL321" s="8">
        <f>AL194*Pricing!$D$32*AL307*Pricing!$B$15*AL41</f>
        <v/>
      </c>
      <c r="AM321" s="8">
        <f>AM194*Pricing!$D$32*AM307*Pricing!$B$15*AM41</f>
        <v/>
      </c>
      <c r="AN321" s="8">
        <f>AN194*Pricing!$D$32*AN307*Pricing!$B$15*AN41</f>
        <v/>
      </c>
      <c r="AO321" s="8">
        <f>AO194*Pricing!$D$32*AO307*Pricing!$B$15*AO41</f>
        <v/>
      </c>
      <c r="AP321" s="8">
        <f>AP194*Pricing!$D$32*AP307*Pricing!$B$15*AP41</f>
        <v/>
      </c>
      <c r="AQ321" s="8">
        <f>AQ194*Pricing!$D$32*AQ307*Pricing!$B$15*AQ41</f>
        <v/>
      </c>
      <c r="AR321" s="8">
        <f>AR194*Pricing!$D$32*AR307*Pricing!$B$15*AR41</f>
        <v/>
      </c>
      <c r="AS321" s="8">
        <f>AS194*Pricing!$D$32*AS307*Pricing!$B$15*AS41</f>
        <v/>
      </c>
      <c r="AT321" s="8">
        <f>AT194*Pricing!$D$32*AT307*Pricing!$B$15*AT41</f>
        <v/>
      </c>
      <c r="AU321" s="8">
        <f>AU194*Pricing!$D$32*AU307*Pricing!$B$15*AU41</f>
        <v/>
      </c>
      <c r="AV321" s="8">
        <f>AV194*Pricing!$D$32*AV307*Pricing!$B$15*AV41</f>
        <v/>
      </c>
      <c r="AW321" s="8">
        <f>AW194*Pricing!$D$32*AW307*Pricing!$B$15*AW41</f>
        <v/>
      </c>
      <c r="AX321" s="8">
        <f>AX194*Pricing!$D$32*AX307*Pricing!$B$15*AX41</f>
        <v/>
      </c>
      <c r="AY321" s="8">
        <f>AY194*Pricing!$D$32*AY307*Pricing!$B$15*AY41</f>
        <v/>
      </c>
      <c r="AZ321" s="8">
        <f>AZ194*Pricing!$D$32*AZ307*Pricing!$B$15*AZ41</f>
        <v/>
      </c>
      <c r="BA321" s="8">
        <f>BA194*Pricing!$D$32*BA307*Pricing!$B$15*BA41</f>
        <v/>
      </c>
      <c r="BB321" s="8">
        <f>BB194*Pricing!$D$32*BB307*Pricing!$B$15*BB41</f>
        <v/>
      </c>
      <c r="BC321" s="8">
        <f>BC194*Pricing!$D$32*BC307*Pricing!$B$15*BC41</f>
        <v/>
      </c>
      <c r="BD321" s="8">
        <f>BD194*Pricing!$D$32*BD307*Pricing!$B$15*BD41</f>
        <v/>
      </c>
      <c r="BE321" s="8">
        <f>BE194*Pricing!$D$32*BE307*Pricing!$B$15*BE41</f>
        <v/>
      </c>
      <c r="BF321" s="8">
        <f>BF194*Pricing!$D$32*BF307*Pricing!$B$15*BF41</f>
        <v/>
      </c>
      <c r="BG321" s="8">
        <f>BG194*Pricing!$D$32*BG307*Pricing!$B$15*BG41</f>
        <v/>
      </c>
      <c r="BH321" s="8">
        <f>BH194*Pricing!$D$32*BH307*Pricing!$B$15*BH41</f>
        <v/>
      </c>
      <c r="BI321" s="8">
        <f>BI194*Pricing!$D$32*BI307*Pricing!$B$15*BI41</f>
        <v/>
      </c>
      <c r="BJ321" s="8">
        <f>BJ194*Pricing!$D$32*BJ307*Pricing!$B$15*BJ41</f>
        <v/>
      </c>
    </row>
    <row r="322">
      <c r="A322" s="4" t="inlineStr">
        <is>
          <t>Gross subscription revenue: Kenya: SME: Scale (upgraded or direct)</t>
        </is>
      </c>
      <c r="B322" s="17" t="inlineStr">
        <is>
          <t>R</t>
        </is>
      </c>
      <c r="C322" s="8">
        <f>C198*Pricing!$D$33*C307*Pricing!$B$15*C41</f>
        <v/>
      </c>
      <c r="D322" s="8">
        <f>D198*Pricing!$D$33*D307*Pricing!$B$15*D41</f>
        <v/>
      </c>
      <c r="E322" s="8">
        <f>E198*Pricing!$D$33*E307*Pricing!$B$15*E41</f>
        <v/>
      </c>
      <c r="F322" s="8">
        <f>F198*Pricing!$D$33*F307*Pricing!$B$15*F41</f>
        <v/>
      </c>
      <c r="G322" s="8">
        <f>G198*Pricing!$D$33*G307*Pricing!$B$15*G41</f>
        <v/>
      </c>
      <c r="H322" s="8">
        <f>H198*Pricing!$D$33*H307*Pricing!$B$15*H41</f>
        <v/>
      </c>
      <c r="I322" s="8">
        <f>I198*Pricing!$D$33*I307*Pricing!$B$15*I41</f>
        <v/>
      </c>
      <c r="J322" s="8">
        <f>J198*Pricing!$D$33*J307*Pricing!$B$15*J41</f>
        <v/>
      </c>
      <c r="K322" s="8">
        <f>K198*Pricing!$D$33*K307*Pricing!$B$15*K41</f>
        <v/>
      </c>
      <c r="L322" s="8">
        <f>L198*Pricing!$D$33*L307*Pricing!$B$15*L41</f>
        <v/>
      </c>
      <c r="M322" s="8">
        <f>M198*Pricing!$D$33*M307*Pricing!$B$15*M41</f>
        <v/>
      </c>
      <c r="N322" s="8">
        <f>N198*Pricing!$D$33*N307*Pricing!$B$15*N41</f>
        <v/>
      </c>
      <c r="O322" s="8">
        <f>O198*Pricing!$D$33*O307*Pricing!$B$15*O41</f>
        <v/>
      </c>
      <c r="P322" s="8">
        <f>P198*Pricing!$D$33*P307*Pricing!$B$15*P41</f>
        <v/>
      </c>
      <c r="Q322" s="8">
        <f>Q198*Pricing!$D$33*Q307*Pricing!$B$15*Q41</f>
        <v/>
      </c>
      <c r="R322" s="8">
        <f>R198*Pricing!$D$33*R307*Pricing!$B$15*R41</f>
        <v/>
      </c>
      <c r="S322" s="8">
        <f>S198*Pricing!$D$33*S307*Pricing!$B$15*S41</f>
        <v/>
      </c>
      <c r="T322" s="8">
        <f>T198*Pricing!$D$33*T307*Pricing!$B$15*T41</f>
        <v/>
      </c>
      <c r="U322" s="8">
        <f>U198*Pricing!$D$33*U307*Pricing!$B$15*U41</f>
        <v/>
      </c>
      <c r="V322" s="8">
        <f>V198*Pricing!$D$33*V307*Pricing!$B$15*V41</f>
        <v/>
      </c>
      <c r="W322" s="8">
        <f>W198*Pricing!$D$33*W307*Pricing!$B$15*W41</f>
        <v/>
      </c>
      <c r="X322" s="8">
        <f>X198*Pricing!$D$33*X307*Pricing!$B$15*X41</f>
        <v/>
      </c>
      <c r="Y322" s="8">
        <f>Y198*Pricing!$D$33*Y307*Pricing!$B$15*Y41</f>
        <v/>
      </c>
      <c r="Z322" s="8">
        <f>Z198*Pricing!$D$33*Z307*Pricing!$B$15*Z41</f>
        <v/>
      </c>
      <c r="AA322" s="8">
        <f>AA198*Pricing!$D$33*AA307*Pricing!$B$15*AA41</f>
        <v/>
      </c>
      <c r="AB322" s="8">
        <f>AB198*Pricing!$D$33*AB307*Pricing!$B$15*AB41</f>
        <v/>
      </c>
      <c r="AC322" s="8">
        <f>AC198*Pricing!$D$33*AC307*Pricing!$B$15*AC41</f>
        <v/>
      </c>
      <c r="AD322" s="8">
        <f>AD198*Pricing!$D$33*AD307*Pricing!$B$15*AD41</f>
        <v/>
      </c>
      <c r="AE322" s="8">
        <f>AE198*Pricing!$D$33*AE307*Pricing!$B$15*AE41</f>
        <v/>
      </c>
      <c r="AF322" s="8">
        <f>AF198*Pricing!$D$33*AF307*Pricing!$B$15*AF41</f>
        <v/>
      </c>
      <c r="AG322" s="8">
        <f>AG198*Pricing!$D$33*AG307*Pricing!$B$15*AG41</f>
        <v/>
      </c>
      <c r="AH322" s="8">
        <f>AH198*Pricing!$D$33*AH307*Pricing!$B$15*AH41</f>
        <v/>
      </c>
      <c r="AI322" s="8">
        <f>AI198*Pricing!$D$33*AI307*Pricing!$B$15*AI41</f>
        <v/>
      </c>
      <c r="AJ322" s="8">
        <f>AJ198*Pricing!$D$33*AJ307*Pricing!$B$15*AJ41</f>
        <v/>
      </c>
      <c r="AK322" s="8">
        <f>AK198*Pricing!$D$33*AK307*Pricing!$B$15*AK41</f>
        <v/>
      </c>
      <c r="AL322" s="8">
        <f>AL198*Pricing!$D$33*AL307*Pricing!$B$15*AL41</f>
        <v/>
      </c>
      <c r="AM322" s="8">
        <f>AM198*Pricing!$D$33*AM307*Pricing!$B$15*AM41</f>
        <v/>
      </c>
      <c r="AN322" s="8">
        <f>AN198*Pricing!$D$33*AN307*Pricing!$B$15*AN41</f>
        <v/>
      </c>
      <c r="AO322" s="8">
        <f>AO198*Pricing!$D$33*AO307*Pricing!$B$15*AO41</f>
        <v/>
      </c>
      <c r="AP322" s="8">
        <f>AP198*Pricing!$D$33*AP307*Pricing!$B$15*AP41</f>
        <v/>
      </c>
      <c r="AQ322" s="8">
        <f>AQ198*Pricing!$D$33*AQ307*Pricing!$B$15*AQ41</f>
        <v/>
      </c>
      <c r="AR322" s="8">
        <f>AR198*Pricing!$D$33*AR307*Pricing!$B$15*AR41</f>
        <v/>
      </c>
      <c r="AS322" s="8">
        <f>AS198*Pricing!$D$33*AS307*Pricing!$B$15*AS41</f>
        <v/>
      </c>
      <c r="AT322" s="8">
        <f>AT198*Pricing!$D$33*AT307*Pricing!$B$15*AT41</f>
        <v/>
      </c>
      <c r="AU322" s="8">
        <f>AU198*Pricing!$D$33*AU307*Pricing!$B$15*AU41</f>
        <v/>
      </c>
      <c r="AV322" s="8">
        <f>AV198*Pricing!$D$33*AV307*Pricing!$B$15*AV41</f>
        <v/>
      </c>
      <c r="AW322" s="8">
        <f>AW198*Pricing!$D$33*AW307*Pricing!$B$15*AW41</f>
        <v/>
      </c>
      <c r="AX322" s="8">
        <f>AX198*Pricing!$D$33*AX307*Pricing!$B$15*AX41</f>
        <v/>
      </c>
      <c r="AY322" s="8">
        <f>AY198*Pricing!$D$33*AY307*Pricing!$B$15*AY41</f>
        <v/>
      </c>
      <c r="AZ322" s="8">
        <f>AZ198*Pricing!$D$33*AZ307*Pricing!$B$15*AZ41</f>
        <v/>
      </c>
      <c r="BA322" s="8">
        <f>BA198*Pricing!$D$33*BA307*Pricing!$B$15*BA41</f>
        <v/>
      </c>
      <c r="BB322" s="8">
        <f>BB198*Pricing!$D$33*BB307*Pricing!$B$15*BB41</f>
        <v/>
      </c>
      <c r="BC322" s="8">
        <f>BC198*Pricing!$D$33*BC307*Pricing!$B$15*BC41</f>
        <v/>
      </c>
      <c r="BD322" s="8">
        <f>BD198*Pricing!$D$33*BD307*Pricing!$B$15*BD41</f>
        <v/>
      </c>
      <c r="BE322" s="8">
        <f>BE198*Pricing!$D$33*BE307*Pricing!$B$15*BE41</f>
        <v/>
      </c>
      <c r="BF322" s="8">
        <f>BF198*Pricing!$D$33*BF307*Pricing!$B$15*BF41</f>
        <v/>
      </c>
      <c r="BG322" s="8">
        <f>BG198*Pricing!$D$33*BG307*Pricing!$B$15*BG41</f>
        <v/>
      </c>
      <c r="BH322" s="8">
        <f>BH198*Pricing!$D$33*BH307*Pricing!$B$15*BH41</f>
        <v/>
      </c>
      <c r="BI322" s="8">
        <f>BI198*Pricing!$D$33*BI307*Pricing!$B$15*BI41</f>
        <v/>
      </c>
      <c r="BJ322" s="8">
        <f>BJ198*Pricing!$D$33*BJ307*Pricing!$B$15*BJ41</f>
        <v/>
      </c>
    </row>
    <row r="323">
      <c r="A323" s="4" t="inlineStr">
        <is>
          <t>Gross subscription revenue: Kenya: Agency / partner: Agency tier</t>
        </is>
      </c>
      <c r="B323" s="17" t="inlineStr">
        <is>
          <t>R</t>
        </is>
      </c>
      <c r="C323" s="8">
        <f>C202*(Pricing!$B$16*Pricing!$D$36+(1-Pricing!$B$16)*Pricing!$D$34)*C307*Pricing!$B$15*C41</f>
        <v/>
      </c>
      <c r="D323" s="8">
        <f>D202*(Pricing!$B$16*Pricing!$D$36+(1-Pricing!$B$16)*Pricing!$D$34)*D307*Pricing!$B$15*D41</f>
        <v/>
      </c>
      <c r="E323" s="8">
        <f>E202*(Pricing!$B$16*Pricing!$D$36+(1-Pricing!$B$16)*Pricing!$D$34)*E307*Pricing!$B$15*E41</f>
        <v/>
      </c>
      <c r="F323" s="8">
        <f>F202*(Pricing!$B$16*Pricing!$D$36+(1-Pricing!$B$16)*Pricing!$D$34)*F307*Pricing!$B$15*F41</f>
        <v/>
      </c>
      <c r="G323" s="8">
        <f>G202*(Pricing!$B$16*Pricing!$D$36+(1-Pricing!$B$16)*Pricing!$D$34)*G307*Pricing!$B$15*G41</f>
        <v/>
      </c>
      <c r="H323" s="8">
        <f>H202*(Pricing!$B$16*Pricing!$D$36+(1-Pricing!$B$16)*Pricing!$D$34)*H307*Pricing!$B$15*H41</f>
        <v/>
      </c>
      <c r="I323" s="8">
        <f>I202*(Pricing!$B$16*Pricing!$D$36+(1-Pricing!$B$16)*Pricing!$D$34)*I307*Pricing!$B$15*I41</f>
        <v/>
      </c>
      <c r="J323" s="8">
        <f>J202*(Pricing!$B$16*Pricing!$D$36+(1-Pricing!$B$16)*Pricing!$D$34)*J307*Pricing!$B$15*J41</f>
        <v/>
      </c>
      <c r="K323" s="8">
        <f>K202*(Pricing!$B$16*Pricing!$D$36+(1-Pricing!$B$16)*Pricing!$D$34)*K307*Pricing!$B$15*K41</f>
        <v/>
      </c>
      <c r="L323" s="8">
        <f>L202*(Pricing!$B$16*Pricing!$D$36+(1-Pricing!$B$16)*Pricing!$D$34)*L307*Pricing!$B$15*L41</f>
        <v/>
      </c>
      <c r="M323" s="8">
        <f>M202*(Pricing!$B$16*Pricing!$D$36+(1-Pricing!$B$16)*Pricing!$D$34)*M307*Pricing!$B$15*M41</f>
        <v/>
      </c>
      <c r="N323" s="8">
        <f>N202*(Pricing!$B$16*Pricing!$D$36+(1-Pricing!$B$16)*Pricing!$D$34)*N307*Pricing!$B$15*N41</f>
        <v/>
      </c>
      <c r="O323" s="8">
        <f>O202*(Pricing!$B$16*Pricing!$D$36+(1-Pricing!$B$16)*Pricing!$D$34)*O307*Pricing!$B$15*O41</f>
        <v/>
      </c>
      <c r="P323" s="8">
        <f>P202*(Pricing!$B$16*Pricing!$D$36+(1-Pricing!$B$16)*Pricing!$D$34)*P307*Pricing!$B$15*P41</f>
        <v/>
      </c>
      <c r="Q323" s="8">
        <f>Q202*(Pricing!$B$16*Pricing!$D$36+(1-Pricing!$B$16)*Pricing!$D$34)*Q307*Pricing!$B$15*Q41</f>
        <v/>
      </c>
      <c r="R323" s="8">
        <f>R202*(Pricing!$B$16*Pricing!$D$36+(1-Pricing!$B$16)*Pricing!$D$34)*R307*Pricing!$B$15*R41</f>
        <v/>
      </c>
      <c r="S323" s="8">
        <f>S202*(Pricing!$B$16*Pricing!$D$36+(1-Pricing!$B$16)*Pricing!$D$34)*S307*Pricing!$B$15*S41</f>
        <v/>
      </c>
      <c r="T323" s="8">
        <f>T202*(Pricing!$B$16*Pricing!$D$36+(1-Pricing!$B$16)*Pricing!$D$34)*T307*Pricing!$B$15*T41</f>
        <v/>
      </c>
      <c r="U323" s="8">
        <f>U202*(Pricing!$B$16*Pricing!$D$36+(1-Pricing!$B$16)*Pricing!$D$34)*U307*Pricing!$B$15*U41</f>
        <v/>
      </c>
      <c r="V323" s="8">
        <f>V202*(Pricing!$B$16*Pricing!$D$36+(1-Pricing!$B$16)*Pricing!$D$34)*V307*Pricing!$B$15*V41</f>
        <v/>
      </c>
      <c r="W323" s="8">
        <f>W202*(Pricing!$B$16*Pricing!$D$36+(1-Pricing!$B$16)*Pricing!$D$34)*W307*Pricing!$B$15*W41</f>
        <v/>
      </c>
      <c r="X323" s="8">
        <f>X202*(Pricing!$B$16*Pricing!$D$36+(1-Pricing!$B$16)*Pricing!$D$34)*X307*Pricing!$B$15*X41</f>
        <v/>
      </c>
      <c r="Y323" s="8">
        <f>Y202*(Pricing!$B$16*Pricing!$D$36+(1-Pricing!$B$16)*Pricing!$D$34)*Y307*Pricing!$B$15*Y41</f>
        <v/>
      </c>
      <c r="Z323" s="8">
        <f>Z202*(Pricing!$B$16*Pricing!$D$36+(1-Pricing!$B$16)*Pricing!$D$34)*Z307*Pricing!$B$15*Z41</f>
        <v/>
      </c>
      <c r="AA323" s="8">
        <f>AA202*(Pricing!$B$16*Pricing!$D$36+(1-Pricing!$B$16)*Pricing!$D$34)*AA307*Pricing!$B$15*AA41</f>
        <v/>
      </c>
      <c r="AB323" s="8">
        <f>AB202*(Pricing!$B$16*Pricing!$D$36+(1-Pricing!$B$16)*Pricing!$D$34)*AB307*Pricing!$B$15*AB41</f>
        <v/>
      </c>
      <c r="AC323" s="8">
        <f>AC202*(Pricing!$B$16*Pricing!$D$36+(1-Pricing!$B$16)*Pricing!$D$34)*AC307*Pricing!$B$15*AC41</f>
        <v/>
      </c>
      <c r="AD323" s="8">
        <f>AD202*(Pricing!$B$16*Pricing!$D$36+(1-Pricing!$B$16)*Pricing!$D$34)*AD307*Pricing!$B$15*AD41</f>
        <v/>
      </c>
      <c r="AE323" s="8">
        <f>AE202*(Pricing!$B$16*Pricing!$D$36+(1-Pricing!$B$16)*Pricing!$D$34)*AE307*Pricing!$B$15*AE41</f>
        <v/>
      </c>
      <c r="AF323" s="8">
        <f>AF202*(Pricing!$B$16*Pricing!$D$36+(1-Pricing!$B$16)*Pricing!$D$34)*AF307*Pricing!$B$15*AF41</f>
        <v/>
      </c>
      <c r="AG323" s="8">
        <f>AG202*(Pricing!$B$16*Pricing!$D$36+(1-Pricing!$B$16)*Pricing!$D$34)*AG307*Pricing!$B$15*AG41</f>
        <v/>
      </c>
      <c r="AH323" s="8">
        <f>AH202*(Pricing!$B$16*Pricing!$D$36+(1-Pricing!$B$16)*Pricing!$D$34)*AH307*Pricing!$B$15*AH41</f>
        <v/>
      </c>
      <c r="AI323" s="8">
        <f>AI202*(Pricing!$B$16*Pricing!$D$36+(1-Pricing!$B$16)*Pricing!$D$34)*AI307*Pricing!$B$15*AI41</f>
        <v/>
      </c>
      <c r="AJ323" s="8">
        <f>AJ202*(Pricing!$B$16*Pricing!$D$36+(1-Pricing!$B$16)*Pricing!$D$34)*AJ307*Pricing!$B$15*AJ41</f>
        <v/>
      </c>
      <c r="AK323" s="8">
        <f>AK202*(Pricing!$B$16*Pricing!$D$36+(1-Pricing!$B$16)*Pricing!$D$34)*AK307*Pricing!$B$15*AK41</f>
        <v/>
      </c>
      <c r="AL323" s="8">
        <f>AL202*(Pricing!$B$16*Pricing!$D$36+(1-Pricing!$B$16)*Pricing!$D$34)*AL307*Pricing!$B$15*AL41</f>
        <v/>
      </c>
      <c r="AM323" s="8">
        <f>AM202*(Pricing!$B$16*Pricing!$D$36+(1-Pricing!$B$16)*Pricing!$D$34)*AM307*Pricing!$B$15*AM41</f>
        <v/>
      </c>
      <c r="AN323" s="8">
        <f>AN202*(Pricing!$B$16*Pricing!$D$36+(1-Pricing!$B$16)*Pricing!$D$34)*AN307*Pricing!$B$15*AN41</f>
        <v/>
      </c>
      <c r="AO323" s="8">
        <f>AO202*(Pricing!$B$16*Pricing!$D$36+(1-Pricing!$B$16)*Pricing!$D$34)*AO307*Pricing!$B$15*AO41</f>
        <v/>
      </c>
      <c r="AP323" s="8">
        <f>AP202*(Pricing!$B$16*Pricing!$D$36+(1-Pricing!$B$16)*Pricing!$D$34)*AP307*Pricing!$B$15*AP41</f>
        <v/>
      </c>
      <c r="AQ323" s="8">
        <f>AQ202*(Pricing!$B$16*Pricing!$D$36+(1-Pricing!$B$16)*Pricing!$D$34)*AQ307*Pricing!$B$15*AQ41</f>
        <v/>
      </c>
      <c r="AR323" s="8">
        <f>AR202*(Pricing!$B$16*Pricing!$D$36+(1-Pricing!$B$16)*Pricing!$D$34)*AR307*Pricing!$B$15*AR41</f>
        <v/>
      </c>
      <c r="AS323" s="8">
        <f>AS202*(Pricing!$B$16*Pricing!$D$36+(1-Pricing!$B$16)*Pricing!$D$34)*AS307*Pricing!$B$15*AS41</f>
        <v/>
      </c>
      <c r="AT323" s="8">
        <f>AT202*(Pricing!$B$16*Pricing!$D$36+(1-Pricing!$B$16)*Pricing!$D$34)*AT307*Pricing!$B$15*AT41</f>
        <v/>
      </c>
      <c r="AU323" s="8">
        <f>AU202*(Pricing!$B$16*Pricing!$D$36+(1-Pricing!$B$16)*Pricing!$D$34)*AU307*Pricing!$B$15*AU41</f>
        <v/>
      </c>
      <c r="AV323" s="8">
        <f>AV202*(Pricing!$B$16*Pricing!$D$36+(1-Pricing!$B$16)*Pricing!$D$34)*AV307*Pricing!$B$15*AV41</f>
        <v/>
      </c>
      <c r="AW323" s="8">
        <f>AW202*(Pricing!$B$16*Pricing!$D$36+(1-Pricing!$B$16)*Pricing!$D$34)*AW307*Pricing!$B$15*AW41</f>
        <v/>
      </c>
      <c r="AX323" s="8">
        <f>AX202*(Pricing!$B$16*Pricing!$D$36+(1-Pricing!$B$16)*Pricing!$D$34)*AX307*Pricing!$B$15*AX41</f>
        <v/>
      </c>
      <c r="AY323" s="8">
        <f>AY202*(Pricing!$B$16*Pricing!$D$36+(1-Pricing!$B$16)*Pricing!$D$34)*AY307*Pricing!$B$15*AY41</f>
        <v/>
      </c>
      <c r="AZ323" s="8">
        <f>AZ202*(Pricing!$B$16*Pricing!$D$36+(1-Pricing!$B$16)*Pricing!$D$34)*AZ307*Pricing!$B$15*AZ41</f>
        <v/>
      </c>
      <c r="BA323" s="8">
        <f>BA202*(Pricing!$B$16*Pricing!$D$36+(1-Pricing!$B$16)*Pricing!$D$34)*BA307*Pricing!$B$15*BA41</f>
        <v/>
      </c>
      <c r="BB323" s="8">
        <f>BB202*(Pricing!$B$16*Pricing!$D$36+(1-Pricing!$B$16)*Pricing!$D$34)*BB307*Pricing!$B$15*BB41</f>
        <v/>
      </c>
      <c r="BC323" s="8">
        <f>BC202*(Pricing!$B$16*Pricing!$D$36+(1-Pricing!$B$16)*Pricing!$D$34)*BC307*Pricing!$B$15*BC41</f>
        <v/>
      </c>
      <c r="BD323" s="8">
        <f>BD202*(Pricing!$B$16*Pricing!$D$36+(1-Pricing!$B$16)*Pricing!$D$34)*BD307*Pricing!$B$15*BD41</f>
        <v/>
      </c>
      <c r="BE323" s="8">
        <f>BE202*(Pricing!$B$16*Pricing!$D$36+(1-Pricing!$B$16)*Pricing!$D$34)*BE307*Pricing!$B$15*BE41</f>
        <v/>
      </c>
      <c r="BF323" s="8">
        <f>BF202*(Pricing!$B$16*Pricing!$D$36+(1-Pricing!$B$16)*Pricing!$D$34)*BF307*Pricing!$B$15*BF41</f>
        <v/>
      </c>
      <c r="BG323" s="8">
        <f>BG202*(Pricing!$B$16*Pricing!$D$36+(1-Pricing!$B$16)*Pricing!$D$34)*BG307*Pricing!$B$15*BG41</f>
        <v/>
      </c>
      <c r="BH323" s="8">
        <f>BH202*(Pricing!$B$16*Pricing!$D$36+(1-Pricing!$B$16)*Pricing!$D$34)*BH307*Pricing!$B$15*BH41</f>
        <v/>
      </c>
      <c r="BI323" s="8">
        <f>BI202*(Pricing!$B$16*Pricing!$D$36+(1-Pricing!$B$16)*Pricing!$D$34)*BI307*Pricing!$B$15*BI41</f>
        <v/>
      </c>
      <c r="BJ323" s="8">
        <f>BJ202*(Pricing!$B$16*Pricing!$D$36+(1-Pricing!$B$16)*Pricing!$D$34)*BJ307*Pricing!$B$15*BJ41</f>
        <v/>
      </c>
    </row>
    <row r="324">
      <c r="A324" s="4" t="inlineStr">
        <is>
          <t>Gross subscription revenue: Ghana: Solo: Starter</t>
        </is>
      </c>
      <c r="B324" s="17" t="inlineStr">
        <is>
          <t>R</t>
        </is>
      </c>
      <c r="C324" s="8">
        <f>C207*Pricing!$E$31*C307*Pricing!$B$15*C44</f>
        <v/>
      </c>
      <c r="D324" s="8">
        <f>D207*Pricing!$E$31*D307*Pricing!$B$15*D44</f>
        <v/>
      </c>
      <c r="E324" s="8">
        <f>E207*Pricing!$E$31*E307*Pricing!$B$15*E44</f>
        <v/>
      </c>
      <c r="F324" s="8">
        <f>F207*Pricing!$E$31*F307*Pricing!$B$15*F44</f>
        <v/>
      </c>
      <c r="G324" s="8">
        <f>G207*Pricing!$E$31*G307*Pricing!$B$15*G44</f>
        <v/>
      </c>
      <c r="H324" s="8">
        <f>H207*Pricing!$E$31*H307*Pricing!$B$15*H44</f>
        <v/>
      </c>
      <c r="I324" s="8">
        <f>I207*Pricing!$E$31*I307*Pricing!$B$15*I44</f>
        <v/>
      </c>
      <c r="J324" s="8">
        <f>J207*Pricing!$E$31*J307*Pricing!$B$15*J44</f>
        <v/>
      </c>
      <c r="K324" s="8">
        <f>K207*Pricing!$E$31*K307*Pricing!$B$15*K44</f>
        <v/>
      </c>
      <c r="L324" s="8">
        <f>L207*Pricing!$E$31*L307*Pricing!$B$15*L44</f>
        <v/>
      </c>
      <c r="M324" s="8">
        <f>M207*Pricing!$E$31*M307*Pricing!$B$15*M44</f>
        <v/>
      </c>
      <c r="N324" s="8">
        <f>N207*Pricing!$E$31*N307*Pricing!$B$15*N44</f>
        <v/>
      </c>
      <c r="O324" s="8">
        <f>O207*Pricing!$E$31*O307*Pricing!$B$15*O44</f>
        <v/>
      </c>
      <c r="P324" s="8">
        <f>P207*Pricing!$E$31*P307*Pricing!$B$15*P44</f>
        <v/>
      </c>
      <c r="Q324" s="8">
        <f>Q207*Pricing!$E$31*Q307*Pricing!$B$15*Q44</f>
        <v/>
      </c>
      <c r="R324" s="8">
        <f>R207*Pricing!$E$31*R307*Pricing!$B$15*R44</f>
        <v/>
      </c>
      <c r="S324" s="8">
        <f>S207*Pricing!$E$31*S307*Pricing!$B$15*S44</f>
        <v/>
      </c>
      <c r="T324" s="8">
        <f>T207*Pricing!$E$31*T307*Pricing!$B$15*T44</f>
        <v/>
      </c>
      <c r="U324" s="8">
        <f>U207*Pricing!$E$31*U307*Pricing!$B$15*U44</f>
        <v/>
      </c>
      <c r="V324" s="8">
        <f>V207*Pricing!$E$31*V307*Pricing!$B$15*V44</f>
        <v/>
      </c>
      <c r="W324" s="8">
        <f>W207*Pricing!$E$31*W307*Pricing!$B$15*W44</f>
        <v/>
      </c>
      <c r="X324" s="8">
        <f>X207*Pricing!$E$31*X307*Pricing!$B$15*X44</f>
        <v/>
      </c>
      <c r="Y324" s="8">
        <f>Y207*Pricing!$E$31*Y307*Pricing!$B$15*Y44</f>
        <v/>
      </c>
      <c r="Z324" s="8">
        <f>Z207*Pricing!$E$31*Z307*Pricing!$B$15*Z44</f>
        <v/>
      </c>
      <c r="AA324" s="8">
        <f>AA207*Pricing!$E$31*AA307*Pricing!$B$15*AA44</f>
        <v/>
      </c>
      <c r="AB324" s="8">
        <f>AB207*Pricing!$E$31*AB307*Pricing!$B$15*AB44</f>
        <v/>
      </c>
      <c r="AC324" s="8">
        <f>AC207*Pricing!$E$31*AC307*Pricing!$B$15*AC44</f>
        <v/>
      </c>
      <c r="AD324" s="8">
        <f>AD207*Pricing!$E$31*AD307*Pricing!$B$15*AD44</f>
        <v/>
      </c>
      <c r="AE324" s="8">
        <f>AE207*Pricing!$E$31*AE307*Pricing!$B$15*AE44</f>
        <v/>
      </c>
      <c r="AF324" s="8">
        <f>AF207*Pricing!$E$31*AF307*Pricing!$B$15*AF44</f>
        <v/>
      </c>
      <c r="AG324" s="8">
        <f>AG207*Pricing!$E$31*AG307*Pricing!$B$15*AG44</f>
        <v/>
      </c>
      <c r="AH324" s="8">
        <f>AH207*Pricing!$E$31*AH307*Pricing!$B$15*AH44</f>
        <v/>
      </c>
      <c r="AI324" s="8">
        <f>AI207*Pricing!$E$31*AI307*Pricing!$B$15*AI44</f>
        <v/>
      </c>
      <c r="AJ324" s="8">
        <f>AJ207*Pricing!$E$31*AJ307*Pricing!$B$15*AJ44</f>
        <v/>
      </c>
      <c r="AK324" s="8">
        <f>AK207*Pricing!$E$31*AK307*Pricing!$B$15*AK44</f>
        <v/>
      </c>
      <c r="AL324" s="8">
        <f>AL207*Pricing!$E$31*AL307*Pricing!$B$15*AL44</f>
        <v/>
      </c>
      <c r="AM324" s="8">
        <f>AM207*Pricing!$E$31*AM307*Pricing!$B$15*AM44</f>
        <v/>
      </c>
      <c r="AN324" s="8">
        <f>AN207*Pricing!$E$31*AN307*Pricing!$B$15*AN44</f>
        <v/>
      </c>
      <c r="AO324" s="8">
        <f>AO207*Pricing!$E$31*AO307*Pricing!$B$15*AO44</f>
        <v/>
      </c>
      <c r="AP324" s="8">
        <f>AP207*Pricing!$E$31*AP307*Pricing!$B$15*AP44</f>
        <v/>
      </c>
      <c r="AQ324" s="8">
        <f>AQ207*Pricing!$E$31*AQ307*Pricing!$B$15*AQ44</f>
        <v/>
      </c>
      <c r="AR324" s="8">
        <f>AR207*Pricing!$E$31*AR307*Pricing!$B$15*AR44</f>
        <v/>
      </c>
      <c r="AS324" s="8">
        <f>AS207*Pricing!$E$31*AS307*Pricing!$B$15*AS44</f>
        <v/>
      </c>
      <c r="AT324" s="8">
        <f>AT207*Pricing!$E$31*AT307*Pricing!$B$15*AT44</f>
        <v/>
      </c>
      <c r="AU324" s="8">
        <f>AU207*Pricing!$E$31*AU307*Pricing!$B$15*AU44</f>
        <v/>
      </c>
      <c r="AV324" s="8">
        <f>AV207*Pricing!$E$31*AV307*Pricing!$B$15*AV44</f>
        <v/>
      </c>
      <c r="AW324" s="8">
        <f>AW207*Pricing!$E$31*AW307*Pricing!$B$15*AW44</f>
        <v/>
      </c>
      <c r="AX324" s="8">
        <f>AX207*Pricing!$E$31*AX307*Pricing!$B$15*AX44</f>
        <v/>
      </c>
      <c r="AY324" s="8">
        <f>AY207*Pricing!$E$31*AY307*Pricing!$B$15*AY44</f>
        <v/>
      </c>
      <c r="AZ324" s="8">
        <f>AZ207*Pricing!$E$31*AZ307*Pricing!$B$15*AZ44</f>
        <v/>
      </c>
      <c r="BA324" s="8">
        <f>BA207*Pricing!$E$31*BA307*Pricing!$B$15*BA44</f>
        <v/>
      </c>
      <c r="BB324" s="8">
        <f>BB207*Pricing!$E$31*BB307*Pricing!$B$15*BB44</f>
        <v/>
      </c>
      <c r="BC324" s="8">
        <f>BC207*Pricing!$E$31*BC307*Pricing!$B$15*BC44</f>
        <v/>
      </c>
      <c r="BD324" s="8">
        <f>BD207*Pricing!$E$31*BD307*Pricing!$B$15*BD44</f>
        <v/>
      </c>
      <c r="BE324" s="8">
        <f>BE207*Pricing!$E$31*BE307*Pricing!$B$15*BE44</f>
        <v/>
      </c>
      <c r="BF324" s="8">
        <f>BF207*Pricing!$E$31*BF307*Pricing!$B$15*BF44</f>
        <v/>
      </c>
      <c r="BG324" s="8">
        <f>BG207*Pricing!$E$31*BG307*Pricing!$B$15*BG44</f>
        <v/>
      </c>
      <c r="BH324" s="8">
        <f>BH207*Pricing!$E$31*BH307*Pricing!$B$15*BH44</f>
        <v/>
      </c>
      <c r="BI324" s="8">
        <f>BI207*Pricing!$E$31*BI307*Pricing!$B$15*BI44</f>
        <v/>
      </c>
      <c r="BJ324" s="8">
        <f>BJ207*Pricing!$E$31*BJ307*Pricing!$B$15*BJ44</f>
        <v/>
      </c>
    </row>
    <row r="325">
      <c r="A325" s="4" t="inlineStr">
        <is>
          <t>Gross subscription revenue: Ghana: Solo: Growth (upgraded or direct)</t>
        </is>
      </c>
      <c r="B325" s="17" t="inlineStr">
        <is>
          <t>R</t>
        </is>
      </c>
      <c r="C325" s="8">
        <f>C211*Pricing!$E$32*C307*Pricing!$B$15*C44</f>
        <v/>
      </c>
      <c r="D325" s="8">
        <f>D211*Pricing!$E$32*D307*Pricing!$B$15*D44</f>
        <v/>
      </c>
      <c r="E325" s="8">
        <f>E211*Pricing!$E$32*E307*Pricing!$B$15*E44</f>
        <v/>
      </c>
      <c r="F325" s="8">
        <f>F211*Pricing!$E$32*F307*Pricing!$B$15*F44</f>
        <v/>
      </c>
      <c r="G325" s="8">
        <f>G211*Pricing!$E$32*G307*Pricing!$B$15*G44</f>
        <v/>
      </c>
      <c r="H325" s="8">
        <f>H211*Pricing!$E$32*H307*Pricing!$B$15*H44</f>
        <v/>
      </c>
      <c r="I325" s="8">
        <f>I211*Pricing!$E$32*I307*Pricing!$B$15*I44</f>
        <v/>
      </c>
      <c r="J325" s="8">
        <f>J211*Pricing!$E$32*J307*Pricing!$B$15*J44</f>
        <v/>
      </c>
      <c r="K325" s="8">
        <f>K211*Pricing!$E$32*K307*Pricing!$B$15*K44</f>
        <v/>
      </c>
      <c r="L325" s="8">
        <f>L211*Pricing!$E$32*L307*Pricing!$B$15*L44</f>
        <v/>
      </c>
      <c r="M325" s="8">
        <f>M211*Pricing!$E$32*M307*Pricing!$B$15*M44</f>
        <v/>
      </c>
      <c r="N325" s="8">
        <f>N211*Pricing!$E$32*N307*Pricing!$B$15*N44</f>
        <v/>
      </c>
      <c r="O325" s="8">
        <f>O211*Pricing!$E$32*O307*Pricing!$B$15*O44</f>
        <v/>
      </c>
      <c r="P325" s="8">
        <f>P211*Pricing!$E$32*P307*Pricing!$B$15*P44</f>
        <v/>
      </c>
      <c r="Q325" s="8">
        <f>Q211*Pricing!$E$32*Q307*Pricing!$B$15*Q44</f>
        <v/>
      </c>
      <c r="R325" s="8">
        <f>R211*Pricing!$E$32*R307*Pricing!$B$15*R44</f>
        <v/>
      </c>
      <c r="S325" s="8">
        <f>S211*Pricing!$E$32*S307*Pricing!$B$15*S44</f>
        <v/>
      </c>
      <c r="T325" s="8">
        <f>T211*Pricing!$E$32*T307*Pricing!$B$15*T44</f>
        <v/>
      </c>
      <c r="U325" s="8">
        <f>U211*Pricing!$E$32*U307*Pricing!$B$15*U44</f>
        <v/>
      </c>
      <c r="V325" s="8">
        <f>V211*Pricing!$E$32*V307*Pricing!$B$15*V44</f>
        <v/>
      </c>
      <c r="W325" s="8">
        <f>W211*Pricing!$E$32*W307*Pricing!$B$15*W44</f>
        <v/>
      </c>
      <c r="X325" s="8">
        <f>X211*Pricing!$E$32*X307*Pricing!$B$15*X44</f>
        <v/>
      </c>
      <c r="Y325" s="8">
        <f>Y211*Pricing!$E$32*Y307*Pricing!$B$15*Y44</f>
        <v/>
      </c>
      <c r="Z325" s="8">
        <f>Z211*Pricing!$E$32*Z307*Pricing!$B$15*Z44</f>
        <v/>
      </c>
      <c r="AA325" s="8">
        <f>AA211*Pricing!$E$32*AA307*Pricing!$B$15*AA44</f>
        <v/>
      </c>
      <c r="AB325" s="8">
        <f>AB211*Pricing!$E$32*AB307*Pricing!$B$15*AB44</f>
        <v/>
      </c>
      <c r="AC325" s="8">
        <f>AC211*Pricing!$E$32*AC307*Pricing!$B$15*AC44</f>
        <v/>
      </c>
      <c r="AD325" s="8">
        <f>AD211*Pricing!$E$32*AD307*Pricing!$B$15*AD44</f>
        <v/>
      </c>
      <c r="AE325" s="8">
        <f>AE211*Pricing!$E$32*AE307*Pricing!$B$15*AE44</f>
        <v/>
      </c>
      <c r="AF325" s="8">
        <f>AF211*Pricing!$E$32*AF307*Pricing!$B$15*AF44</f>
        <v/>
      </c>
      <c r="AG325" s="8">
        <f>AG211*Pricing!$E$32*AG307*Pricing!$B$15*AG44</f>
        <v/>
      </c>
      <c r="AH325" s="8">
        <f>AH211*Pricing!$E$32*AH307*Pricing!$B$15*AH44</f>
        <v/>
      </c>
      <c r="AI325" s="8">
        <f>AI211*Pricing!$E$32*AI307*Pricing!$B$15*AI44</f>
        <v/>
      </c>
      <c r="AJ325" s="8">
        <f>AJ211*Pricing!$E$32*AJ307*Pricing!$B$15*AJ44</f>
        <v/>
      </c>
      <c r="AK325" s="8">
        <f>AK211*Pricing!$E$32*AK307*Pricing!$B$15*AK44</f>
        <v/>
      </c>
      <c r="AL325" s="8">
        <f>AL211*Pricing!$E$32*AL307*Pricing!$B$15*AL44</f>
        <v/>
      </c>
      <c r="AM325" s="8">
        <f>AM211*Pricing!$E$32*AM307*Pricing!$B$15*AM44</f>
        <v/>
      </c>
      <c r="AN325" s="8">
        <f>AN211*Pricing!$E$32*AN307*Pricing!$B$15*AN44</f>
        <v/>
      </c>
      <c r="AO325" s="8">
        <f>AO211*Pricing!$E$32*AO307*Pricing!$B$15*AO44</f>
        <v/>
      </c>
      <c r="AP325" s="8">
        <f>AP211*Pricing!$E$32*AP307*Pricing!$B$15*AP44</f>
        <v/>
      </c>
      <c r="AQ325" s="8">
        <f>AQ211*Pricing!$E$32*AQ307*Pricing!$B$15*AQ44</f>
        <v/>
      </c>
      <c r="AR325" s="8">
        <f>AR211*Pricing!$E$32*AR307*Pricing!$B$15*AR44</f>
        <v/>
      </c>
      <c r="AS325" s="8">
        <f>AS211*Pricing!$E$32*AS307*Pricing!$B$15*AS44</f>
        <v/>
      </c>
      <c r="AT325" s="8">
        <f>AT211*Pricing!$E$32*AT307*Pricing!$B$15*AT44</f>
        <v/>
      </c>
      <c r="AU325" s="8">
        <f>AU211*Pricing!$E$32*AU307*Pricing!$B$15*AU44</f>
        <v/>
      </c>
      <c r="AV325" s="8">
        <f>AV211*Pricing!$E$32*AV307*Pricing!$B$15*AV44</f>
        <v/>
      </c>
      <c r="AW325" s="8">
        <f>AW211*Pricing!$E$32*AW307*Pricing!$B$15*AW44</f>
        <v/>
      </c>
      <c r="AX325" s="8">
        <f>AX211*Pricing!$E$32*AX307*Pricing!$B$15*AX44</f>
        <v/>
      </c>
      <c r="AY325" s="8">
        <f>AY211*Pricing!$E$32*AY307*Pricing!$B$15*AY44</f>
        <v/>
      </c>
      <c r="AZ325" s="8">
        <f>AZ211*Pricing!$E$32*AZ307*Pricing!$B$15*AZ44</f>
        <v/>
      </c>
      <c r="BA325" s="8">
        <f>BA211*Pricing!$E$32*BA307*Pricing!$B$15*BA44</f>
        <v/>
      </c>
      <c r="BB325" s="8">
        <f>BB211*Pricing!$E$32*BB307*Pricing!$B$15*BB44</f>
        <v/>
      </c>
      <c r="BC325" s="8">
        <f>BC211*Pricing!$E$32*BC307*Pricing!$B$15*BC44</f>
        <v/>
      </c>
      <c r="BD325" s="8">
        <f>BD211*Pricing!$E$32*BD307*Pricing!$B$15*BD44</f>
        <v/>
      </c>
      <c r="BE325" s="8">
        <f>BE211*Pricing!$E$32*BE307*Pricing!$B$15*BE44</f>
        <v/>
      </c>
      <c r="BF325" s="8">
        <f>BF211*Pricing!$E$32*BF307*Pricing!$B$15*BF44</f>
        <v/>
      </c>
      <c r="BG325" s="8">
        <f>BG211*Pricing!$E$32*BG307*Pricing!$B$15*BG44</f>
        <v/>
      </c>
      <c r="BH325" s="8">
        <f>BH211*Pricing!$E$32*BH307*Pricing!$B$15*BH44</f>
        <v/>
      </c>
      <c r="BI325" s="8">
        <f>BI211*Pricing!$E$32*BI307*Pricing!$B$15*BI44</f>
        <v/>
      </c>
      <c r="BJ325" s="8">
        <f>BJ211*Pricing!$E$32*BJ307*Pricing!$B$15*BJ44</f>
        <v/>
      </c>
    </row>
    <row r="326">
      <c r="A326" s="4" t="inlineStr">
        <is>
          <t>Gross subscription revenue: Ghana: SME: Growth</t>
        </is>
      </c>
      <c r="B326" s="17" t="inlineStr">
        <is>
          <t>R</t>
        </is>
      </c>
      <c r="C326" s="8">
        <f>C216*Pricing!$E$32*C307*Pricing!$B$15*C44</f>
        <v/>
      </c>
      <c r="D326" s="8">
        <f>D216*Pricing!$E$32*D307*Pricing!$B$15*D44</f>
        <v/>
      </c>
      <c r="E326" s="8">
        <f>E216*Pricing!$E$32*E307*Pricing!$B$15*E44</f>
        <v/>
      </c>
      <c r="F326" s="8">
        <f>F216*Pricing!$E$32*F307*Pricing!$B$15*F44</f>
        <v/>
      </c>
      <c r="G326" s="8">
        <f>G216*Pricing!$E$32*G307*Pricing!$B$15*G44</f>
        <v/>
      </c>
      <c r="H326" s="8">
        <f>H216*Pricing!$E$32*H307*Pricing!$B$15*H44</f>
        <v/>
      </c>
      <c r="I326" s="8">
        <f>I216*Pricing!$E$32*I307*Pricing!$B$15*I44</f>
        <v/>
      </c>
      <c r="J326" s="8">
        <f>J216*Pricing!$E$32*J307*Pricing!$B$15*J44</f>
        <v/>
      </c>
      <c r="K326" s="8">
        <f>K216*Pricing!$E$32*K307*Pricing!$B$15*K44</f>
        <v/>
      </c>
      <c r="L326" s="8">
        <f>L216*Pricing!$E$32*L307*Pricing!$B$15*L44</f>
        <v/>
      </c>
      <c r="M326" s="8">
        <f>M216*Pricing!$E$32*M307*Pricing!$B$15*M44</f>
        <v/>
      </c>
      <c r="N326" s="8">
        <f>N216*Pricing!$E$32*N307*Pricing!$B$15*N44</f>
        <v/>
      </c>
      <c r="O326" s="8">
        <f>O216*Pricing!$E$32*O307*Pricing!$B$15*O44</f>
        <v/>
      </c>
      <c r="P326" s="8">
        <f>P216*Pricing!$E$32*P307*Pricing!$B$15*P44</f>
        <v/>
      </c>
      <c r="Q326" s="8">
        <f>Q216*Pricing!$E$32*Q307*Pricing!$B$15*Q44</f>
        <v/>
      </c>
      <c r="R326" s="8">
        <f>R216*Pricing!$E$32*R307*Pricing!$B$15*R44</f>
        <v/>
      </c>
      <c r="S326" s="8">
        <f>S216*Pricing!$E$32*S307*Pricing!$B$15*S44</f>
        <v/>
      </c>
      <c r="T326" s="8">
        <f>T216*Pricing!$E$32*T307*Pricing!$B$15*T44</f>
        <v/>
      </c>
      <c r="U326" s="8">
        <f>U216*Pricing!$E$32*U307*Pricing!$B$15*U44</f>
        <v/>
      </c>
      <c r="V326" s="8">
        <f>V216*Pricing!$E$32*V307*Pricing!$B$15*V44</f>
        <v/>
      </c>
      <c r="W326" s="8">
        <f>W216*Pricing!$E$32*W307*Pricing!$B$15*W44</f>
        <v/>
      </c>
      <c r="X326" s="8">
        <f>X216*Pricing!$E$32*X307*Pricing!$B$15*X44</f>
        <v/>
      </c>
      <c r="Y326" s="8">
        <f>Y216*Pricing!$E$32*Y307*Pricing!$B$15*Y44</f>
        <v/>
      </c>
      <c r="Z326" s="8">
        <f>Z216*Pricing!$E$32*Z307*Pricing!$B$15*Z44</f>
        <v/>
      </c>
      <c r="AA326" s="8">
        <f>AA216*Pricing!$E$32*AA307*Pricing!$B$15*AA44</f>
        <v/>
      </c>
      <c r="AB326" s="8">
        <f>AB216*Pricing!$E$32*AB307*Pricing!$B$15*AB44</f>
        <v/>
      </c>
      <c r="AC326" s="8">
        <f>AC216*Pricing!$E$32*AC307*Pricing!$B$15*AC44</f>
        <v/>
      </c>
      <c r="AD326" s="8">
        <f>AD216*Pricing!$E$32*AD307*Pricing!$B$15*AD44</f>
        <v/>
      </c>
      <c r="AE326" s="8">
        <f>AE216*Pricing!$E$32*AE307*Pricing!$B$15*AE44</f>
        <v/>
      </c>
      <c r="AF326" s="8">
        <f>AF216*Pricing!$E$32*AF307*Pricing!$B$15*AF44</f>
        <v/>
      </c>
      <c r="AG326" s="8">
        <f>AG216*Pricing!$E$32*AG307*Pricing!$B$15*AG44</f>
        <v/>
      </c>
      <c r="AH326" s="8">
        <f>AH216*Pricing!$E$32*AH307*Pricing!$B$15*AH44</f>
        <v/>
      </c>
      <c r="AI326" s="8">
        <f>AI216*Pricing!$E$32*AI307*Pricing!$B$15*AI44</f>
        <v/>
      </c>
      <c r="AJ326" s="8">
        <f>AJ216*Pricing!$E$32*AJ307*Pricing!$B$15*AJ44</f>
        <v/>
      </c>
      <c r="AK326" s="8">
        <f>AK216*Pricing!$E$32*AK307*Pricing!$B$15*AK44</f>
        <v/>
      </c>
      <c r="AL326" s="8">
        <f>AL216*Pricing!$E$32*AL307*Pricing!$B$15*AL44</f>
        <v/>
      </c>
      <c r="AM326" s="8">
        <f>AM216*Pricing!$E$32*AM307*Pricing!$B$15*AM44</f>
        <v/>
      </c>
      <c r="AN326" s="8">
        <f>AN216*Pricing!$E$32*AN307*Pricing!$B$15*AN44</f>
        <v/>
      </c>
      <c r="AO326" s="8">
        <f>AO216*Pricing!$E$32*AO307*Pricing!$B$15*AO44</f>
        <v/>
      </c>
      <c r="AP326" s="8">
        <f>AP216*Pricing!$E$32*AP307*Pricing!$B$15*AP44</f>
        <v/>
      </c>
      <c r="AQ326" s="8">
        <f>AQ216*Pricing!$E$32*AQ307*Pricing!$B$15*AQ44</f>
        <v/>
      </c>
      <c r="AR326" s="8">
        <f>AR216*Pricing!$E$32*AR307*Pricing!$B$15*AR44</f>
        <v/>
      </c>
      <c r="AS326" s="8">
        <f>AS216*Pricing!$E$32*AS307*Pricing!$B$15*AS44</f>
        <v/>
      </c>
      <c r="AT326" s="8">
        <f>AT216*Pricing!$E$32*AT307*Pricing!$B$15*AT44</f>
        <v/>
      </c>
      <c r="AU326" s="8">
        <f>AU216*Pricing!$E$32*AU307*Pricing!$B$15*AU44</f>
        <v/>
      </c>
      <c r="AV326" s="8">
        <f>AV216*Pricing!$E$32*AV307*Pricing!$B$15*AV44</f>
        <v/>
      </c>
      <c r="AW326" s="8">
        <f>AW216*Pricing!$E$32*AW307*Pricing!$B$15*AW44</f>
        <v/>
      </c>
      <c r="AX326" s="8">
        <f>AX216*Pricing!$E$32*AX307*Pricing!$B$15*AX44</f>
        <v/>
      </c>
      <c r="AY326" s="8">
        <f>AY216*Pricing!$E$32*AY307*Pricing!$B$15*AY44</f>
        <v/>
      </c>
      <c r="AZ326" s="8">
        <f>AZ216*Pricing!$E$32*AZ307*Pricing!$B$15*AZ44</f>
        <v/>
      </c>
      <c r="BA326" s="8">
        <f>BA216*Pricing!$E$32*BA307*Pricing!$B$15*BA44</f>
        <v/>
      </c>
      <c r="BB326" s="8">
        <f>BB216*Pricing!$E$32*BB307*Pricing!$B$15*BB44</f>
        <v/>
      </c>
      <c r="BC326" s="8">
        <f>BC216*Pricing!$E$32*BC307*Pricing!$B$15*BC44</f>
        <v/>
      </c>
      <c r="BD326" s="8">
        <f>BD216*Pricing!$E$32*BD307*Pricing!$B$15*BD44</f>
        <v/>
      </c>
      <c r="BE326" s="8">
        <f>BE216*Pricing!$E$32*BE307*Pricing!$B$15*BE44</f>
        <v/>
      </c>
      <c r="BF326" s="8">
        <f>BF216*Pricing!$E$32*BF307*Pricing!$B$15*BF44</f>
        <v/>
      </c>
      <c r="BG326" s="8">
        <f>BG216*Pricing!$E$32*BG307*Pricing!$B$15*BG44</f>
        <v/>
      </c>
      <c r="BH326" s="8">
        <f>BH216*Pricing!$E$32*BH307*Pricing!$B$15*BH44</f>
        <v/>
      </c>
      <c r="BI326" s="8">
        <f>BI216*Pricing!$E$32*BI307*Pricing!$B$15*BI44</f>
        <v/>
      </c>
      <c r="BJ326" s="8">
        <f>BJ216*Pricing!$E$32*BJ307*Pricing!$B$15*BJ44</f>
        <v/>
      </c>
    </row>
    <row r="327">
      <c r="A327" s="4" t="inlineStr">
        <is>
          <t>Gross subscription revenue: Ghana: SME: Scale (upgraded or direct)</t>
        </is>
      </c>
      <c r="B327" s="17" t="inlineStr">
        <is>
          <t>R</t>
        </is>
      </c>
      <c r="C327" s="8">
        <f>C220*Pricing!$E$33*C307*Pricing!$B$15*C44</f>
        <v/>
      </c>
      <c r="D327" s="8">
        <f>D220*Pricing!$E$33*D307*Pricing!$B$15*D44</f>
        <v/>
      </c>
      <c r="E327" s="8">
        <f>E220*Pricing!$E$33*E307*Pricing!$B$15*E44</f>
        <v/>
      </c>
      <c r="F327" s="8">
        <f>F220*Pricing!$E$33*F307*Pricing!$B$15*F44</f>
        <v/>
      </c>
      <c r="G327" s="8">
        <f>G220*Pricing!$E$33*G307*Pricing!$B$15*G44</f>
        <v/>
      </c>
      <c r="H327" s="8">
        <f>H220*Pricing!$E$33*H307*Pricing!$B$15*H44</f>
        <v/>
      </c>
      <c r="I327" s="8">
        <f>I220*Pricing!$E$33*I307*Pricing!$B$15*I44</f>
        <v/>
      </c>
      <c r="J327" s="8">
        <f>J220*Pricing!$E$33*J307*Pricing!$B$15*J44</f>
        <v/>
      </c>
      <c r="K327" s="8">
        <f>K220*Pricing!$E$33*K307*Pricing!$B$15*K44</f>
        <v/>
      </c>
      <c r="L327" s="8">
        <f>L220*Pricing!$E$33*L307*Pricing!$B$15*L44</f>
        <v/>
      </c>
      <c r="M327" s="8">
        <f>M220*Pricing!$E$33*M307*Pricing!$B$15*M44</f>
        <v/>
      </c>
      <c r="N327" s="8">
        <f>N220*Pricing!$E$33*N307*Pricing!$B$15*N44</f>
        <v/>
      </c>
      <c r="O327" s="8">
        <f>O220*Pricing!$E$33*O307*Pricing!$B$15*O44</f>
        <v/>
      </c>
      <c r="P327" s="8">
        <f>P220*Pricing!$E$33*P307*Pricing!$B$15*P44</f>
        <v/>
      </c>
      <c r="Q327" s="8">
        <f>Q220*Pricing!$E$33*Q307*Pricing!$B$15*Q44</f>
        <v/>
      </c>
      <c r="R327" s="8">
        <f>R220*Pricing!$E$33*R307*Pricing!$B$15*R44</f>
        <v/>
      </c>
      <c r="S327" s="8">
        <f>S220*Pricing!$E$33*S307*Pricing!$B$15*S44</f>
        <v/>
      </c>
      <c r="T327" s="8">
        <f>T220*Pricing!$E$33*T307*Pricing!$B$15*T44</f>
        <v/>
      </c>
      <c r="U327" s="8">
        <f>U220*Pricing!$E$33*U307*Pricing!$B$15*U44</f>
        <v/>
      </c>
      <c r="V327" s="8">
        <f>V220*Pricing!$E$33*V307*Pricing!$B$15*V44</f>
        <v/>
      </c>
      <c r="W327" s="8">
        <f>W220*Pricing!$E$33*W307*Pricing!$B$15*W44</f>
        <v/>
      </c>
      <c r="X327" s="8">
        <f>X220*Pricing!$E$33*X307*Pricing!$B$15*X44</f>
        <v/>
      </c>
      <c r="Y327" s="8">
        <f>Y220*Pricing!$E$33*Y307*Pricing!$B$15*Y44</f>
        <v/>
      </c>
      <c r="Z327" s="8">
        <f>Z220*Pricing!$E$33*Z307*Pricing!$B$15*Z44</f>
        <v/>
      </c>
      <c r="AA327" s="8">
        <f>AA220*Pricing!$E$33*AA307*Pricing!$B$15*AA44</f>
        <v/>
      </c>
      <c r="AB327" s="8">
        <f>AB220*Pricing!$E$33*AB307*Pricing!$B$15*AB44</f>
        <v/>
      </c>
      <c r="AC327" s="8">
        <f>AC220*Pricing!$E$33*AC307*Pricing!$B$15*AC44</f>
        <v/>
      </c>
      <c r="AD327" s="8">
        <f>AD220*Pricing!$E$33*AD307*Pricing!$B$15*AD44</f>
        <v/>
      </c>
      <c r="AE327" s="8">
        <f>AE220*Pricing!$E$33*AE307*Pricing!$B$15*AE44</f>
        <v/>
      </c>
      <c r="AF327" s="8">
        <f>AF220*Pricing!$E$33*AF307*Pricing!$B$15*AF44</f>
        <v/>
      </c>
      <c r="AG327" s="8">
        <f>AG220*Pricing!$E$33*AG307*Pricing!$B$15*AG44</f>
        <v/>
      </c>
      <c r="AH327" s="8">
        <f>AH220*Pricing!$E$33*AH307*Pricing!$B$15*AH44</f>
        <v/>
      </c>
      <c r="AI327" s="8">
        <f>AI220*Pricing!$E$33*AI307*Pricing!$B$15*AI44</f>
        <v/>
      </c>
      <c r="AJ327" s="8">
        <f>AJ220*Pricing!$E$33*AJ307*Pricing!$B$15*AJ44</f>
        <v/>
      </c>
      <c r="AK327" s="8">
        <f>AK220*Pricing!$E$33*AK307*Pricing!$B$15*AK44</f>
        <v/>
      </c>
      <c r="AL327" s="8">
        <f>AL220*Pricing!$E$33*AL307*Pricing!$B$15*AL44</f>
        <v/>
      </c>
      <c r="AM327" s="8">
        <f>AM220*Pricing!$E$33*AM307*Pricing!$B$15*AM44</f>
        <v/>
      </c>
      <c r="AN327" s="8">
        <f>AN220*Pricing!$E$33*AN307*Pricing!$B$15*AN44</f>
        <v/>
      </c>
      <c r="AO327" s="8">
        <f>AO220*Pricing!$E$33*AO307*Pricing!$B$15*AO44</f>
        <v/>
      </c>
      <c r="AP327" s="8">
        <f>AP220*Pricing!$E$33*AP307*Pricing!$B$15*AP44</f>
        <v/>
      </c>
      <c r="AQ327" s="8">
        <f>AQ220*Pricing!$E$33*AQ307*Pricing!$B$15*AQ44</f>
        <v/>
      </c>
      <c r="AR327" s="8">
        <f>AR220*Pricing!$E$33*AR307*Pricing!$B$15*AR44</f>
        <v/>
      </c>
      <c r="AS327" s="8">
        <f>AS220*Pricing!$E$33*AS307*Pricing!$B$15*AS44</f>
        <v/>
      </c>
      <c r="AT327" s="8">
        <f>AT220*Pricing!$E$33*AT307*Pricing!$B$15*AT44</f>
        <v/>
      </c>
      <c r="AU327" s="8">
        <f>AU220*Pricing!$E$33*AU307*Pricing!$B$15*AU44</f>
        <v/>
      </c>
      <c r="AV327" s="8">
        <f>AV220*Pricing!$E$33*AV307*Pricing!$B$15*AV44</f>
        <v/>
      </c>
      <c r="AW327" s="8">
        <f>AW220*Pricing!$E$33*AW307*Pricing!$B$15*AW44</f>
        <v/>
      </c>
      <c r="AX327" s="8">
        <f>AX220*Pricing!$E$33*AX307*Pricing!$B$15*AX44</f>
        <v/>
      </c>
      <c r="AY327" s="8">
        <f>AY220*Pricing!$E$33*AY307*Pricing!$B$15*AY44</f>
        <v/>
      </c>
      <c r="AZ327" s="8">
        <f>AZ220*Pricing!$E$33*AZ307*Pricing!$B$15*AZ44</f>
        <v/>
      </c>
      <c r="BA327" s="8">
        <f>BA220*Pricing!$E$33*BA307*Pricing!$B$15*BA44</f>
        <v/>
      </c>
      <c r="BB327" s="8">
        <f>BB220*Pricing!$E$33*BB307*Pricing!$B$15*BB44</f>
        <v/>
      </c>
      <c r="BC327" s="8">
        <f>BC220*Pricing!$E$33*BC307*Pricing!$B$15*BC44</f>
        <v/>
      </c>
      <c r="BD327" s="8">
        <f>BD220*Pricing!$E$33*BD307*Pricing!$B$15*BD44</f>
        <v/>
      </c>
      <c r="BE327" s="8">
        <f>BE220*Pricing!$E$33*BE307*Pricing!$B$15*BE44</f>
        <v/>
      </c>
      <c r="BF327" s="8">
        <f>BF220*Pricing!$E$33*BF307*Pricing!$B$15*BF44</f>
        <v/>
      </c>
      <c r="BG327" s="8">
        <f>BG220*Pricing!$E$33*BG307*Pricing!$B$15*BG44</f>
        <v/>
      </c>
      <c r="BH327" s="8">
        <f>BH220*Pricing!$E$33*BH307*Pricing!$B$15*BH44</f>
        <v/>
      </c>
      <c r="BI327" s="8">
        <f>BI220*Pricing!$E$33*BI307*Pricing!$B$15*BI44</f>
        <v/>
      </c>
      <c r="BJ327" s="8">
        <f>BJ220*Pricing!$E$33*BJ307*Pricing!$B$15*BJ44</f>
        <v/>
      </c>
    </row>
    <row r="328">
      <c r="A328" s="4" t="inlineStr">
        <is>
          <t>Gross subscription revenue: Ghana: Agency / partner: Agency tier</t>
        </is>
      </c>
      <c r="B328" s="17" t="inlineStr">
        <is>
          <t>R</t>
        </is>
      </c>
      <c r="C328" s="8">
        <f>C224*(Pricing!$B$16*Pricing!$E$36+(1-Pricing!$B$16)*Pricing!$E$34)*C307*Pricing!$B$15*C44</f>
        <v/>
      </c>
      <c r="D328" s="8">
        <f>D224*(Pricing!$B$16*Pricing!$E$36+(1-Pricing!$B$16)*Pricing!$E$34)*D307*Pricing!$B$15*D44</f>
        <v/>
      </c>
      <c r="E328" s="8">
        <f>E224*(Pricing!$B$16*Pricing!$E$36+(1-Pricing!$B$16)*Pricing!$E$34)*E307*Pricing!$B$15*E44</f>
        <v/>
      </c>
      <c r="F328" s="8">
        <f>F224*(Pricing!$B$16*Pricing!$E$36+(1-Pricing!$B$16)*Pricing!$E$34)*F307*Pricing!$B$15*F44</f>
        <v/>
      </c>
      <c r="G328" s="8">
        <f>G224*(Pricing!$B$16*Pricing!$E$36+(1-Pricing!$B$16)*Pricing!$E$34)*G307*Pricing!$B$15*G44</f>
        <v/>
      </c>
      <c r="H328" s="8">
        <f>H224*(Pricing!$B$16*Pricing!$E$36+(1-Pricing!$B$16)*Pricing!$E$34)*H307*Pricing!$B$15*H44</f>
        <v/>
      </c>
      <c r="I328" s="8">
        <f>I224*(Pricing!$B$16*Pricing!$E$36+(1-Pricing!$B$16)*Pricing!$E$34)*I307*Pricing!$B$15*I44</f>
        <v/>
      </c>
      <c r="J328" s="8">
        <f>J224*(Pricing!$B$16*Pricing!$E$36+(1-Pricing!$B$16)*Pricing!$E$34)*J307*Pricing!$B$15*J44</f>
        <v/>
      </c>
      <c r="K328" s="8">
        <f>K224*(Pricing!$B$16*Pricing!$E$36+(1-Pricing!$B$16)*Pricing!$E$34)*K307*Pricing!$B$15*K44</f>
        <v/>
      </c>
      <c r="L328" s="8">
        <f>L224*(Pricing!$B$16*Pricing!$E$36+(1-Pricing!$B$16)*Pricing!$E$34)*L307*Pricing!$B$15*L44</f>
        <v/>
      </c>
      <c r="M328" s="8">
        <f>M224*(Pricing!$B$16*Pricing!$E$36+(1-Pricing!$B$16)*Pricing!$E$34)*M307*Pricing!$B$15*M44</f>
        <v/>
      </c>
      <c r="N328" s="8">
        <f>N224*(Pricing!$B$16*Pricing!$E$36+(1-Pricing!$B$16)*Pricing!$E$34)*N307*Pricing!$B$15*N44</f>
        <v/>
      </c>
      <c r="O328" s="8">
        <f>O224*(Pricing!$B$16*Pricing!$E$36+(1-Pricing!$B$16)*Pricing!$E$34)*O307*Pricing!$B$15*O44</f>
        <v/>
      </c>
      <c r="P328" s="8">
        <f>P224*(Pricing!$B$16*Pricing!$E$36+(1-Pricing!$B$16)*Pricing!$E$34)*P307*Pricing!$B$15*P44</f>
        <v/>
      </c>
      <c r="Q328" s="8">
        <f>Q224*(Pricing!$B$16*Pricing!$E$36+(1-Pricing!$B$16)*Pricing!$E$34)*Q307*Pricing!$B$15*Q44</f>
        <v/>
      </c>
      <c r="R328" s="8">
        <f>R224*(Pricing!$B$16*Pricing!$E$36+(1-Pricing!$B$16)*Pricing!$E$34)*R307*Pricing!$B$15*R44</f>
        <v/>
      </c>
      <c r="S328" s="8">
        <f>S224*(Pricing!$B$16*Pricing!$E$36+(1-Pricing!$B$16)*Pricing!$E$34)*S307*Pricing!$B$15*S44</f>
        <v/>
      </c>
      <c r="T328" s="8">
        <f>T224*(Pricing!$B$16*Pricing!$E$36+(1-Pricing!$B$16)*Pricing!$E$34)*T307*Pricing!$B$15*T44</f>
        <v/>
      </c>
      <c r="U328" s="8">
        <f>U224*(Pricing!$B$16*Pricing!$E$36+(1-Pricing!$B$16)*Pricing!$E$34)*U307*Pricing!$B$15*U44</f>
        <v/>
      </c>
      <c r="V328" s="8">
        <f>V224*(Pricing!$B$16*Pricing!$E$36+(1-Pricing!$B$16)*Pricing!$E$34)*V307*Pricing!$B$15*V44</f>
        <v/>
      </c>
      <c r="W328" s="8">
        <f>W224*(Pricing!$B$16*Pricing!$E$36+(1-Pricing!$B$16)*Pricing!$E$34)*W307*Pricing!$B$15*W44</f>
        <v/>
      </c>
      <c r="X328" s="8">
        <f>X224*(Pricing!$B$16*Pricing!$E$36+(1-Pricing!$B$16)*Pricing!$E$34)*X307*Pricing!$B$15*X44</f>
        <v/>
      </c>
      <c r="Y328" s="8">
        <f>Y224*(Pricing!$B$16*Pricing!$E$36+(1-Pricing!$B$16)*Pricing!$E$34)*Y307*Pricing!$B$15*Y44</f>
        <v/>
      </c>
      <c r="Z328" s="8">
        <f>Z224*(Pricing!$B$16*Pricing!$E$36+(1-Pricing!$B$16)*Pricing!$E$34)*Z307*Pricing!$B$15*Z44</f>
        <v/>
      </c>
      <c r="AA328" s="8">
        <f>AA224*(Pricing!$B$16*Pricing!$E$36+(1-Pricing!$B$16)*Pricing!$E$34)*AA307*Pricing!$B$15*AA44</f>
        <v/>
      </c>
      <c r="AB328" s="8">
        <f>AB224*(Pricing!$B$16*Pricing!$E$36+(1-Pricing!$B$16)*Pricing!$E$34)*AB307*Pricing!$B$15*AB44</f>
        <v/>
      </c>
      <c r="AC328" s="8">
        <f>AC224*(Pricing!$B$16*Pricing!$E$36+(1-Pricing!$B$16)*Pricing!$E$34)*AC307*Pricing!$B$15*AC44</f>
        <v/>
      </c>
      <c r="AD328" s="8">
        <f>AD224*(Pricing!$B$16*Pricing!$E$36+(1-Pricing!$B$16)*Pricing!$E$34)*AD307*Pricing!$B$15*AD44</f>
        <v/>
      </c>
      <c r="AE328" s="8">
        <f>AE224*(Pricing!$B$16*Pricing!$E$36+(1-Pricing!$B$16)*Pricing!$E$34)*AE307*Pricing!$B$15*AE44</f>
        <v/>
      </c>
      <c r="AF328" s="8">
        <f>AF224*(Pricing!$B$16*Pricing!$E$36+(1-Pricing!$B$16)*Pricing!$E$34)*AF307*Pricing!$B$15*AF44</f>
        <v/>
      </c>
      <c r="AG328" s="8">
        <f>AG224*(Pricing!$B$16*Pricing!$E$36+(1-Pricing!$B$16)*Pricing!$E$34)*AG307*Pricing!$B$15*AG44</f>
        <v/>
      </c>
      <c r="AH328" s="8">
        <f>AH224*(Pricing!$B$16*Pricing!$E$36+(1-Pricing!$B$16)*Pricing!$E$34)*AH307*Pricing!$B$15*AH44</f>
        <v/>
      </c>
      <c r="AI328" s="8">
        <f>AI224*(Pricing!$B$16*Pricing!$E$36+(1-Pricing!$B$16)*Pricing!$E$34)*AI307*Pricing!$B$15*AI44</f>
        <v/>
      </c>
      <c r="AJ328" s="8">
        <f>AJ224*(Pricing!$B$16*Pricing!$E$36+(1-Pricing!$B$16)*Pricing!$E$34)*AJ307*Pricing!$B$15*AJ44</f>
        <v/>
      </c>
      <c r="AK328" s="8">
        <f>AK224*(Pricing!$B$16*Pricing!$E$36+(1-Pricing!$B$16)*Pricing!$E$34)*AK307*Pricing!$B$15*AK44</f>
        <v/>
      </c>
      <c r="AL328" s="8">
        <f>AL224*(Pricing!$B$16*Pricing!$E$36+(1-Pricing!$B$16)*Pricing!$E$34)*AL307*Pricing!$B$15*AL44</f>
        <v/>
      </c>
      <c r="AM328" s="8">
        <f>AM224*(Pricing!$B$16*Pricing!$E$36+(1-Pricing!$B$16)*Pricing!$E$34)*AM307*Pricing!$B$15*AM44</f>
        <v/>
      </c>
      <c r="AN328" s="8">
        <f>AN224*(Pricing!$B$16*Pricing!$E$36+(1-Pricing!$B$16)*Pricing!$E$34)*AN307*Pricing!$B$15*AN44</f>
        <v/>
      </c>
      <c r="AO328" s="8">
        <f>AO224*(Pricing!$B$16*Pricing!$E$36+(1-Pricing!$B$16)*Pricing!$E$34)*AO307*Pricing!$B$15*AO44</f>
        <v/>
      </c>
      <c r="AP328" s="8">
        <f>AP224*(Pricing!$B$16*Pricing!$E$36+(1-Pricing!$B$16)*Pricing!$E$34)*AP307*Pricing!$B$15*AP44</f>
        <v/>
      </c>
      <c r="AQ328" s="8">
        <f>AQ224*(Pricing!$B$16*Pricing!$E$36+(1-Pricing!$B$16)*Pricing!$E$34)*AQ307*Pricing!$B$15*AQ44</f>
        <v/>
      </c>
      <c r="AR328" s="8">
        <f>AR224*(Pricing!$B$16*Pricing!$E$36+(1-Pricing!$B$16)*Pricing!$E$34)*AR307*Pricing!$B$15*AR44</f>
        <v/>
      </c>
      <c r="AS328" s="8">
        <f>AS224*(Pricing!$B$16*Pricing!$E$36+(1-Pricing!$B$16)*Pricing!$E$34)*AS307*Pricing!$B$15*AS44</f>
        <v/>
      </c>
      <c r="AT328" s="8">
        <f>AT224*(Pricing!$B$16*Pricing!$E$36+(1-Pricing!$B$16)*Pricing!$E$34)*AT307*Pricing!$B$15*AT44</f>
        <v/>
      </c>
      <c r="AU328" s="8">
        <f>AU224*(Pricing!$B$16*Pricing!$E$36+(1-Pricing!$B$16)*Pricing!$E$34)*AU307*Pricing!$B$15*AU44</f>
        <v/>
      </c>
      <c r="AV328" s="8">
        <f>AV224*(Pricing!$B$16*Pricing!$E$36+(1-Pricing!$B$16)*Pricing!$E$34)*AV307*Pricing!$B$15*AV44</f>
        <v/>
      </c>
      <c r="AW328" s="8">
        <f>AW224*(Pricing!$B$16*Pricing!$E$36+(1-Pricing!$B$16)*Pricing!$E$34)*AW307*Pricing!$B$15*AW44</f>
        <v/>
      </c>
      <c r="AX328" s="8">
        <f>AX224*(Pricing!$B$16*Pricing!$E$36+(1-Pricing!$B$16)*Pricing!$E$34)*AX307*Pricing!$B$15*AX44</f>
        <v/>
      </c>
      <c r="AY328" s="8">
        <f>AY224*(Pricing!$B$16*Pricing!$E$36+(1-Pricing!$B$16)*Pricing!$E$34)*AY307*Pricing!$B$15*AY44</f>
        <v/>
      </c>
      <c r="AZ328" s="8">
        <f>AZ224*(Pricing!$B$16*Pricing!$E$36+(1-Pricing!$B$16)*Pricing!$E$34)*AZ307*Pricing!$B$15*AZ44</f>
        <v/>
      </c>
      <c r="BA328" s="8">
        <f>BA224*(Pricing!$B$16*Pricing!$E$36+(1-Pricing!$B$16)*Pricing!$E$34)*BA307*Pricing!$B$15*BA44</f>
        <v/>
      </c>
      <c r="BB328" s="8">
        <f>BB224*(Pricing!$B$16*Pricing!$E$36+(1-Pricing!$B$16)*Pricing!$E$34)*BB307*Pricing!$B$15*BB44</f>
        <v/>
      </c>
      <c r="BC328" s="8">
        <f>BC224*(Pricing!$B$16*Pricing!$E$36+(1-Pricing!$B$16)*Pricing!$E$34)*BC307*Pricing!$B$15*BC44</f>
        <v/>
      </c>
      <c r="BD328" s="8">
        <f>BD224*(Pricing!$B$16*Pricing!$E$36+(1-Pricing!$B$16)*Pricing!$E$34)*BD307*Pricing!$B$15*BD44</f>
        <v/>
      </c>
      <c r="BE328" s="8">
        <f>BE224*(Pricing!$B$16*Pricing!$E$36+(1-Pricing!$B$16)*Pricing!$E$34)*BE307*Pricing!$B$15*BE44</f>
        <v/>
      </c>
      <c r="BF328" s="8">
        <f>BF224*(Pricing!$B$16*Pricing!$E$36+(1-Pricing!$B$16)*Pricing!$E$34)*BF307*Pricing!$B$15*BF44</f>
        <v/>
      </c>
      <c r="BG328" s="8">
        <f>BG224*(Pricing!$B$16*Pricing!$E$36+(1-Pricing!$B$16)*Pricing!$E$34)*BG307*Pricing!$B$15*BG44</f>
        <v/>
      </c>
      <c r="BH328" s="8">
        <f>BH224*(Pricing!$B$16*Pricing!$E$36+(1-Pricing!$B$16)*Pricing!$E$34)*BH307*Pricing!$B$15*BH44</f>
        <v/>
      </c>
      <c r="BI328" s="8">
        <f>BI224*(Pricing!$B$16*Pricing!$E$36+(1-Pricing!$B$16)*Pricing!$E$34)*BI307*Pricing!$B$15*BI44</f>
        <v/>
      </c>
      <c r="BJ328" s="8">
        <f>BJ224*(Pricing!$B$16*Pricing!$E$36+(1-Pricing!$B$16)*Pricing!$E$34)*BJ307*Pricing!$B$15*BJ44</f>
        <v/>
      </c>
    </row>
    <row r="329">
      <c r="A329" s="4" t="inlineStr">
        <is>
          <t>Gross subscription revenue: Rest of Africa (USD): Solo: Starter</t>
        </is>
      </c>
      <c r="B329" s="17" t="inlineStr">
        <is>
          <t>R</t>
        </is>
      </c>
      <c r="C329" s="8">
        <f>C229*Pricing!$F$31*C307*Pricing!$B$15*C47</f>
        <v/>
      </c>
      <c r="D329" s="8">
        <f>D229*Pricing!$F$31*D307*Pricing!$B$15*D47</f>
        <v/>
      </c>
      <c r="E329" s="8">
        <f>E229*Pricing!$F$31*E307*Pricing!$B$15*E47</f>
        <v/>
      </c>
      <c r="F329" s="8">
        <f>F229*Pricing!$F$31*F307*Pricing!$B$15*F47</f>
        <v/>
      </c>
      <c r="G329" s="8">
        <f>G229*Pricing!$F$31*G307*Pricing!$B$15*G47</f>
        <v/>
      </c>
      <c r="H329" s="8">
        <f>H229*Pricing!$F$31*H307*Pricing!$B$15*H47</f>
        <v/>
      </c>
      <c r="I329" s="8">
        <f>I229*Pricing!$F$31*I307*Pricing!$B$15*I47</f>
        <v/>
      </c>
      <c r="J329" s="8">
        <f>J229*Pricing!$F$31*J307*Pricing!$B$15*J47</f>
        <v/>
      </c>
      <c r="K329" s="8">
        <f>K229*Pricing!$F$31*K307*Pricing!$B$15*K47</f>
        <v/>
      </c>
      <c r="L329" s="8">
        <f>L229*Pricing!$F$31*L307*Pricing!$B$15*L47</f>
        <v/>
      </c>
      <c r="M329" s="8">
        <f>M229*Pricing!$F$31*M307*Pricing!$B$15*M47</f>
        <v/>
      </c>
      <c r="N329" s="8">
        <f>N229*Pricing!$F$31*N307*Pricing!$B$15*N47</f>
        <v/>
      </c>
      <c r="O329" s="8">
        <f>O229*Pricing!$F$31*O307*Pricing!$B$15*O47</f>
        <v/>
      </c>
      <c r="P329" s="8">
        <f>P229*Pricing!$F$31*P307*Pricing!$B$15*P47</f>
        <v/>
      </c>
      <c r="Q329" s="8">
        <f>Q229*Pricing!$F$31*Q307*Pricing!$B$15*Q47</f>
        <v/>
      </c>
      <c r="R329" s="8">
        <f>R229*Pricing!$F$31*R307*Pricing!$B$15*R47</f>
        <v/>
      </c>
      <c r="S329" s="8">
        <f>S229*Pricing!$F$31*S307*Pricing!$B$15*S47</f>
        <v/>
      </c>
      <c r="T329" s="8">
        <f>T229*Pricing!$F$31*T307*Pricing!$B$15*T47</f>
        <v/>
      </c>
      <c r="U329" s="8">
        <f>U229*Pricing!$F$31*U307*Pricing!$B$15*U47</f>
        <v/>
      </c>
      <c r="V329" s="8">
        <f>V229*Pricing!$F$31*V307*Pricing!$B$15*V47</f>
        <v/>
      </c>
      <c r="W329" s="8">
        <f>W229*Pricing!$F$31*W307*Pricing!$B$15*W47</f>
        <v/>
      </c>
      <c r="X329" s="8">
        <f>X229*Pricing!$F$31*X307*Pricing!$B$15*X47</f>
        <v/>
      </c>
      <c r="Y329" s="8">
        <f>Y229*Pricing!$F$31*Y307*Pricing!$B$15*Y47</f>
        <v/>
      </c>
      <c r="Z329" s="8">
        <f>Z229*Pricing!$F$31*Z307*Pricing!$B$15*Z47</f>
        <v/>
      </c>
      <c r="AA329" s="8">
        <f>AA229*Pricing!$F$31*AA307*Pricing!$B$15*AA47</f>
        <v/>
      </c>
      <c r="AB329" s="8">
        <f>AB229*Pricing!$F$31*AB307*Pricing!$B$15*AB47</f>
        <v/>
      </c>
      <c r="AC329" s="8">
        <f>AC229*Pricing!$F$31*AC307*Pricing!$B$15*AC47</f>
        <v/>
      </c>
      <c r="AD329" s="8">
        <f>AD229*Pricing!$F$31*AD307*Pricing!$B$15*AD47</f>
        <v/>
      </c>
      <c r="AE329" s="8">
        <f>AE229*Pricing!$F$31*AE307*Pricing!$B$15*AE47</f>
        <v/>
      </c>
      <c r="AF329" s="8">
        <f>AF229*Pricing!$F$31*AF307*Pricing!$B$15*AF47</f>
        <v/>
      </c>
      <c r="AG329" s="8">
        <f>AG229*Pricing!$F$31*AG307*Pricing!$B$15*AG47</f>
        <v/>
      </c>
      <c r="AH329" s="8">
        <f>AH229*Pricing!$F$31*AH307*Pricing!$B$15*AH47</f>
        <v/>
      </c>
      <c r="AI329" s="8">
        <f>AI229*Pricing!$F$31*AI307*Pricing!$B$15*AI47</f>
        <v/>
      </c>
      <c r="AJ329" s="8">
        <f>AJ229*Pricing!$F$31*AJ307*Pricing!$B$15*AJ47</f>
        <v/>
      </c>
      <c r="AK329" s="8">
        <f>AK229*Pricing!$F$31*AK307*Pricing!$B$15*AK47</f>
        <v/>
      </c>
      <c r="AL329" s="8">
        <f>AL229*Pricing!$F$31*AL307*Pricing!$B$15*AL47</f>
        <v/>
      </c>
      <c r="AM329" s="8">
        <f>AM229*Pricing!$F$31*AM307*Pricing!$B$15*AM47</f>
        <v/>
      </c>
      <c r="AN329" s="8">
        <f>AN229*Pricing!$F$31*AN307*Pricing!$B$15*AN47</f>
        <v/>
      </c>
      <c r="AO329" s="8">
        <f>AO229*Pricing!$F$31*AO307*Pricing!$B$15*AO47</f>
        <v/>
      </c>
      <c r="AP329" s="8">
        <f>AP229*Pricing!$F$31*AP307*Pricing!$B$15*AP47</f>
        <v/>
      </c>
      <c r="AQ329" s="8">
        <f>AQ229*Pricing!$F$31*AQ307*Pricing!$B$15*AQ47</f>
        <v/>
      </c>
      <c r="AR329" s="8">
        <f>AR229*Pricing!$F$31*AR307*Pricing!$B$15*AR47</f>
        <v/>
      </c>
      <c r="AS329" s="8">
        <f>AS229*Pricing!$F$31*AS307*Pricing!$B$15*AS47</f>
        <v/>
      </c>
      <c r="AT329" s="8">
        <f>AT229*Pricing!$F$31*AT307*Pricing!$B$15*AT47</f>
        <v/>
      </c>
      <c r="AU329" s="8">
        <f>AU229*Pricing!$F$31*AU307*Pricing!$B$15*AU47</f>
        <v/>
      </c>
      <c r="AV329" s="8">
        <f>AV229*Pricing!$F$31*AV307*Pricing!$B$15*AV47</f>
        <v/>
      </c>
      <c r="AW329" s="8">
        <f>AW229*Pricing!$F$31*AW307*Pricing!$B$15*AW47</f>
        <v/>
      </c>
      <c r="AX329" s="8">
        <f>AX229*Pricing!$F$31*AX307*Pricing!$B$15*AX47</f>
        <v/>
      </c>
      <c r="AY329" s="8">
        <f>AY229*Pricing!$F$31*AY307*Pricing!$B$15*AY47</f>
        <v/>
      </c>
      <c r="AZ329" s="8">
        <f>AZ229*Pricing!$F$31*AZ307*Pricing!$B$15*AZ47</f>
        <v/>
      </c>
      <c r="BA329" s="8">
        <f>BA229*Pricing!$F$31*BA307*Pricing!$B$15*BA47</f>
        <v/>
      </c>
      <c r="BB329" s="8">
        <f>BB229*Pricing!$F$31*BB307*Pricing!$B$15*BB47</f>
        <v/>
      </c>
      <c r="BC329" s="8">
        <f>BC229*Pricing!$F$31*BC307*Pricing!$B$15*BC47</f>
        <v/>
      </c>
      <c r="BD329" s="8">
        <f>BD229*Pricing!$F$31*BD307*Pricing!$B$15*BD47</f>
        <v/>
      </c>
      <c r="BE329" s="8">
        <f>BE229*Pricing!$F$31*BE307*Pricing!$B$15*BE47</f>
        <v/>
      </c>
      <c r="BF329" s="8">
        <f>BF229*Pricing!$F$31*BF307*Pricing!$B$15*BF47</f>
        <v/>
      </c>
      <c r="BG329" s="8">
        <f>BG229*Pricing!$F$31*BG307*Pricing!$B$15*BG47</f>
        <v/>
      </c>
      <c r="BH329" s="8">
        <f>BH229*Pricing!$F$31*BH307*Pricing!$B$15*BH47</f>
        <v/>
      </c>
      <c r="BI329" s="8">
        <f>BI229*Pricing!$F$31*BI307*Pricing!$B$15*BI47</f>
        <v/>
      </c>
      <c r="BJ329" s="8">
        <f>BJ229*Pricing!$F$31*BJ307*Pricing!$B$15*BJ47</f>
        <v/>
      </c>
    </row>
    <row r="330">
      <c r="A330" s="4" t="inlineStr">
        <is>
          <t>Gross subscription revenue: Rest of Africa (USD): Solo: Growth (upgraded or direct)</t>
        </is>
      </c>
      <c r="B330" s="17" t="inlineStr">
        <is>
          <t>R</t>
        </is>
      </c>
      <c r="C330" s="8">
        <f>C233*Pricing!$F$32*C307*Pricing!$B$15*C47</f>
        <v/>
      </c>
      <c r="D330" s="8">
        <f>D233*Pricing!$F$32*D307*Pricing!$B$15*D47</f>
        <v/>
      </c>
      <c r="E330" s="8">
        <f>E233*Pricing!$F$32*E307*Pricing!$B$15*E47</f>
        <v/>
      </c>
      <c r="F330" s="8">
        <f>F233*Pricing!$F$32*F307*Pricing!$B$15*F47</f>
        <v/>
      </c>
      <c r="G330" s="8">
        <f>G233*Pricing!$F$32*G307*Pricing!$B$15*G47</f>
        <v/>
      </c>
      <c r="H330" s="8">
        <f>H233*Pricing!$F$32*H307*Pricing!$B$15*H47</f>
        <v/>
      </c>
      <c r="I330" s="8">
        <f>I233*Pricing!$F$32*I307*Pricing!$B$15*I47</f>
        <v/>
      </c>
      <c r="J330" s="8">
        <f>J233*Pricing!$F$32*J307*Pricing!$B$15*J47</f>
        <v/>
      </c>
      <c r="K330" s="8">
        <f>K233*Pricing!$F$32*K307*Pricing!$B$15*K47</f>
        <v/>
      </c>
      <c r="L330" s="8">
        <f>L233*Pricing!$F$32*L307*Pricing!$B$15*L47</f>
        <v/>
      </c>
      <c r="M330" s="8">
        <f>M233*Pricing!$F$32*M307*Pricing!$B$15*M47</f>
        <v/>
      </c>
      <c r="N330" s="8">
        <f>N233*Pricing!$F$32*N307*Pricing!$B$15*N47</f>
        <v/>
      </c>
      <c r="O330" s="8">
        <f>O233*Pricing!$F$32*O307*Pricing!$B$15*O47</f>
        <v/>
      </c>
      <c r="P330" s="8">
        <f>P233*Pricing!$F$32*P307*Pricing!$B$15*P47</f>
        <v/>
      </c>
      <c r="Q330" s="8">
        <f>Q233*Pricing!$F$32*Q307*Pricing!$B$15*Q47</f>
        <v/>
      </c>
      <c r="R330" s="8">
        <f>R233*Pricing!$F$32*R307*Pricing!$B$15*R47</f>
        <v/>
      </c>
      <c r="S330" s="8">
        <f>S233*Pricing!$F$32*S307*Pricing!$B$15*S47</f>
        <v/>
      </c>
      <c r="T330" s="8">
        <f>T233*Pricing!$F$32*T307*Pricing!$B$15*T47</f>
        <v/>
      </c>
      <c r="U330" s="8">
        <f>U233*Pricing!$F$32*U307*Pricing!$B$15*U47</f>
        <v/>
      </c>
      <c r="V330" s="8">
        <f>V233*Pricing!$F$32*V307*Pricing!$B$15*V47</f>
        <v/>
      </c>
      <c r="W330" s="8">
        <f>W233*Pricing!$F$32*W307*Pricing!$B$15*W47</f>
        <v/>
      </c>
      <c r="X330" s="8">
        <f>X233*Pricing!$F$32*X307*Pricing!$B$15*X47</f>
        <v/>
      </c>
      <c r="Y330" s="8">
        <f>Y233*Pricing!$F$32*Y307*Pricing!$B$15*Y47</f>
        <v/>
      </c>
      <c r="Z330" s="8">
        <f>Z233*Pricing!$F$32*Z307*Pricing!$B$15*Z47</f>
        <v/>
      </c>
      <c r="AA330" s="8">
        <f>AA233*Pricing!$F$32*AA307*Pricing!$B$15*AA47</f>
        <v/>
      </c>
      <c r="AB330" s="8">
        <f>AB233*Pricing!$F$32*AB307*Pricing!$B$15*AB47</f>
        <v/>
      </c>
      <c r="AC330" s="8">
        <f>AC233*Pricing!$F$32*AC307*Pricing!$B$15*AC47</f>
        <v/>
      </c>
      <c r="AD330" s="8">
        <f>AD233*Pricing!$F$32*AD307*Pricing!$B$15*AD47</f>
        <v/>
      </c>
      <c r="AE330" s="8">
        <f>AE233*Pricing!$F$32*AE307*Pricing!$B$15*AE47</f>
        <v/>
      </c>
      <c r="AF330" s="8">
        <f>AF233*Pricing!$F$32*AF307*Pricing!$B$15*AF47</f>
        <v/>
      </c>
      <c r="AG330" s="8">
        <f>AG233*Pricing!$F$32*AG307*Pricing!$B$15*AG47</f>
        <v/>
      </c>
      <c r="AH330" s="8">
        <f>AH233*Pricing!$F$32*AH307*Pricing!$B$15*AH47</f>
        <v/>
      </c>
      <c r="AI330" s="8">
        <f>AI233*Pricing!$F$32*AI307*Pricing!$B$15*AI47</f>
        <v/>
      </c>
      <c r="AJ330" s="8">
        <f>AJ233*Pricing!$F$32*AJ307*Pricing!$B$15*AJ47</f>
        <v/>
      </c>
      <c r="AK330" s="8">
        <f>AK233*Pricing!$F$32*AK307*Pricing!$B$15*AK47</f>
        <v/>
      </c>
      <c r="AL330" s="8">
        <f>AL233*Pricing!$F$32*AL307*Pricing!$B$15*AL47</f>
        <v/>
      </c>
      <c r="AM330" s="8">
        <f>AM233*Pricing!$F$32*AM307*Pricing!$B$15*AM47</f>
        <v/>
      </c>
      <c r="AN330" s="8">
        <f>AN233*Pricing!$F$32*AN307*Pricing!$B$15*AN47</f>
        <v/>
      </c>
      <c r="AO330" s="8">
        <f>AO233*Pricing!$F$32*AO307*Pricing!$B$15*AO47</f>
        <v/>
      </c>
      <c r="AP330" s="8">
        <f>AP233*Pricing!$F$32*AP307*Pricing!$B$15*AP47</f>
        <v/>
      </c>
      <c r="AQ330" s="8">
        <f>AQ233*Pricing!$F$32*AQ307*Pricing!$B$15*AQ47</f>
        <v/>
      </c>
      <c r="AR330" s="8">
        <f>AR233*Pricing!$F$32*AR307*Pricing!$B$15*AR47</f>
        <v/>
      </c>
      <c r="AS330" s="8">
        <f>AS233*Pricing!$F$32*AS307*Pricing!$B$15*AS47</f>
        <v/>
      </c>
      <c r="AT330" s="8">
        <f>AT233*Pricing!$F$32*AT307*Pricing!$B$15*AT47</f>
        <v/>
      </c>
      <c r="AU330" s="8">
        <f>AU233*Pricing!$F$32*AU307*Pricing!$B$15*AU47</f>
        <v/>
      </c>
      <c r="AV330" s="8">
        <f>AV233*Pricing!$F$32*AV307*Pricing!$B$15*AV47</f>
        <v/>
      </c>
      <c r="AW330" s="8">
        <f>AW233*Pricing!$F$32*AW307*Pricing!$B$15*AW47</f>
        <v/>
      </c>
      <c r="AX330" s="8">
        <f>AX233*Pricing!$F$32*AX307*Pricing!$B$15*AX47</f>
        <v/>
      </c>
      <c r="AY330" s="8">
        <f>AY233*Pricing!$F$32*AY307*Pricing!$B$15*AY47</f>
        <v/>
      </c>
      <c r="AZ330" s="8">
        <f>AZ233*Pricing!$F$32*AZ307*Pricing!$B$15*AZ47</f>
        <v/>
      </c>
      <c r="BA330" s="8">
        <f>BA233*Pricing!$F$32*BA307*Pricing!$B$15*BA47</f>
        <v/>
      </c>
      <c r="BB330" s="8">
        <f>BB233*Pricing!$F$32*BB307*Pricing!$B$15*BB47</f>
        <v/>
      </c>
      <c r="BC330" s="8">
        <f>BC233*Pricing!$F$32*BC307*Pricing!$B$15*BC47</f>
        <v/>
      </c>
      <c r="BD330" s="8">
        <f>BD233*Pricing!$F$32*BD307*Pricing!$B$15*BD47</f>
        <v/>
      </c>
      <c r="BE330" s="8">
        <f>BE233*Pricing!$F$32*BE307*Pricing!$B$15*BE47</f>
        <v/>
      </c>
      <c r="BF330" s="8">
        <f>BF233*Pricing!$F$32*BF307*Pricing!$B$15*BF47</f>
        <v/>
      </c>
      <c r="BG330" s="8">
        <f>BG233*Pricing!$F$32*BG307*Pricing!$B$15*BG47</f>
        <v/>
      </c>
      <c r="BH330" s="8">
        <f>BH233*Pricing!$F$32*BH307*Pricing!$B$15*BH47</f>
        <v/>
      </c>
      <c r="BI330" s="8">
        <f>BI233*Pricing!$F$32*BI307*Pricing!$B$15*BI47</f>
        <v/>
      </c>
      <c r="BJ330" s="8">
        <f>BJ233*Pricing!$F$32*BJ307*Pricing!$B$15*BJ47</f>
        <v/>
      </c>
    </row>
    <row r="331">
      <c r="A331" s="4" t="inlineStr">
        <is>
          <t>Gross subscription revenue: Rest of Africa (USD): SME: Growth</t>
        </is>
      </c>
      <c r="B331" s="17" t="inlineStr">
        <is>
          <t>R</t>
        </is>
      </c>
      <c r="C331" s="8">
        <f>C238*Pricing!$F$32*C307*Pricing!$B$15*C47</f>
        <v/>
      </c>
      <c r="D331" s="8">
        <f>D238*Pricing!$F$32*D307*Pricing!$B$15*D47</f>
        <v/>
      </c>
      <c r="E331" s="8">
        <f>E238*Pricing!$F$32*E307*Pricing!$B$15*E47</f>
        <v/>
      </c>
      <c r="F331" s="8">
        <f>F238*Pricing!$F$32*F307*Pricing!$B$15*F47</f>
        <v/>
      </c>
      <c r="G331" s="8">
        <f>G238*Pricing!$F$32*G307*Pricing!$B$15*G47</f>
        <v/>
      </c>
      <c r="H331" s="8">
        <f>H238*Pricing!$F$32*H307*Pricing!$B$15*H47</f>
        <v/>
      </c>
      <c r="I331" s="8">
        <f>I238*Pricing!$F$32*I307*Pricing!$B$15*I47</f>
        <v/>
      </c>
      <c r="J331" s="8">
        <f>J238*Pricing!$F$32*J307*Pricing!$B$15*J47</f>
        <v/>
      </c>
      <c r="K331" s="8">
        <f>K238*Pricing!$F$32*K307*Pricing!$B$15*K47</f>
        <v/>
      </c>
      <c r="L331" s="8">
        <f>L238*Pricing!$F$32*L307*Pricing!$B$15*L47</f>
        <v/>
      </c>
      <c r="M331" s="8">
        <f>M238*Pricing!$F$32*M307*Pricing!$B$15*M47</f>
        <v/>
      </c>
      <c r="N331" s="8">
        <f>N238*Pricing!$F$32*N307*Pricing!$B$15*N47</f>
        <v/>
      </c>
      <c r="O331" s="8">
        <f>O238*Pricing!$F$32*O307*Pricing!$B$15*O47</f>
        <v/>
      </c>
      <c r="P331" s="8">
        <f>P238*Pricing!$F$32*P307*Pricing!$B$15*P47</f>
        <v/>
      </c>
      <c r="Q331" s="8">
        <f>Q238*Pricing!$F$32*Q307*Pricing!$B$15*Q47</f>
        <v/>
      </c>
      <c r="R331" s="8">
        <f>R238*Pricing!$F$32*R307*Pricing!$B$15*R47</f>
        <v/>
      </c>
      <c r="S331" s="8">
        <f>S238*Pricing!$F$32*S307*Pricing!$B$15*S47</f>
        <v/>
      </c>
      <c r="T331" s="8">
        <f>T238*Pricing!$F$32*T307*Pricing!$B$15*T47</f>
        <v/>
      </c>
      <c r="U331" s="8">
        <f>U238*Pricing!$F$32*U307*Pricing!$B$15*U47</f>
        <v/>
      </c>
      <c r="V331" s="8">
        <f>V238*Pricing!$F$32*V307*Pricing!$B$15*V47</f>
        <v/>
      </c>
      <c r="W331" s="8">
        <f>W238*Pricing!$F$32*W307*Pricing!$B$15*W47</f>
        <v/>
      </c>
      <c r="X331" s="8">
        <f>X238*Pricing!$F$32*X307*Pricing!$B$15*X47</f>
        <v/>
      </c>
      <c r="Y331" s="8">
        <f>Y238*Pricing!$F$32*Y307*Pricing!$B$15*Y47</f>
        <v/>
      </c>
      <c r="Z331" s="8">
        <f>Z238*Pricing!$F$32*Z307*Pricing!$B$15*Z47</f>
        <v/>
      </c>
      <c r="AA331" s="8">
        <f>AA238*Pricing!$F$32*AA307*Pricing!$B$15*AA47</f>
        <v/>
      </c>
      <c r="AB331" s="8">
        <f>AB238*Pricing!$F$32*AB307*Pricing!$B$15*AB47</f>
        <v/>
      </c>
      <c r="AC331" s="8">
        <f>AC238*Pricing!$F$32*AC307*Pricing!$B$15*AC47</f>
        <v/>
      </c>
      <c r="AD331" s="8">
        <f>AD238*Pricing!$F$32*AD307*Pricing!$B$15*AD47</f>
        <v/>
      </c>
      <c r="AE331" s="8">
        <f>AE238*Pricing!$F$32*AE307*Pricing!$B$15*AE47</f>
        <v/>
      </c>
      <c r="AF331" s="8">
        <f>AF238*Pricing!$F$32*AF307*Pricing!$B$15*AF47</f>
        <v/>
      </c>
      <c r="AG331" s="8">
        <f>AG238*Pricing!$F$32*AG307*Pricing!$B$15*AG47</f>
        <v/>
      </c>
      <c r="AH331" s="8">
        <f>AH238*Pricing!$F$32*AH307*Pricing!$B$15*AH47</f>
        <v/>
      </c>
      <c r="AI331" s="8">
        <f>AI238*Pricing!$F$32*AI307*Pricing!$B$15*AI47</f>
        <v/>
      </c>
      <c r="AJ331" s="8">
        <f>AJ238*Pricing!$F$32*AJ307*Pricing!$B$15*AJ47</f>
        <v/>
      </c>
      <c r="AK331" s="8">
        <f>AK238*Pricing!$F$32*AK307*Pricing!$B$15*AK47</f>
        <v/>
      </c>
      <c r="AL331" s="8">
        <f>AL238*Pricing!$F$32*AL307*Pricing!$B$15*AL47</f>
        <v/>
      </c>
      <c r="AM331" s="8">
        <f>AM238*Pricing!$F$32*AM307*Pricing!$B$15*AM47</f>
        <v/>
      </c>
      <c r="AN331" s="8">
        <f>AN238*Pricing!$F$32*AN307*Pricing!$B$15*AN47</f>
        <v/>
      </c>
      <c r="AO331" s="8">
        <f>AO238*Pricing!$F$32*AO307*Pricing!$B$15*AO47</f>
        <v/>
      </c>
      <c r="AP331" s="8">
        <f>AP238*Pricing!$F$32*AP307*Pricing!$B$15*AP47</f>
        <v/>
      </c>
      <c r="AQ331" s="8">
        <f>AQ238*Pricing!$F$32*AQ307*Pricing!$B$15*AQ47</f>
        <v/>
      </c>
      <c r="AR331" s="8">
        <f>AR238*Pricing!$F$32*AR307*Pricing!$B$15*AR47</f>
        <v/>
      </c>
      <c r="AS331" s="8">
        <f>AS238*Pricing!$F$32*AS307*Pricing!$B$15*AS47</f>
        <v/>
      </c>
      <c r="AT331" s="8">
        <f>AT238*Pricing!$F$32*AT307*Pricing!$B$15*AT47</f>
        <v/>
      </c>
      <c r="AU331" s="8">
        <f>AU238*Pricing!$F$32*AU307*Pricing!$B$15*AU47</f>
        <v/>
      </c>
      <c r="AV331" s="8">
        <f>AV238*Pricing!$F$32*AV307*Pricing!$B$15*AV47</f>
        <v/>
      </c>
      <c r="AW331" s="8">
        <f>AW238*Pricing!$F$32*AW307*Pricing!$B$15*AW47</f>
        <v/>
      </c>
      <c r="AX331" s="8">
        <f>AX238*Pricing!$F$32*AX307*Pricing!$B$15*AX47</f>
        <v/>
      </c>
      <c r="AY331" s="8">
        <f>AY238*Pricing!$F$32*AY307*Pricing!$B$15*AY47</f>
        <v/>
      </c>
      <c r="AZ331" s="8">
        <f>AZ238*Pricing!$F$32*AZ307*Pricing!$B$15*AZ47</f>
        <v/>
      </c>
      <c r="BA331" s="8">
        <f>BA238*Pricing!$F$32*BA307*Pricing!$B$15*BA47</f>
        <v/>
      </c>
      <c r="BB331" s="8">
        <f>BB238*Pricing!$F$32*BB307*Pricing!$B$15*BB47</f>
        <v/>
      </c>
      <c r="BC331" s="8">
        <f>BC238*Pricing!$F$32*BC307*Pricing!$B$15*BC47</f>
        <v/>
      </c>
      <c r="BD331" s="8">
        <f>BD238*Pricing!$F$32*BD307*Pricing!$B$15*BD47</f>
        <v/>
      </c>
      <c r="BE331" s="8">
        <f>BE238*Pricing!$F$32*BE307*Pricing!$B$15*BE47</f>
        <v/>
      </c>
      <c r="BF331" s="8">
        <f>BF238*Pricing!$F$32*BF307*Pricing!$B$15*BF47</f>
        <v/>
      </c>
      <c r="BG331" s="8">
        <f>BG238*Pricing!$F$32*BG307*Pricing!$B$15*BG47</f>
        <v/>
      </c>
      <c r="BH331" s="8">
        <f>BH238*Pricing!$F$32*BH307*Pricing!$B$15*BH47</f>
        <v/>
      </c>
      <c r="BI331" s="8">
        <f>BI238*Pricing!$F$32*BI307*Pricing!$B$15*BI47</f>
        <v/>
      </c>
      <c r="BJ331" s="8">
        <f>BJ238*Pricing!$F$32*BJ307*Pricing!$B$15*BJ47</f>
        <v/>
      </c>
    </row>
    <row r="332">
      <c r="A332" s="4" t="inlineStr">
        <is>
          <t>Gross subscription revenue: Rest of Africa (USD): SME: Scale (upgraded or direct)</t>
        </is>
      </c>
      <c r="B332" s="17" t="inlineStr">
        <is>
          <t>R</t>
        </is>
      </c>
      <c r="C332" s="8">
        <f>C242*Pricing!$F$33*C307*Pricing!$B$15*C47</f>
        <v/>
      </c>
      <c r="D332" s="8">
        <f>D242*Pricing!$F$33*D307*Pricing!$B$15*D47</f>
        <v/>
      </c>
      <c r="E332" s="8">
        <f>E242*Pricing!$F$33*E307*Pricing!$B$15*E47</f>
        <v/>
      </c>
      <c r="F332" s="8">
        <f>F242*Pricing!$F$33*F307*Pricing!$B$15*F47</f>
        <v/>
      </c>
      <c r="G332" s="8">
        <f>G242*Pricing!$F$33*G307*Pricing!$B$15*G47</f>
        <v/>
      </c>
      <c r="H332" s="8">
        <f>H242*Pricing!$F$33*H307*Pricing!$B$15*H47</f>
        <v/>
      </c>
      <c r="I332" s="8">
        <f>I242*Pricing!$F$33*I307*Pricing!$B$15*I47</f>
        <v/>
      </c>
      <c r="J332" s="8">
        <f>J242*Pricing!$F$33*J307*Pricing!$B$15*J47</f>
        <v/>
      </c>
      <c r="K332" s="8">
        <f>K242*Pricing!$F$33*K307*Pricing!$B$15*K47</f>
        <v/>
      </c>
      <c r="L332" s="8">
        <f>L242*Pricing!$F$33*L307*Pricing!$B$15*L47</f>
        <v/>
      </c>
      <c r="M332" s="8">
        <f>M242*Pricing!$F$33*M307*Pricing!$B$15*M47</f>
        <v/>
      </c>
      <c r="N332" s="8">
        <f>N242*Pricing!$F$33*N307*Pricing!$B$15*N47</f>
        <v/>
      </c>
      <c r="O332" s="8">
        <f>O242*Pricing!$F$33*O307*Pricing!$B$15*O47</f>
        <v/>
      </c>
      <c r="P332" s="8">
        <f>P242*Pricing!$F$33*P307*Pricing!$B$15*P47</f>
        <v/>
      </c>
      <c r="Q332" s="8">
        <f>Q242*Pricing!$F$33*Q307*Pricing!$B$15*Q47</f>
        <v/>
      </c>
      <c r="R332" s="8">
        <f>R242*Pricing!$F$33*R307*Pricing!$B$15*R47</f>
        <v/>
      </c>
      <c r="S332" s="8">
        <f>S242*Pricing!$F$33*S307*Pricing!$B$15*S47</f>
        <v/>
      </c>
      <c r="T332" s="8">
        <f>T242*Pricing!$F$33*T307*Pricing!$B$15*T47</f>
        <v/>
      </c>
      <c r="U332" s="8">
        <f>U242*Pricing!$F$33*U307*Pricing!$B$15*U47</f>
        <v/>
      </c>
      <c r="V332" s="8">
        <f>V242*Pricing!$F$33*V307*Pricing!$B$15*V47</f>
        <v/>
      </c>
      <c r="W332" s="8">
        <f>W242*Pricing!$F$33*W307*Pricing!$B$15*W47</f>
        <v/>
      </c>
      <c r="X332" s="8">
        <f>X242*Pricing!$F$33*X307*Pricing!$B$15*X47</f>
        <v/>
      </c>
      <c r="Y332" s="8">
        <f>Y242*Pricing!$F$33*Y307*Pricing!$B$15*Y47</f>
        <v/>
      </c>
      <c r="Z332" s="8">
        <f>Z242*Pricing!$F$33*Z307*Pricing!$B$15*Z47</f>
        <v/>
      </c>
      <c r="AA332" s="8">
        <f>AA242*Pricing!$F$33*AA307*Pricing!$B$15*AA47</f>
        <v/>
      </c>
      <c r="AB332" s="8">
        <f>AB242*Pricing!$F$33*AB307*Pricing!$B$15*AB47</f>
        <v/>
      </c>
      <c r="AC332" s="8">
        <f>AC242*Pricing!$F$33*AC307*Pricing!$B$15*AC47</f>
        <v/>
      </c>
      <c r="AD332" s="8">
        <f>AD242*Pricing!$F$33*AD307*Pricing!$B$15*AD47</f>
        <v/>
      </c>
      <c r="AE332" s="8">
        <f>AE242*Pricing!$F$33*AE307*Pricing!$B$15*AE47</f>
        <v/>
      </c>
      <c r="AF332" s="8">
        <f>AF242*Pricing!$F$33*AF307*Pricing!$B$15*AF47</f>
        <v/>
      </c>
      <c r="AG332" s="8">
        <f>AG242*Pricing!$F$33*AG307*Pricing!$B$15*AG47</f>
        <v/>
      </c>
      <c r="AH332" s="8">
        <f>AH242*Pricing!$F$33*AH307*Pricing!$B$15*AH47</f>
        <v/>
      </c>
      <c r="AI332" s="8">
        <f>AI242*Pricing!$F$33*AI307*Pricing!$B$15*AI47</f>
        <v/>
      </c>
      <c r="AJ332" s="8">
        <f>AJ242*Pricing!$F$33*AJ307*Pricing!$B$15*AJ47</f>
        <v/>
      </c>
      <c r="AK332" s="8">
        <f>AK242*Pricing!$F$33*AK307*Pricing!$B$15*AK47</f>
        <v/>
      </c>
      <c r="AL332" s="8">
        <f>AL242*Pricing!$F$33*AL307*Pricing!$B$15*AL47</f>
        <v/>
      </c>
      <c r="AM332" s="8">
        <f>AM242*Pricing!$F$33*AM307*Pricing!$B$15*AM47</f>
        <v/>
      </c>
      <c r="AN332" s="8">
        <f>AN242*Pricing!$F$33*AN307*Pricing!$B$15*AN47</f>
        <v/>
      </c>
      <c r="AO332" s="8">
        <f>AO242*Pricing!$F$33*AO307*Pricing!$B$15*AO47</f>
        <v/>
      </c>
      <c r="AP332" s="8">
        <f>AP242*Pricing!$F$33*AP307*Pricing!$B$15*AP47</f>
        <v/>
      </c>
      <c r="AQ332" s="8">
        <f>AQ242*Pricing!$F$33*AQ307*Pricing!$B$15*AQ47</f>
        <v/>
      </c>
      <c r="AR332" s="8">
        <f>AR242*Pricing!$F$33*AR307*Pricing!$B$15*AR47</f>
        <v/>
      </c>
      <c r="AS332" s="8">
        <f>AS242*Pricing!$F$33*AS307*Pricing!$B$15*AS47</f>
        <v/>
      </c>
      <c r="AT332" s="8">
        <f>AT242*Pricing!$F$33*AT307*Pricing!$B$15*AT47</f>
        <v/>
      </c>
      <c r="AU332" s="8">
        <f>AU242*Pricing!$F$33*AU307*Pricing!$B$15*AU47</f>
        <v/>
      </c>
      <c r="AV332" s="8">
        <f>AV242*Pricing!$F$33*AV307*Pricing!$B$15*AV47</f>
        <v/>
      </c>
      <c r="AW332" s="8">
        <f>AW242*Pricing!$F$33*AW307*Pricing!$B$15*AW47</f>
        <v/>
      </c>
      <c r="AX332" s="8">
        <f>AX242*Pricing!$F$33*AX307*Pricing!$B$15*AX47</f>
        <v/>
      </c>
      <c r="AY332" s="8">
        <f>AY242*Pricing!$F$33*AY307*Pricing!$B$15*AY47</f>
        <v/>
      </c>
      <c r="AZ332" s="8">
        <f>AZ242*Pricing!$F$33*AZ307*Pricing!$B$15*AZ47</f>
        <v/>
      </c>
      <c r="BA332" s="8">
        <f>BA242*Pricing!$F$33*BA307*Pricing!$B$15*BA47</f>
        <v/>
      </c>
      <c r="BB332" s="8">
        <f>BB242*Pricing!$F$33*BB307*Pricing!$B$15*BB47</f>
        <v/>
      </c>
      <c r="BC332" s="8">
        <f>BC242*Pricing!$F$33*BC307*Pricing!$B$15*BC47</f>
        <v/>
      </c>
      <c r="BD332" s="8">
        <f>BD242*Pricing!$F$33*BD307*Pricing!$B$15*BD47</f>
        <v/>
      </c>
      <c r="BE332" s="8">
        <f>BE242*Pricing!$F$33*BE307*Pricing!$B$15*BE47</f>
        <v/>
      </c>
      <c r="BF332" s="8">
        <f>BF242*Pricing!$F$33*BF307*Pricing!$B$15*BF47</f>
        <v/>
      </c>
      <c r="BG332" s="8">
        <f>BG242*Pricing!$F$33*BG307*Pricing!$B$15*BG47</f>
        <v/>
      </c>
      <c r="BH332" s="8">
        <f>BH242*Pricing!$F$33*BH307*Pricing!$B$15*BH47</f>
        <v/>
      </c>
      <c r="BI332" s="8">
        <f>BI242*Pricing!$F$33*BI307*Pricing!$B$15*BI47</f>
        <v/>
      </c>
      <c r="BJ332" s="8">
        <f>BJ242*Pricing!$F$33*BJ307*Pricing!$B$15*BJ47</f>
        <v/>
      </c>
    </row>
    <row r="333">
      <c r="A333" s="4" t="inlineStr">
        <is>
          <t>Gross subscription revenue: Botswana &amp; Namibia: Solo: Starter</t>
        </is>
      </c>
      <c r="B333" s="17" t="inlineStr">
        <is>
          <t>R</t>
        </is>
      </c>
      <c r="C333" s="8">
        <f>C247*Pricing!$G$31*C307*Pricing!$B$15</f>
        <v/>
      </c>
      <c r="D333" s="8">
        <f>D247*Pricing!$G$31*D307*Pricing!$B$15</f>
        <v/>
      </c>
      <c r="E333" s="8">
        <f>E247*Pricing!$G$31*E307*Pricing!$B$15</f>
        <v/>
      </c>
      <c r="F333" s="8">
        <f>F247*Pricing!$G$31*F307*Pricing!$B$15</f>
        <v/>
      </c>
      <c r="G333" s="8">
        <f>G247*Pricing!$G$31*G307*Pricing!$B$15</f>
        <v/>
      </c>
      <c r="H333" s="8">
        <f>H247*Pricing!$G$31*H307*Pricing!$B$15</f>
        <v/>
      </c>
      <c r="I333" s="8">
        <f>I247*Pricing!$G$31*I307*Pricing!$B$15</f>
        <v/>
      </c>
      <c r="J333" s="8">
        <f>J247*Pricing!$G$31*J307*Pricing!$B$15</f>
        <v/>
      </c>
      <c r="K333" s="8">
        <f>K247*Pricing!$G$31*K307*Pricing!$B$15</f>
        <v/>
      </c>
      <c r="L333" s="8">
        <f>L247*Pricing!$G$31*L307*Pricing!$B$15</f>
        <v/>
      </c>
      <c r="M333" s="8">
        <f>M247*Pricing!$G$31*M307*Pricing!$B$15</f>
        <v/>
      </c>
      <c r="N333" s="8">
        <f>N247*Pricing!$G$31*N307*Pricing!$B$15</f>
        <v/>
      </c>
      <c r="O333" s="8">
        <f>O247*Pricing!$G$31*O307*Pricing!$B$15</f>
        <v/>
      </c>
      <c r="P333" s="8">
        <f>P247*Pricing!$G$31*P307*Pricing!$B$15</f>
        <v/>
      </c>
      <c r="Q333" s="8">
        <f>Q247*Pricing!$G$31*Q307*Pricing!$B$15</f>
        <v/>
      </c>
      <c r="R333" s="8">
        <f>R247*Pricing!$G$31*R307*Pricing!$B$15</f>
        <v/>
      </c>
      <c r="S333" s="8">
        <f>S247*Pricing!$G$31*S307*Pricing!$B$15</f>
        <v/>
      </c>
      <c r="T333" s="8">
        <f>T247*Pricing!$G$31*T307*Pricing!$B$15</f>
        <v/>
      </c>
      <c r="U333" s="8">
        <f>U247*Pricing!$G$31*U307*Pricing!$B$15</f>
        <v/>
      </c>
      <c r="V333" s="8">
        <f>V247*Pricing!$G$31*V307*Pricing!$B$15</f>
        <v/>
      </c>
      <c r="W333" s="8">
        <f>W247*Pricing!$G$31*W307*Pricing!$B$15</f>
        <v/>
      </c>
      <c r="X333" s="8">
        <f>X247*Pricing!$G$31*X307*Pricing!$B$15</f>
        <v/>
      </c>
      <c r="Y333" s="8">
        <f>Y247*Pricing!$G$31*Y307*Pricing!$B$15</f>
        <v/>
      </c>
      <c r="Z333" s="8">
        <f>Z247*Pricing!$G$31*Z307*Pricing!$B$15</f>
        <v/>
      </c>
      <c r="AA333" s="8">
        <f>AA247*Pricing!$G$31*AA307*Pricing!$B$15</f>
        <v/>
      </c>
      <c r="AB333" s="8">
        <f>AB247*Pricing!$G$31*AB307*Pricing!$B$15</f>
        <v/>
      </c>
      <c r="AC333" s="8">
        <f>AC247*Pricing!$G$31*AC307*Pricing!$B$15</f>
        <v/>
      </c>
      <c r="AD333" s="8">
        <f>AD247*Pricing!$G$31*AD307*Pricing!$B$15</f>
        <v/>
      </c>
      <c r="AE333" s="8">
        <f>AE247*Pricing!$G$31*AE307*Pricing!$B$15</f>
        <v/>
      </c>
      <c r="AF333" s="8">
        <f>AF247*Pricing!$G$31*AF307*Pricing!$B$15</f>
        <v/>
      </c>
      <c r="AG333" s="8">
        <f>AG247*Pricing!$G$31*AG307*Pricing!$B$15</f>
        <v/>
      </c>
      <c r="AH333" s="8">
        <f>AH247*Pricing!$G$31*AH307*Pricing!$B$15</f>
        <v/>
      </c>
      <c r="AI333" s="8">
        <f>AI247*Pricing!$G$31*AI307*Pricing!$B$15</f>
        <v/>
      </c>
      <c r="AJ333" s="8">
        <f>AJ247*Pricing!$G$31*AJ307*Pricing!$B$15</f>
        <v/>
      </c>
      <c r="AK333" s="8">
        <f>AK247*Pricing!$G$31*AK307*Pricing!$B$15</f>
        <v/>
      </c>
      <c r="AL333" s="8">
        <f>AL247*Pricing!$G$31*AL307*Pricing!$B$15</f>
        <v/>
      </c>
      <c r="AM333" s="8">
        <f>AM247*Pricing!$G$31*AM307*Pricing!$B$15</f>
        <v/>
      </c>
      <c r="AN333" s="8">
        <f>AN247*Pricing!$G$31*AN307*Pricing!$B$15</f>
        <v/>
      </c>
      <c r="AO333" s="8">
        <f>AO247*Pricing!$G$31*AO307*Pricing!$B$15</f>
        <v/>
      </c>
      <c r="AP333" s="8">
        <f>AP247*Pricing!$G$31*AP307*Pricing!$B$15</f>
        <v/>
      </c>
      <c r="AQ333" s="8">
        <f>AQ247*Pricing!$G$31*AQ307*Pricing!$B$15</f>
        <v/>
      </c>
      <c r="AR333" s="8">
        <f>AR247*Pricing!$G$31*AR307*Pricing!$B$15</f>
        <v/>
      </c>
      <c r="AS333" s="8">
        <f>AS247*Pricing!$G$31*AS307*Pricing!$B$15</f>
        <v/>
      </c>
      <c r="AT333" s="8">
        <f>AT247*Pricing!$G$31*AT307*Pricing!$B$15</f>
        <v/>
      </c>
      <c r="AU333" s="8">
        <f>AU247*Pricing!$G$31*AU307*Pricing!$B$15</f>
        <v/>
      </c>
      <c r="AV333" s="8">
        <f>AV247*Pricing!$G$31*AV307*Pricing!$B$15</f>
        <v/>
      </c>
      <c r="AW333" s="8">
        <f>AW247*Pricing!$G$31*AW307*Pricing!$B$15</f>
        <v/>
      </c>
      <c r="AX333" s="8">
        <f>AX247*Pricing!$G$31*AX307*Pricing!$B$15</f>
        <v/>
      </c>
      <c r="AY333" s="8">
        <f>AY247*Pricing!$G$31*AY307*Pricing!$B$15</f>
        <v/>
      </c>
      <c r="AZ333" s="8">
        <f>AZ247*Pricing!$G$31*AZ307*Pricing!$B$15</f>
        <v/>
      </c>
      <c r="BA333" s="8">
        <f>BA247*Pricing!$G$31*BA307*Pricing!$B$15</f>
        <v/>
      </c>
      <c r="BB333" s="8">
        <f>BB247*Pricing!$G$31*BB307*Pricing!$B$15</f>
        <v/>
      </c>
      <c r="BC333" s="8">
        <f>BC247*Pricing!$G$31*BC307*Pricing!$B$15</f>
        <v/>
      </c>
      <c r="BD333" s="8">
        <f>BD247*Pricing!$G$31*BD307*Pricing!$B$15</f>
        <v/>
      </c>
      <c r="BE333" s="8">
        <f>BE247*Pricing!$G$31*BE307*Pricing!$B$15</f>
        <v/>
      </c>
      <c r="BF333" s="8">
        <f>BF247*Pricing!$G$31*BF307*Pricing!$B$15</f>
        <v/>
      </c>
      <c r="BG333" s="8">
        <f>BG247*Pricing!$G$31*BG307*Pricing!$B$15</f>
        <v/>
      </c>
      <c r="BH333" s="8">
        <f>BH247*Pricing!$G$31*BH307*Pricing!$B$15</f>
        <v/>
      </c>
      <c r="BI333" s="8">
        <f>BI247*Pricing!$G$31*BI307*Pricing!$B$15</f>
        <v/>
      </c>
      <c r="BJ333" s="8">
        <f>BJ247*Pricing!$G$31*BJ307*Pricing!$B$15</f>
        <v/>
      </c>
    </row>
    <row r="334">
      <c r="A334" s="4" t="inlineStr">
        <is>
          <t>Gross subscription revenue: Botswana &amp; Namibia: Solo: Growth (upgraded or direct)</t>
        </is>
      </c>
      <c r="B334" s="17" t="inlineStr">
        <is>
          <t>R</t>
        </is>
      </c>
      <c r="C334" s="8">
        <f>C251*Pricing!$G$32*C307*Pricing!$B$15</f>
        <v/>
      </c>
      <c r="D334" s="8">
        <f>D251*Pricing!$G$32*D307*Pricing!$B$15</f>
        <v/>
      </c>
      <c r="E334" s="8">
        <f>E251*Pricing!$G$32*E307*Pricing!$B$15</f>
        <v/>
      </c>
      <c r="F334" s="8">
        <f>F251*Pricing!$G$32*F307*Pricing!$B$15</f>
        <v/>
      </c>
      <c r="G334" s="8">
        <f>G251*Pricing!$G$32*G307*Pricing!$B$15</f>
        <v/>
      </c>
      <c r="H334" s="8">
        <f>H251*Pricing!$G$32*H307*Pricing!$B$15</f>
        <v/>
      </c>
      <c r="I334" s="8">
        <f>I251*Pricing!$G$32*I307*Pricing!$B$15</f>
        <v/>
      </c>
      <c r="J334" s="8">
        <f>J251*Pricing!$G$32*J307*Pricing!$B$15</f>
        <v/>
      </c>
      <c r="K334" s="8">
        <f>K251*Pricing!$G$32*K307*Pricing!$B$15</f>
        <v/>
      </c>
      <c r="L334" s="8">
        <f>L251*Pricing!$G$32*L307*Pricing!$B$15</f>
        <v/>
      </c>
      <c r="M334" s="8">
        <f>M251*Pricing!$G$32*M307*Pricing!$B$15</f>
        <v/>
      </c>
      <c r="N334" s="8">
        <f>N251*Pricing!$G$32*N307*Pricing!$B$15</f>
        <v/>
      </c>
      <c r="O334" s="8">
        <f>O251*Pricing!$G$32*O307*Pricing!$B$15</f>
        <v/>
      </c>
      <c r="P334" s="8">
        <f>P251*Pricing!$G$32*P307*Pricing!$B$15</f>
        <v/>
      </c>
      <c r="Q334" s="8">
        <f>Q251*Pricing!$G$32*Q307*Pricing!$B$15</f>
        <v/>
      </c>
      <c r="R334" s="8">
        <f>R251*Pricing!$G$32*R307*Pricing!$B$15</f>
        <v/>
      </c>
      <c r="S334" s="8">
        <f>S251*Pricing!$G$32*S307*Pricing!$B$15</f>
        <v/>
      </c>
      <c r="T334" s="8">
        <f>T251*Pricing!$G$32*T307*Pricing!$B$15</f>
        <v/>
      </c>
      <c r="U334" s="8">
        <f>U251*Pricing!$G$32*U307*Pricing!$B$15</f>
        <v/>
      </c>
      <c r="V334" s="8">
        <f>V251*Pricing!$G$32*V307*Pricing!$B$15</f>
        <v/>
      </c>
      <c r="W334" s="8">
        <f>W251*Pricing!$G$32*W307*Pricing!$B$15</f>
        <v/>
      </c>
      <c r="X334" s="8">
        <f>X251*Pricing!$G$32*X307*Pricing!$B$15</f>
        <v/>
      </c>
      <c r="Y334" s="8">
        <f>Y251*Pricing!$G$32*Y307*Pricing!$B$15</f>
        <v/>
      </c>
      <c r="Z334" s="8">
        <f>Z251*Pricing!$G$32*Z307*Pricing!$B$15</f>
        <v/>
      </c>
      <c r="AA334" s="8">
        <f>AA251*Pricing!$G$32*AA307*Pricing!$B$15</f>
        <v/>
      </c>
      <c r="AB334" s="8">
        <f>AB251*Pricing!$G$32*AB307*Pricing!$B$15</f>
        <v/>
      </c>
      <c r="AC334" s="8">
        <f>AC251*Pricing!$G$32*AC307*Pricing!$B$15</f>
        <v/>
      </c>
      <c r="AD334" s="8">
        <f>AD251*Pricing!$G$32*AD307*Pricing!$B$15</f>
        <v/>
      </c>
      <c r="AE334" s="8">
        <f>AE251*Pricing!$G$32*AE307*Pricing!$B$15</f>
        <v/>
      </c>
      <c r="AF334" s="8">
        <f>AF251*Pricing!$G$32*AF307*Pricing!$B$15</f>
        <v/>
      </c>
      <c r="AG334" s="8">
        <f>AG251*Pricing!$G$32*AG307*Pricing!$B$15</f>
        <v/>
      </c>
      <c r="AH334" s="8">
        <f>AH251*Pricing!$G$32*AH307*Pricing!$B$15</f>
        <v/>
      </c>
      <c r="AI334" s="8">
        <f>AI251*Pricing!$G$32*AI307*Pricing!$B$15</f>
        <v/>
      </c>
      <c r="AJ334" s="8">
        <f>AJ251*Pricing!$G$32*AJ307*Pricing!$B$15</f>
        <v/>
      </c>
      <c r="AK334" s="8">
        <f>AK251*Pricing!$G$32*AK307*Pricing!$B$15</f>
        <v/>
      </c>
      <c r="AL334" s="8">
        <f>AL251*Pricing!$G$32*AL307*Pricing!$B$15</f>
        <v/>
      </c>
      <c r="AM334" s="8">
        <f>AM251*Pricing!$G$32*AM307*Pricing!$B$15</f>
        <v/>
      </c>
      <c r="AN334" s="8">
        <f>AN251*Pricing!$G$32*AN307*Pricing!$B$15</f>
        <v/>
      </c>
      <c r="AO334" s="8">
        <f>AO251*Pricing!$G$32*AO307*Pricing!$B$15</f>
        <v/>
      </c>
      <c r="AP334" s="8">
        <f>AP251*Pricing!$G$32*AP307*Pricing!$B$15</f>
        <v/>
      </c>
      <c r="AQ334" s="8">
        <f>AQ251*Pricing!$G$32*AQ307*Pricing!$B$15</f>
        <v/>
      </c>
      <c r="AR334" s="8">
        <f>AR251*Pricing!$G$32*AR307*Pricing!$B$15</f>
        <v/>
      </c>
      <c r="AS334" s="8">
        <f>AS251*Pricing!$G$32*AS307*Pricing!$B$15</f>
        <v/>
      </c>
      <c r="AT334" s="8">
        <f>AT251*Pricing!$G$32*AT307*Pricing!$B$15</f>
        <v/>
      </c>
      <c r="AU334" s="8">
        <f>AU251*Pricing!$G$32*AU307*Pricing!$B$15</f>
        <v/>
      </c>
      <c r="AV334" s="8">
        <f>AV251*Pricing!$G$32*AV307*Pricing!$B$15</f>
        <v/>
      </c>
      <c r="AW334" s="8">
        <f>AW251*Pricing!$G$32*AW307*Pricing!$B$15</f>
        <v/>
      </c>
      <c r="AX334" s="8">
        <f>AX251*Pricing!$G$32*AX307*Pricing!$B$15</f>
        <v/>
      </c>
      <c r="AY334" s="8">
        <f>AY251*Pricing!$G$32*AY307*Pricing!$B$15</f>
        <v/>
      </c>
      <c r="AZ334" s="8">
        <f>AZ251*Pricing!$G$32*AZ307*Pricing!$B$15</f>
        <v/>
      </c>
      <c r="BA334" s="8">
        <f>BA251*Pricing!$G$32*BA307*Pricing!$B$15</f>
        <v/>
      </c>
      <c r="BB334" s="8">
        <f>BB251*Pricing!$G$32*BB307*Pricing!$B$15</f>
        <v/>
      </c>
      <c r="BC334" s="8">
        <f>BC251*Pricing!$G$32*BC307*Pricing!$B$15</f>
        <v/>
      </c>
      <c r="BD334" s="8">
        <f>BD251*Pricing!$G$32*BD307*Pricing!$B$15</f>
        <v/>
      </c>
      <c r="BE334" s="8">
        <f>BE251*Pricing!$G$32*BE307*Pricing!$B$15</f>
        <v/>
      </c>
      <c r="BF334" s="8">
        <f>BF251*Pricing!$G$32*BF307*Pricing!$B$15</f>
        <v/>
      </c>
      <c r="BG334" s="8">
        <f>BG251*Pricing!$G$32*BG307*Pricing!$B$15</f>
        <v/>
      </c>
      <c r="BH334" s="8">
        <f>BH251*Pricing!$G$32*BH307*Pricing!$B$15</f>
        <v/>
      </c>
      <c r="BI334" s="8">
        <f>BI251*Pricing!$G$32*BI307*Pricing!$B$15</f>
        <v/>
      </c>
      <c r="BJ334" s="8">
        <f>BJ251*Pricing!$G$32*BJ307*Pricing!$B$15</f>
        <v/>
      </c>
    </row>
    <row r="335">
      <c r="A335" s="4" t="inlineStr">
        <is>
          <t>Gross subscription revenue: Botswana &amp; Namibia: SME: Growth</t>
        </is>
      </c>
      <c r="B335" s="17" t="inlineStr">
        <is>
          <t>R</t>
        </is>
      </c>
      <c r="C335" s="8">
        <f>C256*Pricing!$G$32*C307*Pricing!$B$15</f>
        <v/>
      </c>
      <c r="D335" s="8">
        <f>D256*Pricing!$G$32*D307*Pricing!$B$15</f>
        <v/>
      </c>
      <c r="E335" s="8">
        <f>E256*Pricing!$G$32*E307*Pricing!$B$15</f>
        <v/>
      </c>
      <c r="F335" s="8">
        <f>F256*Pricing!$G$32*F307*Pricing!$B$15</f>
        <v/>
      </c>
      <c r="G335" s="8">
        <f>G256*Pricing!$G$32*G307*Pricing!$B$15</f>
        <v/>
      </c>
      <c r="H335" s="8">
        <f>H256*Pricing!$G$32*H307*Pricing!$B$15</f>
        <v/>
      </c>
      <c r="I335" s="8">
        <f>I256*Pricing!$G$32*I307*Pricing!$B$15</f>
        <v/>
      </c>
      <c r="J335" s="8">
        <f>J256*Pricing!$G$32*J307*Pricing!$B$15</f>
        <v/>
      </c>
      <c r="K335" s="8">
        <f>K256*Pricing!$G$32*K307*Pricing!$B$15</f>
        <v/>
      </c>
      <c r="L335" s="8">
        <f>L256*Pricing!$G$32*L307*Pricing!$B$15</f>
        <v/>
      </c>
      <c r="M335" s="8">
        <f>M256*Pricing!$G$32*M307*Pricing!$B$15</f>
        <v/>
      </c>
      <c r="N335" s="8">
        <f>N256*Pricing!$G$32*N307*Pricing!$B$15</f>
        <v/>
      </c>
      <c r="O335" s="8">
        <f>O256*Pricing!$G$32*O307*Pricing!$B$15</f>
        <v/>
      </c>
      <c r="P335" s="8">
        <f>P256*Pricing!$G$32*P307*Pricing!$B$15</f>
        <v/>
      </c>
      <c r="Q335" s="8">
        <f>Q256*Pricing!$G$32*Q307*Pricing!$B$15</f>
        <v/>
      </c>
      <c r="R335" s="8">
        <f>R256*Pricing!$G$32*R307*Pricing!$B$15</f>
        <v/>
      </c>
      <c r="S335" s="8">
        <f>S256*Pricing!$G$32*S307*Pricing!$B$15</f>
        <v/>
      </c>
      <c r="T335" s="8">
        <f>T256*Pricing!$G$32*T307*Pricing!$B$15</f>
        <v/>
      </c>
      <c r="U335" s="8">
        <f>U256*Pricing!$G$32*U307*Pricing!$B$15</f>
        <v/>
      </c>
      <c r="V335" s="8">
        <f>V256*Pricing!$G$32*V307*Pricing!$B$15</f>
        <v/>
      </c>
      <c r="W335" s="8">
        <f>W256*Pricing!$G$32*W307*Pricing!$B$15</f>
        <v/>
      </c>
      <c r="X335" s="8">
        <f>X256*Pricing!$G$32*X307*Pricing!$B$15</f>
        <v/>
      </c>
      <c r="Y335" s="8">
        <f>Y256*Pricing!$G$32*Y307*Pricing!$B$15</f>
        <v/>
      </c>
      <c r="Z335" s="8">
        <f>Z256*Pricing!$G$32*Z307*Pricing!$B$15</f>
        <v/>
      </c>
      <c r="AA335" s="8">
        <f>AA256*Pricing!$G$32*AA307*Pricing!$B$15</f>
        <v/>
      </c>
      <c r="AB335" s="8">
        <f>AB256*Pricing!$G$32*AB307*Pricing!$B$15</f>
        <v/>
      </c>
      <c r="AC335" s="8">
        <f>AC256*Pricing!$G$32*AC307*Pricing!$B$15</f>
        <v/>
      </c>
      <c r="AD335" s="8">
        <f>AD256*Pricing!$G$32*AD307*Pricing!$B$15</f>
        <v/>
      </c>
      <c r="AE335" s="8">
        <f>AE256*Pricing!$G$32*AE307*Pricing!$B$15</f>
        <v/>
      </c>
      <c r="AF335" s="8">
        <f>AF256*Pricing!$G$32*AF307*Pricing!$B$15</f>
        <v/>
      </c>
      <c r="AG335" s="8">
        <f>AG256*Pricing!$G$32*AG307*Pricing!$B$15</f>
        <v/>
      </c>
      <c r="AH335" s="8">
        <f>AH256*Pricing!$G$32*AH307*Pricing!$B$15</f>
        <v/>
      </c>
      <c r="AI335" s="8">
        <f>AI256*Pricing!$G$32*AI307*Pricing!$B$15</f>
        <v/>
      </c>
      <c r="AJ335" s="8">
        <f>AJ256*Pricing!$G$32*AJ307*Pricing!$B$15</f>
        <v/>
      </c>
      <c r="AK335" s="8">
        <f>AK256*Pricing!$G$32*AK307*Pricing!$B$15</f>
        <v/>
      </c>
      <c r="AL335" s="8">
        <f>AL256*Pricing!$G$32*AL307*Pricing!$B$15</f>
        <v/>
      </c>
      <c r="AM335" s="8">
        <f>AM256*Pricing!$G$32*AM307*Pricing!$B$15</f>
        <v/>
      </c>
      <c r="AN335" s="8">
        <f>AN256*Pricing!$G$32*AN307*Pricing!$B$15</f>
        <v/>
      </c>
      <c r="AO335" s="8">
        <f>AO256*Pricing!$G$32*AO307*Pricing!$B$15</f>
        <v/>
      </c>
      <c r="AP335" s="8">
        <f>AP256*Pricing!$G$32*AP307*Pricing!$B$15</f>
        <v/>
      </c>
      <c r="AQ335" s="8">
        <f>AQ256*Pricing!$G$32*AQ307*Pricing!$B$15</f>
        <v/>
      </c>
      <c r="AR335" s="8">
        <f>AR256*Pricing!$G$32*AR307*Pricing!$B$15</f>
        <v/>
      </c>
      <c r="AS335" s="8">
        <f>AS256*Pricing!$G$32*AS307*Pricing!$B$15</f>
        <v/>
      </c>
      <c r="AT335" s="8">
        <f>AT256*Pricing!$G$32*AT307*Pricing!$B$15</f>
        <v/>
      </c>
      <c r="AU335" s="8">
        <f>AU256*Pricing!$G$32*AU307*Pricing!$B$15</f>
        <v/>
      </c>
      <c r="AV335" s="8">
        <f>AV256*Pricing!$G$32*AV307*Pricing!$B$15</f>
        <v/>
      </c>
      <c r="AW335" s="8">
        <f>AW256*Pricing!$G$32*AW307*Pricing!$B$15</f>
        <v/>
      </c>
      <c r="AX335" s="8">
        <f>AX256*Pricing!$G$32*AX307*Pricing!$B$15</f>
        <v/>
      </c>
      <c r="AY335" s="8">
        <f>AY256*Pricing!$G$32*AY307*Pricing!$B$15</f>
        <v/>
      </c>
      <c r="AZ335" s="8">
        <f>AZ256*Pricing!$G$32*AZ307*Pricing!$B$15</f>
        <v/>
      </c>
      <c r="BA335" s="8">
        <f>BA256*Pricing!$G$32*BA307*Pricing!$B$15</f>
        <v/>
      </c>
      <c r="BB335" s="8">
        <f>BB256*Pricing!$G$32*BB307*Pricing!$B$15</f>
        <v/>
      </c>
      <c r="BC335" s="8">
        <f>BC256*Pricing!$G$32*BC307*Pricing!$B$15</f>
        <v/>
      </c>
      <c r="BD335" s="8">
        <f>BD256*Pricing!$G$32*BD307*Pricing!$B$15</f>
        <v/>
      </c>
      <c r="BE335" s="8">
        <f>BE256*Pricing!$G$32*BE307*Pricing!$B$15</f>
        <v/>
      </c>
      <c r="BF335" s="8">
        <f>BF256*Pricing!$G$32*BF307*Pricing!$B$15</f>
        <v/>
      </c>
      <c r="BG335" s="8">
        <f>BG256*Pricing!$G$32*BG307*Pricing!$B$15</f>
        <v/>
      </c>
      <c r="BH335" s="8">
        <f>BH256*Pricing!$G$32*BH307*Pricing!$B$15</f>
        <v/>
      </c>
      <c r="BI335" s="8">
        <f>BI256*Pricing!$G$32*BI307*Pricing!$B$15</f>
        <v/>
      </c>
      <c r="BJ335" s="8">
        <f>BJ256*Pricing!$G$32*BJ307*Pricing!$B$15</f>
        <v/>
      </c>
    </row>
    <row r="336">
      <c r="A336" s="4" t="inlineStr">
        <is>
          <t>Gross subscription revenue: Botswana &amp; Namibia: SME: Scale (upgraded or direct)</t>
        </is>
      </c>
      <c r="B336" s="17" t="inlineStr">
        <is>
          <t>R</t>
        </is>
      </c>
      <c r="C336" s="8">
        <f>C260*Pricing!$G$33*C307*Pricing!$B$15</f>
        <v/>
      </c>
      <c r="D336" s="8">
        <f>D260*Pricing!$G$33*D307*Pricing!$B$15</f>
        <v/>
      </c>
      <c r="E336" s="8">
        <f>E260*Pricing!$G$33*E307*Pricing!$B$15</f>
        <v/>
      </c>
      <c r="F336" s="8">
        <f>F260*Pricing!$G$33*F307*Pricing!$B$15</f>
        <v/>
      </c>
      <c r="G336" s="8">
        <f>G260*Pricing!$G$33*G307*Pricing!$B$15</f>
        <v/>
      </c>
      <c r="H336" s="8">
        <f>H260*Pricing!$G$33*H307*Pricing!$B$15</f>
        <v/>
      </c>
      <c r="I336" s="8">
        <f>I260*Pricing!$G$33*I307*Pricing!$B$15</f>
        <v/>
      </c>
      <c r="J336" s="8">
        <f>J260*Pricing!$G$33*J307*Pricing!$B$15</f>
        <v/>
      </c>
      <c r="K336" s="8">
        <f>K260*Pricing!$G$33*K307*Pricing!$B$15</f>
        <v/>
      </c>
      <c r="L336" s="8">
        <f>L260*Pricing!$G$33*L307*Pricing!$B$15</f>
        <v/>
      </c>
      <c r="M336" s="8">
        <f>M260*Pricing!$G$33*M307*Pricing!$B$15</f>
        <v/>
      </c>
      <c r="N336" s="8">
        <f>N260*Pricing!$G$33*N307*Pricing!$B$15</f>
        <v/>
      </c>
      <c r="O336" s="8">
        <f>O260*Pricing!$G$33*O307*Pricing!$B$15</f>
        <v/>
      </c>
      <c r="P336" s="8">
        <f>P260*Pricing!$G$33*P307*Pricing!$B$15</f>
        <v/>
      </c>
      <c r="Q336" s="8">
        <f>Q260*Pricing!$G$33*Q307*Pricing!$B$15</f>
        <v/>
      </c>
      <c r="R336" s="8">
        <f>R260*Pricing!$G$33*R307*Pricing!$B$15</f>
        <v/>
      </c>
      <c r="S336" s="8">
        <f>S260*Pricing!$G$33*S307*Pricing!$B$15</f>
        <v/>
      </c>
      <c r="T336" s="8">
        <f>T260*Pricing!$G$33*T307*Pricing!$B$15</f>
        <v/>
      </c>
      <c r="U336" s="8">
        <f>U260*Pricing!$G$33*U307*Pricing!$B$15</f>
        <v/>
      </c>
      <c r="V336" s="8">
        <f>V260*Pricing!$G$33*V307*Pricing!$B$15</f>
        <v/>
      </c>
      <c r="W336" s="8">
        <f>W260*Pricing!$G$33*W307*Pricing!$B$15</f>
        <v/>
      </c>
      <c r="X336" s="8">
        <f>X260*Pricing!$G$33*X307*Pricing!$B$15</f>
        <v/>
      </c>
      <c r="Y336" s="8">
        <f>Y260*Pricing!$G$33*Y307*Pricing!$B$15</f>
        <v/>
      </c>
      <c r="Z336" s="8">
        <f>Z260*Pricing!$G$33*Z307*Pricing!$B$15</f>
        <v/>
      </c>
      <c r="AA336" s="8">
        <f>AA260*Pricing!$G$33*AA307*Pricing!$B$15</f>
        <v/>
      </c>
      <c r="AB336" s="8">
        <f>AB260*Pricing!$G$33*AB307*Pricing!$B$15</f>
        <v/>
      </c>
      <c r="AC336" s="8">
        <f>AC260*Pricing!$G$33*AC307*Pricing!$B$15</f>
        <v/>
      </c>
      <c r="AD336" s="8">
        <f>AD260*Pricing!$G$33*AD307*Pricing!$B$15</f>
        <v/>
      </c>
      <c r="AE336" s="8">
        <f>AE260*Pricing!$G$33*AE307*Pricing!$B$15</f>
        <v/>
      </c>
      <c r="AF336" s="8">
        <f>AF260*Pricing!$G$33*AF307*Pricing!$B$15</f>
        <v/>
      </c>
      <c r="AG336" s="8">
        <f>AG260*Pricing!$G$33*AG307*Pricing!$B$15</f>
        <v/>
      </c>
      <c r="AH336" s="8">
        <f>AH260*Pricing!$G$33*AH307*Pricing!$B$15</f>
        <v/>
      </c>
      <c r="AI336" s="8">
        <f>AI260*Pricing!$G$33*AI307*Pricing!$B$15</f>
        <v/>
      </c>
      <c r="AJ336" s="8">
        <f>AJ260*Pricing!$G$33*AJ307*Pricing!$B$15</f>
        <v/>
      </c>
      <c r="AK336" s="8">
        <f>AK260*Pricing!$G$33*AK307*Pricing!$B$15</f>
        <v/>
      </c>
      <c r="AL336" s="8">
        <f>AL260*Pricing!$G$33*AL307*Pricing!$B$15</f>
        <v/>
      </c>
      <c r="AM336" s="8">
        <f>AM260*Pricing!$G$33*AM307*Pricing!$B$15</f>
        <v/>
      </c>
      <c r="AN336" s="8">
        <f>AN260*Pricing!$G$33*AN307*Pricing!$B$15</f>
        <v/>
      </c>
      <c r="AO336" s="8">
        <f>AO260*Pricing!$G$33*AO307*Pricing!$B$15</f>
        <v/>
      </c>
      <c r="AP336" s="8">
        <f>AP260*Pricing!$G$33*AP307*Pricing!$B$15</f>
        <v/>
      </c>
      <c r="AQ336" s="8">
        <f>AQ260*Pricing!$G$33*AQ307*Pricing!$B$15</f>
        <v/>
      </c>
      <c r="AR336" s="8">
        <f>AR260*Pricing!$G$33*AR307*Pricing!$B$15</f>
        <v/>
      </c>
      <c r="AS336" s="8">
        <f>AS260*Pricing!$G$33*AS307*Pricing!$B$15</f>
        <v/>
      </c>
      <c r="AT336" s="8">
        <f>AT260*Pricing!$G$33*AT307*Pricing!$B$15</f>
        <v/>
      </c>
      <c r="AU336" s="8">
        <f>AU260*Pricing!$G$33*AU307*Pricing!$B$15</f>
        <v/>
      </c>
      <c r="AV336" s="8">
        <f>AV260*Pricing!$G$33*AV307*Pricing!$B$15</f>
        <v/>
      </c>
      <c r="AW336" s="8">
        <f>AW260*Pricing!$G$33*AW307*Pricing!$B$15</f>
        <v/>
      </c>
      <c r="AX336" s="8">
        <f>AX260*Pricing!$G$33*AX307*Pricing!$B$15</f>
        <v/>
      </c>
      <c r="AY336" s="8">
        <f>AY260*Pricing!$G$33*AY307*Pricing!$B$15</f>
        <v/>
      </c>
      <c r="AZ336" s="8">
        <f>AZ260*Pricing!$G$33*AZ307*Pricing!$B$15</f>
        <v/>
      </c>
      <c r="BA336" s="8">
        <f>BA260*Pricing!$G$33*BA307*Pricing!$B$15</f>
        <v/>
      </c>
      <c r="BB336" s="8">
        <f>BB260*Pricing!$G$33*BB307*Pricing!$B$15</f>
        <v/>
      </c>
      <c r="BC336" s="8">
        <f>BC260*Pricing!$G$33*BC307*Pricing!$B$15</f>
        <v/>
      </c>
      <c r="BD336" s="8">
        <f>BD260*Pricing!$G$33*BD307*Pricing!$B$15</f>
        <v/>
      </c>
      <c r="BE336" s="8">
        <f>BE260*Pricing!$G$33*BE307*Pricing!$B$15</f>
        <v/>
      </c>
      <c r="BF336" s="8">
        <f>BF260*Pricing!$G$33*BF307*Pricing!$B$15</f>
        <v/>
      </c>
      <c r="BG336" s="8">
        <f>BG260*Pricing!$G$33*BG307*Pricing!$B$15</f>
        <v/>
      </c>
      <c r="BH336" s="8">
        <f>BH260*Pricing!$G$33*BH307*Pricing!$B$15</f>
        <v/>
      </c>
      <c r="BI336" s="8">
        <f>BI260*Pricing!$G$33*BI307*Pricing!$B$15</f>
        <v/>
      </c>
      <c r="BJ336" s="8">
        <f>BJ260*Pricing!$G$33*BJ307*Pricing!$B$15</f>
        <v/>
      </c>
    </row>
    <row r="337">
      <c r="A337" s="4" t="inlineStr">
        <is>
          <t>Gross subscription revenue: South Africa</t>
        </is>
      </c>
      <c r="B337" s="17" t="inlineStr">
        <is>
          <t>R</t>
        </is>
      </c>
      <c r="C337" s="8">
        <f>C308+C309+C310+C311+C312+C313</f>
        <v/>
      </c>
      <c r="D337" s="8">
        <f>D308+D309+D310+D311+D312+D313</f>
        <v/>
      </c>
      <c r="E337" s="8">
        <f>E308+E309+E310+E311+E312+E313</f>
        <v/>
      </c>
      <c r="F337" s="8">
        <f>F308+F309+F310+F311+F312+F313</f>
        <v/>
      </c>
      <c r="G337" s="8">
        <f>G308+G309+G310+G311+G312+G313</f>
        <v/>
      </c>
      <c r="H337" s="8">
        <f>H308+H309+H310+H311+H312+H313</f>
        <v/>
      </c>
      <c r="I337" s="8">
        <f>I308+I309+I310+I311+I312+I313</f>
        <v/>
      </c>
      <c r="J337" s="8">
        <f>J308+J309+J310+J311+J312+J313</f>
        <v/>
      </c>
      <c r="K337" s="8">
        <f>K308+K309+K310+K311+K312+K313</f>
        <v/>
      </c>
      <c r="L337" s="8">
        <f>L308+L309+L310+L311+L312+L313</f>
        <v/>
      </c>
      <c r="M337" s="8">
        <f>M308+M309+M310+M311+M312+M313</f>
        <v/>
      </c>
      <c r="N337" s="8">
        <f>N308+N309+N310+N311+N312+N313</f>
        <v/>
      </c>
      <c r="O337" s="8">
        <f>O308+O309+O310+O311+O312+O313</f>
        <v/>
      </c>
      <c r="P337" s="8">
        <f>P308+P309+P310+P311+P312+P313</f>
        <v/>
      </c>
      <c r="Q337" s="8">
        <f>Q308+Q309+Q310+Q311+Q312+Q313</f>
        <v/>
      </c>
      <c r="R337" s="8">
        <f>R308+R309+R310+R311+R312+R313</f>
        <v/>
      </c>
      <c r="S337" s="8">
        <f>S308+S309+S310+S311+S312+S313</f>
        <v/>
      </c>
      <c r="T337" s="8">
        <f>T308+T309+T310+T311+T312+T313</f>
        <v/>
      </c>
      <c r="U337" s="8">
        <f>U308+U309+U310+U311+U312+U313</f>
        <v/>
      </c>
      <c r="V337" s="8">
        <f>V308+V309+V310+V311+V312+V313</f>
        <v/>
      </c>
      <c r="W337" s="8">
        <f>W308+W309+W310+W311+W312+W313</f>
        <v/>
      </c>
      <c r="X337" s="8">
        <f>X308+X309+X310+X311+X312+X313</f>
        <v/>
      </c>
      <c r="Y337" s="8">
        <f>Y308+Y309+Y310+Y311+Y312+Y313</f>
        <v/>
      </c>
      <c r="Z337" s="8">
        <f>Z308+Z309+Z310+Z311+Z312+Z313</f>
        <v/>
      </c>
      <c r="AA337" s="8">
        <f>AA308+AA309+AA310+AA311+AA312+AA313</f>
        <v/>
      </c>
      <c r="AB337" s="8">
        <f>AB308+AB309+AB310+AB311+AB312+AB313</f>
        <v/>
      </c>
      <c r="AC337" s="8">
        <f>AC308+AC309+AC310+AC311+AC312+AC313</f>
        <v/>
      </c>
      <c r="AD337" s="8">
        <f>AD308+AD309+AD310+AD311+AD312+AD313</f>
        <v/>
      </c>
      <c r="AE337" s="8">
        <f>AE308+AE309+AE310+AE311+AE312+AE313</f>
        <v/>
      </c>
      <c r="AF337" s="8">
        <f>AF308+AF309+AF310+AF311+AF312+AF313</f>
        <v/>
      </c>
      <c r="AG337" s="8">
        <f>AG308+AG309+AG310+AG311+AG312+AG313</f>
        <v/>
      </c>
      <c r="AH337" s="8">
        <f>AH308+AH309+AH310+AH311+AH312+AH313</f>
        <v/>
      </c>
      <c r="AI337" s="8">
        <f>AI308+AI309+AI310+AI311+AI312+AI313</f>
        <v/>
      </c>
      <c r="AJ337" s="8">
        <f>AJ308+AJ309+AJ310+AJ311+AJ312+AJ313</f>
        <v/>
      </c>
      <c r="AK337" s="8">
        <f>AK308+AK309+AK310+AK311+AK312+AK313</f>
        <v/>
      </c>
      <c r="AL337" s="8">
        <f>AL308+AL309+AL310+AL311+AL312+AL313</f>
        <v/>
      </c>
      <c r="AM337" s="8">
        <f>AM308+AM309+AM310+AM311+AM312+AM313</f>
        <v/>
      </c>
      <c r="AN337" s="8">
        <f>AN308+AN309+AN310+AN311+AN312+AN313</f>
        <v/>
      </c>
      <c r="AO337" s="8">
        <f>AO308+AO309+AO310+AO311+AO312+AO313</f>
        <v/>
      </c>
      <c r="AP337" s="8">
        <f>AP308+AP309+AP310+AP311+AP312+AP313</f>
        <v/>
      </c>
      <c r="AQ337" s="8">
        <f>AQ308+AQ309+AQ310+AQ311+AQ312+AQ313</f>
        <v/>
      </c>
      <c r="AR337" s="8">
        <f>AR308+AR309+AR310+AR311+AR312+AR313</f>
        <v/>
      </c>
      <c r="AS337" s="8">
        <f>AS308+AS309+AS310+AS311+AS312+AS313</f>
        <v/>
      </c>
      <c r="AT337" s="8">
        <f>AT308+AT309+AT310+AT311+AT312+AT313</f>
        <v/>
      </c>
      <c r="AU337" s="8">
        <f>AU308+AU309+AU310+AU311+AU312+AU313</f>
        <v/>
      </c>
      <c r="AV337" s="8">
        <f>AV308+AV309+AV310+AV311+AV312+AV313</f>
        <v/>
      </c>
      <c r="AW337" s="8">
        <f>AW308+AW309+AW310+AW311+AW312+AW313</f>
        <v/>
      </c>
      <c r="AX337" s="8">
        <f>AX308+AX309+AX310+AX311+AX312+AX313</f>
        <v/>
      </c>
      <c r="AY337" s="8">
        <f>AY308+AY309+AY310+AY311+AY312+AY313</f>
        <v/>
      </c>
      <c r="AZ337" s="8">
        <f>AZ308+AZ309+AZ310+AZ311+AZ312+AZ313</f>
        <v/>
      </c>
      <c r="BA337" s="8">
        <f>BA308+BA309+BA310+BA311+BA312+BA313</f>
        <v/>
      </c>
      <c r="BB337" s="8">
        <f>BB308+BB309+BB310+BB311+BB312+BB313</f>
        <v/>
      </c>
      <c r="BC337" s="8">
        <f>BC308+BC309+BC310+BC311+BC312+BC313</f>
        <v/>
      </c>
      <c r="BD337" s="8">
        <f>BD308+BD309+BD310+BD311+BD312+BD313</f>
        <v/>
      </c>
      <c r="BE337" s="8">
        <f>BE308+BE309+BE310+BE311+BE312+BE313</f>
        <v/>
      </c>
      <c r="BF337" s="8">
        <f>BF308+BF309+BF310+BF311+BF312+BF313</f>
        <v/>
      </c>
      <c r="BG337" s="8">
        <f>BG308+BG309+BG310+BG311+BG312+BG313</f>
        <v/>
      </c>
      <c r="BH337" s="8">
        <f>BH308+BH309+BH310+BH311+BH312+BH313</f>
        <v/>
      </c>
      <c r="BI337" s="8">
        <f>BI308+BI309+BI310+BI311+BI312+BI313</f>
        <v/>
      </c>
      <c r="BJ337" s="8">
        <f>BJ308+BJ309+BJ310+BJ311+BJ312+BJ313</f>
        <v/>
      </c>
    </row>
    <row r="338">
      <c r="A338" s="4" t="inlineStr">
        <is>
          <t>Gross subscription revenue: Nigeria</t>
        </is>
      </c>
      <c r="B338" s="17" t="inlineStr">
        <is>
          <t>R</t>
        </is>
      </c>
      <c r="C338" s="8">
        <f>C314+C315+C316+C317+C318</f>
        <v/>
      </c>
      <c r="D338" s="8">
        <f>D314+D315+D316+D317+D318</f>
        <v/>
      </c>
      <c r="E338" s="8">
        <f>E314+E315+E316+E317+E318</f>
        <v/>
      </c>
      <c r="F338" s="8">
        <f>F314+F315+F316+F317+F318</f>
        <v/>
      </c>
      <c r="G338" s="8">
        <f>G314+G315+G316+G317+G318</f>
        <v/>
      </c>
      <c r="H338" s="8">
        <f>H314+H315+H316+H317+H318</f>
        <v/>
      </c>
      <c r="I338" s="8">
        <f>I314+I315+I316+I317+I318</f>
        <v/>
      </c>
      <c r="J338" s="8">
        <f>J314+J315+J316+J317+J318</f>
        <v/>
      </c>
      <c r="K338" s="8">
        <f>K314+K315+K316+K317+K318</f>
        <v/>
      </c>
      <c r="L338" s="8">
        <f>L314+L315+L316+L317+L318</f>
        <v/>
      </c>
      <c r="M338" s="8">
        <f>M314+M315+M316+M317+M318</f>
        <v/>
      </c>
      <c r="N338" s="8">
        <f>N314+N315+N316+N317+N318</f>
        <v/>
      </c>
      <c r="O338" s="8">
        <f>O314+O315+O316+O317+O318</f>
        <v/>
      </c>
      <c r="P338" s="8">
        <f>P314+P315+P316+P317+P318</f>
        <v/>
      </c>
      <c r="Q338" s="8">
        <f>Q314+Q315+Q316+Q317+Q318</f>
        <v/>
      </c>
      <c r="R338" s="8">
        <f>R314+R315+R316+R317+R318</f>
        <v/>
      </c>
      <c r="S338" s="8">
        <f>S314+S315+S316+S317+S318</f>
        <v/>
      </c>
      <c r="T338" s="8">
        <f>T314+T315+T316+T317+T318</f>
        <v/>
      </c>
      <c r="U338" s="8">
        <f>U314+U315+U316+U317+U318</f>
        <v/>
      </c>
      <c r="V338" s="8">
        <f>V314+V315+V316+V317+V318</f>
        <v/>
      </c>
      <c r="W338" s="8">
        <f>W314+W315+W316+W317+W318</f>
        <v/>
      </c>
      <c r="X338" s="8">
        <f>X314+X315+X316+X317+X318</f>
        <v/>
      </c>
      <c r="Y338" s="8">
        <f>Y314+Y315+Y316+Y317+Y318</f>
        <v/>
      </c>
      <c r="Z338" s="8">
        <f>Z314+Z315+Z316+Z317+Z318</f>
        <v/>
      </c>
      <c r="AA338" s="8">
        <f>AA314+AA315+AA316+AA317+AA318</f>
        <v/>
      </c>
      <c r="AB338" s="8">
        <f>AB314+AB315+AB316+AB317+AB318</f>
        <v/>
      </c>
      <c r="AC338" s="8">
        <f>AC314+AC315+AC316+AC317+AC318</f>
        <v/>
      </c>
      <c r="AD338" s="8">
        <f>AD314+AD315+AD316+AD317+AD318</f>
        <v/>
      </c>
      <c r="AE338" s="8">
        <f>AE314+AE315+AE316+AE317+AE318</f>
        <v/>
      </c>
      <c r="AF338" s="8">
        <f>AF314+AF315+AF316+AF317+AF318</f>
        <v/>
      </c>
      <c r="AG338" s="8">
        <f>AG314+AG315+AG316+AG317+AG318</f>
        <v/>
      </c>
      <c r="AH338" s="8">
        <f>AH314+AH315+AH316+AH317+AH318</f>
        <v/>
      </c>
      <c r="AI338" s="8">
        <f>AI314+AI315+AI316+AI317+AI318</f>
        <v/>
      </c>
      <c r="AJ338" s="8">
        <f>AJ314+AJ315+AJ316+AJ317+AJ318</f>
        <v/>
      </c>
      <c r="AK338" s="8">
        <f>AK314+AK315+AK316+AK317+AK318</f>
        <v/>
      </c>
      <c r="AL338" s="8">
        <f>AL314+AL315+AL316+AL317+AL318</f>
        <v/>
      </c>
      <c r="AM338" s="8">
        <f>AM314+AM315+AM316+AM317+AM318</f>
        <v/>
      </c>
      <c r="AN338" s="8">
        <f>AN314+AN315+AN316+AN317+AN318</f>
        <v/>
      </c>
      <c r="AO338" s="8">
        <f>AO314+AO315+AO316+AO317+AO318</f>
        <v/>
      </c>
      <c r="AP338" s="8">
        <f>AP314+AP315+AP316+AP317+AP318</f>
        <v/>
      </c>
      <c r="AQ338" s="8">
        <f>AQ314+AQ315+AQ316+AQ317+AQ318</f>
        <v/>
      </c>
      <c r="AR338" s="8">
        <f>AR314+AR315+AR316+AR317+AR318</f>
        <v/>
      </c>
      <c r="AS338" s="8">
        <f>AS314+AS315+AS316+AS317+AS318</f>
        <v/>
      </c>
      <c r="AT338" s="8">
        <f>AT314+AT315+AT316+AT317+AT318</f>
        <v/>
      </c>
      <c r="AU338" s="8">
        <f>AU314+AU315+AU316+AU317+AU318</f>
        <v/>
      </c>
      <c r="AV338" s="8">
        <f>AV314+AV315+AV316+AV317+AV318</f>
        <v/>
      </c>
      <c r="AW338" s="8">
        <f>AW314+AW315+AW316+AW317+AW318</f>
        <v/>
      </c>
      <c r="AX338" s="8">
        <f>AX314+AX315+AX316+AX317+AX318</f>
        <v/>
      </c>
      <c r="AY338" s="8">
        <f>AY314+AY315+AY316+AY317+AY318</f>
        <v/>
      </c>
      <c r="AZ338" s="8">
        <f>AZ314+AZ315+AZ316+AZ317+AZ318</f>
        <v/>
      </c>
      <c r="BA338" s="8">
        <f>BA314+BA315+BA316+BA317+BA318</f>
        <v/>
      </c>
      <c r="BB338" s="8">
        <f>BB314+BB315+BB316+BB317+BB318</f>
        <v/>
      </c>
      <c r="BC338" s="8">
        <f>BC314+BC315+BC316+BC317+BC318</f>
        <v/>
      </c>
      <c r="BD338" s="8">
        <f>BD314+BD315+BD316+BD317+BD318</f>
        <v/>
      </c>
      <c r="BE338" s="8">
        <f>BE314+BE315+BE316+BE317+BE318</f>
        <v/>
      </c>
      <c r="BF338" s="8">
        <f>BF314+BF315+BF316+BF317+BF318</f>
        <v/>
      </c>
      <c r="BG338" s="8">
        <f>BG314+BG315+BG316+BG317+BG318</f>
        <v/>
      </c>
      <c r="BH338" s="8">
        <f>BH314+BH315+BH316+BH317+BH318</f>
        <v/>
      </c>
      <c r="BI338" s="8">
        <f>BI314+BI315+BI316+BI317+BI318</f>
        <v/>
      </c>
      <c r="BJ338" s="8">
        <f>BJ314+BJ315+BJ316+BJ317+BJ318</f>
        <v/>
      </c>
    </row>
    <row r="339">
      <c r="A339" s="4" t="inlineStr">
        <is>
          <t>Gross subscription revenue: Kenya</t>
        </is>
      </c>
      <c r="B339" s="17" t="inlineStr">
        <is>
          <t>R</t>
        </is>
      </c>
      <c r="C339" s="8">
        <f>C319+C320+C321+C322+C323</f>
        <v/>
      </c>
      <c r="D339" s="8">
        <f>D319+D320+D321+D322+D323</f>
        <v/>
      </c>
      <c r="E339" s="8">
        <f>E319+E320+E321+E322+E323</f>
        <v/>
      </c>
      <c r="F339" s="8">
        <f>F319+F320+F321+F322+F323</f>
        <v/>
      </c>
      <c r="G339" s="8">
        <f>G319+G320+G321+G322+G323</f>
        <v/>
      </c>
      <c r="H339" s="8">
        <f>H319+H320+H321+H322+H323</f>
        <v/>
      </c>
      <c r="I339" s="8">
        <f>I319+I320+I321+I322+I323</f>
        <v/>
      </c>
      <c r="J339" s="8">
        <f>J319+J320+J321+J322+J323</f>
        <v/>
      </c>
      <c r="K339" s="8">
        <f>K319+K320+K321+K322+K323</f>
        <v/>
      </c>
      <c r="L339" s="8">
        <f>L319+L320+L321+L322+L323</f>
        <v/>
      </c>
      <c r="M339" s="8">
        <f>M319+M320+M321+M322+M323</f>
        <v/>
      </c>
      <c r="N339" s="8">
        <f>N319+N320+N321+N322+N323</f>
        <v/>
      </c>
      <c r="O339" s="8">
        <f>O319+O320+O321+O322+O323</f>
        <v/>
      </c>
      <c r="P339" s="8">
        <f>P319+P320+P321+P322+P323</f>
        <v/>
      </c>
      <c r="Q339" s="8">
        <f>Q319+Q320+Q321+Q322+Q323</f>
        <v/>
      </c>
      <c r="R339" s="8">
        <f>R319+R320+R321+R322+R323</f>
        <v/>
      </c>
      <c r="S339" s="8">
        <f>S319+S320+S321+S322+S323</f>
        <v/>
      </c>
      <c r="T339" s="8">
        <f>T319+T320+T321+T322+T323</f>
        <v/>
      </c>
      <c r="U339" s="8">
        <f>U319+U320+U321+U322+U323</f>
        <v/>
      </c>
      <c r="V339" s="8">
        <f>V319+V320+V321+V322+V323</f>
        <v/>
      </c>
      <c r="W339" s="8">
        <f>W319+W320+W321+W322+W323</f>
        <v/>
      </c>
      <c r="X339" s="8">
        <f>X319+X320+X321+X322+X323</f>
        <v/>
      </c>
      <c r="Y339" s="8">
        <f>Y319+Y320+Y321+Y322+Y323</f>
        <v/>
      </c>
      <c r="Z339" s="8">
        <f>Z319+Z320+Z321+Z322+Z323</f>
        <v/>
      </c>
      <c r="AA339" s="8">
        <f>AA319+AA320+AA321+AA322+AA323</f>
        <v/>
      </c>
      <c r="AB339" s="8">
        <f>AB319+AB320+AB321+AB322+AB323</f>
        <v/>
      </c>
      <c r="AC339" s="8">
        <f>AC319+AC320+AC321+AC322+AC323</f>
        <v/>
      </c>
      <c r="AD339" s="8">
        <f>AD319+AD320+AD321+AD322+AD323</f>
        <v/>
      </c>
      <c r="AE339" s="8">
        <f>AE319+AE320+AE321+AE322+AE323</f>
        <v/>
      </c>
      <c r="AF339" s="8">
        <f>AF319+AF320+AF321+AF322+AF323</f>
        <v/>
      </c>
      <c r="AG339" s="8">
        <f>AG319+AG320+AG321+AG322+AG323</f>
        <v/>
      </c>
      <c r="AH339" s="8">
        <f>AH319+AH320+AH321+AH322+AH323</f>
        <v/>
      </c>
      <c r="AI339" s="8">
        <f>AI319+AI320+AI321+AI322+AI323</f>
        <v/>
      </c>
      <c r="AJ339" s="8">
        <f>AJ319+AJ320+AJ321+AJ322+AJ323</f>
        <v/>
      </c>
      <c r="AK339" s="8">
        <f>AK319+AK320+AK321+AK322+AK323</f>
        <v/>
      </c>
      <c r="AL339" s="8">
        <f>AL319+AL320+AL321+AL322+AL323</f>
        <v/>
      </c>
      <c r="AM339" s="8">
        <f>AM319+AM320+AM321+AM322+AM323</f>
        <v/>
      </c>
      <c r="AN339" s="8">
        <f>AN319+AN320+AN321+AN322+AN323</f>
        <v/>
      </c>
      <c r="AO339" s="8">
        <f>AO319+AO320+AO321+AO322+AO323</f>
        <v/>
      </c>
      <c r="AP339" s="8">
        <f>AP319+AP320+AP321+AP322+AP323</f>
        <v/>
      </c>
      <c r="AQ339" s="8">
        <f>AQ319+AQ320+AQ321+AQ322+AQ323</f>
        <v/>
      </c>
      <c r="AR339" s="8">
        <f>AR319+AR320+AR321+AR322+AR323</f>
        <v/>
      </c>
      <c r="AS339" s="8">
        <f>AS319+AS320+AS321+AS322+AS323</f>
        <v/>
      </c>
      <c r="AT339" s="8">
        <f>AT319+AT320+AT321+AT322+AT323</f>
        <v/>
      </c>
      <c r="AU339" s="8">
        <f>AU319+AU320+AU321+AU322+AU323</f>
        <v/>
      </c>
      <c r="AV339" s="8">
        <f>AV319+AV320+AV321+AV322+AV323</f>
        <v/>
      </c>
      <c r="AW339" s="8">
        <f>AW319+AW320+AW321+AW322+AW323</f>
        <v/>
      </c>
      <c r="AX339" s="8">
        <f>AX319+AX320+AX321+AX322+AX323</f>
        <v/>
      </c>
      <c r="AY339" s="8">
        <f>AY319+AY320+AY321+AY322+AY323</f>
        <v/>
      </c>
      <c r="AZ339" s="8">
        <f>AZ319+AZ320+AZ321+AZ322+AZ323</f>
        <v/>
      </c>
      <c r="BA339" s="8">
        <f>BA319+BA320+BA321+BA322+BA323</f>
        <v/>
      </c>
      <c r="BB339" s="8">
        <f>BB319+BB320+BB321+BB322+BB323</f>
        <v/>
      </c>
      <c r="BC339" s="8">
        <f>BC319+BC320+BC321+BC322+BC323</f>
        <v/>
      </c>
      <c r="BD339" s="8">
        <f>BD319+BD320+BD321+BD322+BD323</f>
        <v/>
      </c>
      <c r="BE339" s="8">
        <f>BE319+BE320+BE321+BE322+BE323</f>
        <v/>
      </c>
      <c r="BF339" s="8">
        <f>BF319+BF320+BF321+BF322+BF323</f>
        <v/>
      </c>
      <c r="BG339" s="8">
        <f>BG319+BG320+BG321+BG322+BG323</f>
        <v/>
      </c>
      <c r="BH339" s="8">
        <f>BH319+BH320+BH321+BH322+BH323</f>
        <v/>
      </c>
      <c r="BI339" s="8">
        <f>BI319+BI320+BI321+BI322+BI323</f>
        <v/>
      </c>
      <c r="BJ339" s="8">
        <f>BJ319+BJ320+BJ321+BJ322+BJ323</f>
        <v/>
      </c>
    </row>
    <row r="340">
      <c r="A340" s="4" t="inlineStr">
        <is>
          <t>Gross subscription revenue: Ghana</t>
        </is>
      </c>
      <c r="B340" s="17" t="inlineStr">
        <is>
          <t>R</t>
        </is>
      </c>
      <c r="C340" s="8">
        <f>C324+C325+C326+C327+C328</f>
        <v/>
      </c>
      <c r="D340" s="8">
        <f>D324+D325+D326+D327+D328</f>
        <v/>
      </c>
      <c r="E340" s="8">
        <f>E324+E325+E326+E327+E328</f>
        <v/>
      </c>
      <c r="F340" s="8">
        <f>F324+F325+F326+F327+F328</f>
        <v/>
      </c>
      <c r="G340" s="8">
        <f>G324+G325+G326+G327+G328</f>
        <v/>
      </c>
      <c r="H340" s="8">
        <f>H324+H325+H326+H327+H328</f>
        <v/>
      </c>
      <c r="I340" s="8">
        <f>I324+I325+I326+I327+I328</f>
        <v/>
      </c>
      <c r="J340" s="8">
        <f>J324+J325+J326+J327+J328</f>
        <v/>
      </c>
      <c r="K340" s="8">
        <f>K324+K325+K326+K327+K328</f>
        <v/>
      </c>
      <c r="L340" s="8">
        <f>L324+L325+L326+L327+L328</f>
        <v/>
      </c>
      <c r="M340" s="8">
        <f>M324+M325+M326+M327+M328</f>
        <v/>
      </c>
      <c r="N340" s="8">
        <f>N324+N325+N326+N327+N328</f>
        <v/>
      </c>
      <c r="O340" s="8">
        <f>O324+O325+O326+O327+O328</f>
        <v/>
      </c>
      <c r="P340" s="8">
        <f>P324+P325+P326+P327+P328</f>
        <v/>
      </c>
      <c r="Q340" s="8">
        <f>Q324+Q325+Q326+Q327+Q328</f>
        <v/>
      </c>
      <c r="R340" s="8">
        <f>R324+R325+R326+R327+R328</f>
        <v/>
      </c>
      <c r="S340" s="8">
        <f>S324+S325+S326+S327+S328</f>
        <v/>
      </c>
      <c r="T340" s="8">
        <f>T324+T325+T326+T327+T328</f>
        <v/>
      </c>
      <c r="U340" s="8">
        <f>U324+U325+U326+U327+U328</f>
        <v/>
      </c>
      <c r="V340" s="8">
        <f>V324+V325+V326+V327+V328</f>
        <v/>
      </c>
      <c r="W340" s="8">
        <f>W324+W325+W326+W327+W328</f>
        <v/>
      </c>
      <c r="X340" s="8">
        <f>X324+X325+X326+X327+X328</f>
        <v/>
      </c>
      <c r="Y340" s="8">
        <f>Y324+Y325+Y326+Y327+Y328</f>
        <v/>
      </c>
      <c r="Z340" s="8">
        <f>Z324+Z325+Z326+Z327+Z328</f>
        <v/>
      </c>
      <c r="AA340" s="8">
        <f>AA324+AA325+AA326+AA327+AA328</f>
        <v/>
      </c>
      <c r="AB340" s="8">
        <f>AB324+AB325+AB326+AB327+AB328</f>
        <v/>
      </c>
      <c r="AC340" s="8">
        <f>AC324+AC325+AC326+AC327+AC328</f>
        <v/>
      </c>
      <c r="AD340" s="8">
        <f>AD324+AD325+AD326+AD327+AD328</f>
        <v/>
      </c>
      <c r="AE340" s="8">
        <f>AE324+AE325+AE326+AE327+AE328</f>
        <v/>
      </c>
      <c r="AF340" s="8">
        <f>AF324+AF325+AF326+AF327+AF328</f>
        <v/>
      </c>
      <c r="AG340" s="8">
        <f>AG324+AG325+AG326+AG327+AG328</f>
        <v/>
      </c>
      <c r="AH340" s="8">
        <f>AH324+AH325+AH326+AH327+AH328</f>
        <v/>
      </c>
      <c r="AI340" s="8">
        <f>AI324+AI325+AI326+AI327+AI328</f>
        <v/>
      </c>
      <c r="AJ340" s="8">
        <f>AJ324+AJ325+AJ326+AJ327+AJ328</f>
        <v/>
      </c>
      <c r="AK340" s="8">
        <f>AK324+AK325+AK326+AK327+AK328</f>
        <v/>
      </c>
      <c r="AL340" s="8">
        <f>AL324+AL325+AL326+AL327+AL328</f>
        <v/>
      </c>
      <c r="AM340" s="8">
        <f>AM324+AM325+AM326+AM327+AM328</f>
        <v/>
      </c>
      <c r="AN340" s="8">
        <f>AN324+AN325+AN326+AN327+AN328</f>
        <v/>
      </c>
      <c r="AO340" s="8">
        <f>AO324+AO325+AO326+AO327+AO328</f>
        <v/>
      </c>
      <c r="AP340" s="8">
        <f>AP324+AP325+AP326+AP327+AP328</f>
        <v/>
      </c>
      <c r="AQ340" s="8">
        <f>AQ324+AQ325+AQ326+AQ327+AQ328</f>
        <v/>
      </c>
      <c r="AR340" s="8">
        <f>AR324+AR325+AR326+AR327+AR328</f>
        <v/>
      </c>
      <c r="AS340" s="8">
        <f>AS324+AS325+AS326+AS327+AS328</f>
        <v/>
      </c>
      <c r="AT340" s="8">
        <f>AT324+AT325+AT326+AT327+AT328</f>
        <v/>
      </c>
      <c r="AU340" s="8">
        <f>AU324+AU325+AU326+AU327+AU328</f>
        <v/>
      </c>
      <c r="AV340" s="8">
        <f>AV324+AV325+AV326+AV327+AV328</f>
        <v/>
      </c>
      <c r="AW340" s="8">
        <f>AW324+AW325+AW326+AW327+AW328</f>
        <v/>
      </c>
      <c r="AX340" s="8">
        <f>AX324+AX325+AX326+AX327+AX328</f>
        <v/>
      </c>
      <c r="AY340" s="8">
        <f>AY324+AY325+AY326+AY327+AY328</f>
        <v/>
      </c>
      <c r="AZ340" s="8">
        <f>AZ324+AZ325+AZ326+AZ327+AZ328</f>
        <v/>
      </c>
      <c r="BA340" s="8">
        <f>BA324+BA325+BA326+BA327+BA328</f>
        <v/>
      </c>
      <c r="BB340" s="8">
        <f>BB324+BB325+BB326+BB327+BB328</f>
        <v/>
      </c>
      <c r="BC340" s="8">
        <f>BC324+BC325+BC326+BC327+BC328</f>
        <v/>
      </c>
      <c r="BD340" s="8">
        <f>BD324+BD325+BD326+BD327+BD328</f>
        <v/>
      </c>
      <c r="BE340" s="8">
        <f>BE324+BE325+BE326+BE327+BE328</f>
        <v/>
      </c>
      <c r="BF340" s="8">
        <f>BF324+BF325+BF326+BF327+BF328</f>
        <v/>
      </c>
      <c r="BG340" s="8">
        <f>BG324+BG325+BG326+BG327+BG328</f>
        <v/>
      </c>
      <c r="BH340" s="8">
        <f>BH324+BH325+BH326+BH327+BH328</f>
        <v/>
      </c>
      <c r="BI340" s="8">
        <f>BI324+BI325+BI326+BI327+BI328</f>
        <v/>
      </c>
      <c r="BJ340" s="8">
        <f>BJ324+BJ325+BJ326+BJ327+BJ328</f>
        <v/>
      </c>
    </row>
    <row r="341">
      <c r="A341" s="4" t="inlineStr">
        <is>
          <t>Gross subscription revenue: Rest of Africa (USD)</t>
        </is>
      </c>
      <c r="B341" s="17" t="inlineStr">
        <is>
          <t>R</t>
        </is>
      </c>
      <c r="C341" s="8">
        <f>C329+C330+C331+C332</f>
        <v/>
      </c>
      <c r="D341" s="8">
        <f>D329+D330+D331+D332</f>
        <v/>
      </c>
      <c r="E341" s="8">
        <f>E329+E330+E331+E332</f>
        <v/>
      </c>
      <c r="F341" s="8">
        <f>F329+F330+F331+F332</f>
        <v/>
      </c>
      <c r="G341" s="8">
        <f>G329+G330+G331+G332</f>
        <v/>
      </c>
      <c r="H341" s="8">
        <f>H329+H330+H331+H332</f>
        <v/>
      </c>
      <c r="I341" s="8">
        <f>I329+I330+I331+I332</f>
        <v/>
      </c>
      <c r="J341" s="8">
        <f>J329+J330+J331+J332</f>
        <v/>
      </c>
      <c r="K341" s="8">
        <f>K329+K330+K331+K332</f>
        <v/>
      </c>
      <c r="L341" s="8">
        <f>L329+L330+L331+L332</f>
        <v/>
      </c>
      <c r="M341" s="8">
        <f>M329+M330+M331+M332</f>
        <v/>
      </c>
      <c r="N341" s="8">
        <f>N329+N330+N331+N332</f>
        <v/>
      </c>
      <c r="O341" s="8">
        <f>O329+O330+O331+O332</f>
        <v/>
      </c>
      <c r="P341" s="8">
        <f>P329+P330+P331+P332</f>
        <v/>
      </c>
      <c r="Q341" s="8">
        <f>Q329+Q330+Q331+Q332</f>
        <v/>
      </c>
      <c r="R341" s="8">
        <f>R329+R330+R331+R332</f>
        <v/>
      </c>
      <c r="S341" s="8">
        <f>S329+S330+S331+S332</f>
        <v/>
      </c>
      <c r="T341" s="8">
        <f>T329+T330+T331+T332</f>
        <v/>
      </c>
      <c r="U341" s="8">
        <f>U329+U330+U331+U332</f>
        <v/>
      </c>
      <c r="V341" s="8">
        <f>V329+V330+V331+V332</f>
        <v/>
      </c>
      <c r="W341" s="8">
        <f>W329+W330+W331+W332</f>
        <v/>
      </c>
      <c r="X341" s="8">
        <f>X329+X330+X331+X332</f>
        <v/>
      </c>
      <c r="Y341" s="8">
        <f>Y329+Y330+Y331+Y332</f>
        <v/>
      </c>
      <c r="Z341" s="8">
        <f>Z329+Z330+Z331+Z332</f>
        <v/>
      </c>
      <c r="AA341" s="8">
        <f>AA329+AA330+AA331+AA332</f>
        <v/>
      </c>
      <c r="AB341" s="8">
        <f>AB329+AB330+AB331+AB332</f>
        <v/>
      </c>
      <c r="AC341" s="8">
        <f>AC329+AC330+AC331+AC332</f>
        <v/>
      </c>
      <c r="AD341" s="8">
        <f>AD329+AD330+AD331+AD332</f>
        <v/>
      </c>
      <c r="AE341" s="8">
        <f>AE329+AE330+AE331+AE332</f>
        <v/>
      </c>
      <c r="AF341" s="8">
        <f>AF329+AF330+AF331+AF332</f>
        <v/>
      </c>
      <c r="AG341" s="8">
        <f>AG329+AG330+AG331+AG332</f>
        <v/>
      </c>
      <c r="AH341" s="8">
        <f>AH329+AH330+AH331+AH332</f>
        <v/>
      </c>
      <c r="AI341" s="8">
        <f>AI329+AI330+AI331+AI332</f>
        <v/>
      </c>
      <c r="AJ341" s="8">
        <f>AJ329+AJ330+AJ331+AJ332</f>
        <v/>
      </c>
      <c r="AK341" s="8">
        <f>AK329+AK330+AK331+AK332</f>
        <v/>
      </c>
      <c r="AL341" s="8">
        <f>AL329+AL330+AL331+AL332</f>
        <v/>
      </c>
      <c r="AM341" s="8">
        <f>AM329+AM330+AM331+AM332</f>
        <v/>
      </c>
      <c r="AN341" s="8">
        <f>AN329+AN330+AN331+AN332</f>
        <v/>
      </c>
      <c r="AO341" s="8">
        <f>AO329+AO330+AO331+AO332</f>
        <v/>
      </c>
      <c r="AP341" s="8">
        <f>AP329+AP330+AP331+AP332</f>
        <v/>
      </c>
      <c r="AQ341" s="8">
        <f>AQ329+AQ330+AQ331+AQ332</f>
        <v/>
      </c>
      <c r="AR341" s="8">
        <f>AR329+AR330+AR331+AR332</f>
        <v/>
      </c>
      <c r="AS341" s="8">
        <f>AS329+AS330+AS331+AS332</f>
        <v/>
      </c>
      <c r="AT341" s="8">
        <f>AT329+AT330+AT331+AT332</f>
        <v/>
      </c>
      <c r="AU341" s="8">
        <f>AU329+AU330+AU331+AU332</f>
        <v/>
      </c>
      <c r="AV341" s="8">
        <f>AV329+AV330+AV331+AV332</f>
        <v/>
      </c>
      <c r="AW341" s="8">
        <f>AW329+AW330+AW331+AW332</f>
        <v/>
      </c>
      <c r="AX341" s="8">
        <f>AX329+AX330+AX331+AX332</f>
        <v/>
      </c>
      <c r="AY341" s="8">
        <f>AY329+AY330+AY331+AY332</f>
        <v/>
      </c>
      <c r="AZ341" s="8">
        <f>AZ329+AZ330+AZ331+AZ332</f>
        <v/>
      </c>
      <c r="BA341" s="8">
        <f>BA329+BA330+BA331+BA332</f>
        <v/>
      </c>
      <c r="BB341" s="8">
        <f>BB329+BB330+BB331+BB332</f>
        <v/>
      </c>
      <c r="BC341" s="8">
        <f>BC329+BC330+BC331+BC332</f>
        <v/>
      </c>
      <c r="BD341" s="8">
        <f>BD329+BD330+BD331+BD332</f>
        <v/>
      </c>
      <c r="BE341" s="8">
        <f>BE329+BE330+BE331+BE332</f>
        <v/>
      </c>
      <c r="BF341" s="8">
        <f>BF329+BF330+BF331+BF332</f>
        <v/>
      </c>
      <c r="BG341" s="8">
        <f>BG329+BG330+BG331+BG332</f>
        <v/>
      </c>
      <c r="BH341" s="8">
        <f>BH329+BH330+BH331+BH332</f>
        <v/>
      </c>
      <c r="BI341" s="8">
        <f>BI329+BI330+BI331+BI332</f>
        <v/>
      </c>
      <c r="BJ341" s="8">
        <f>BJ329+BJ330+BJ331+BJ332</f>
        <v/>
      </c>
    </row>
    <row r="342">
      <c r="A342" s="4" t="inlineStr">
        <is>
          <t>Gross subscription revenue: Botswana &amp; Namibia</t>
        </is>
      </c>
      <c r="B342" s="17" t="inlineStr">
        <is>
          <t>R</t>
        </is>
      </c>
      <c r="C342" s="8">
        <f>C333+C334+C335+C336</f>
        <v/>
      </c>
      <c r="D342" s="8">
        <f>D333+D334+D335+D336</f>
        <v/>
      </c>
      <c r="E342" s="8">
        <f>E333+E334+E335+E336</f>
        <v/>
      </c>
      <c r="F342" s="8">
        <f>F333+F334+F335+F336</f>
        <v/>
      </c>
      <c r="G342" s="8">
        <f>G333+G334+G335+G336</f>
        <v/>
      </c>
      <c r="H342" s="8">
        <f>H333+H334+H335+H336</f>
        <v/>
      </c>
      <c r="I342" s="8">
        <f>I333+I334+I335+I336</f>
        <v/>
      </c>
      <c r="J342" s="8">
        <f>J333+J334+J335+J336</f>
        <v/>
      </c>
      <c r="K342" s="8">
        <f>K333+K334+K335+K336</f>
        <v/>
      </c>
      <c r="L342" s="8">
        <f>L333+L334+L335+L336</f>
        <v/>
      </c>
      <c r="M342" s="8">
        <f>M333+M334+M335+M336</f>
        <v/>
      </c>
      <c r="N342" s="8">
        <f>N333+N334+N335+N336</f>
        <v/>
      </c>
      <c r="O342" s="8">
        <f>O333+O334+O335+O336</f>
        <v/>
      </c>
      <c r="P342" s="8">
        <f>P333+P334+P335+P336</f>
        <v/>
      </c>
      <c r="Q342" s="8">
        <f>Q333+Q334+Q335+Q336</f>
        <v/>
      </c>
      <c r="R342" s="8">
        <f>R333+R334+R335+R336</f>
        <v/>
      </c>
      <c r="S342" s="8">
        <f>S333+S334+S335+S336</f>
        <v/>
      </c>
      <c r="T342" s="8">
        <f>T333+T334+T335+T336</f>
        <v/>
      </c>
      <c r="U342" s="8">
        <f>U333+U334+U335+U336</f>
        <v/>
      </c>
      <c r="V342" s="8">
        <f>V333+V334+V335+V336</f>
        <v/>
      </c>
      <c r="W342" s="8">
        <f>W333+W334+W335+W336</f>
        <v/>
      </c>
      <c r="X342" s="8">
        <f>X333+X334+X335+X336</f>
        <v/>
      </c>
      <c r="Y342" s="8">
        <f>Y333+Y334+Y335+Y336</f>
        <v/>
      </c>
      <c r="Z342" s="8">
        <f>Z333+Z334+Z335+Z336</f>
        <v/>
      </c>
      <c r="AA342" s="8">
        <f>AA333+AA334+AA335+AA336</f>
        <v/>
      </c>
      <c r="AB342" s="8">
        <f>AB333+AB334+AB335+AB336</f>
        <v/>
      </c>
      <c r="AC342" s="8">
        <f>AC333+AC334+AC335+AC336</f>
        <v/>
      </c>
      <c r="AD342" s="8">
        <f>AD333+AD334+AD335+AD336</f>
        <v/>
      </c>
      <c r="AE342" s="8">
        <f>AE333+AE334+AE335+AE336</f>
        <v/>
      </c>
      <c r="AF342" s="8">
        <f>AF333+AF334+AF335+AF336</f>
        <v/>
      </c>
      <c r="AG342" s="8">
        <f>AG333+AG334+AG335+AG336</f>
        <v/>
      </c>
      <c r="AH342" s="8">
        <f>AH333+AH334+AH335+AH336</f>
        <v/>
      </c>
      <c r="AI342" s="8">
        <f>AI333+AI334+AI335+AI336</f>
        <v/>
      </c>
      <c r="AJ342" s="8">
        <f>AJ333+AJ334+AJ335+AJ336</f>
        <v/>
      </c>
      <c r="AK342" s="8">
        <f>AK333+AK334+AK335+AK336</f>
        <v/>
      </c>
      <c r="AL342" s="8">
        <f>AL333+AL334+AL335+AL336</f>
        <v/>
      </c>
      <c r="AM342" s="8">
        <f>AM333+AM334+AM335+AM336</f>
        <v/>
      </c>
      <c r="AN342" s="8">
        <f>AN333+AN334+AN335+AN336</f>
        <v/>
      </c>
      <c r="AO342" s="8">
        <f>AO333+AO334+AO335+AO336</f>
        <v/>
      </c>
      <c r="AP342" s="8">
        <f>AP333+AP334+AP335+AP336</f>
        <v/>
      </c>
      <c r="AQ342" s="8">
        <f>AQ333+AQ334+AQ335+AQ336</f>
        <v/>
      </c>
      <c r="AR342" s="8">
        <f>AR333+AR334+AR335+AR336</f>
        <v/>
      </c>
      <c r="AS342" s="8">
        <f>AS333+AS334+AS335+AS336</f>
        <v/>
      </c>
      <c r="AT342" s="8">
        <f>AT333+AT334+AT335+AT336</f>
        <v/>
      </c>
      <c r="AU342" s="8">
        <f>AU333+AU334+AU335+AU336</f>
        <v/>
      </c>
      <c r="AV342" s="8">
        <f>AV333+AV334+AV335+AV336</f>
        <v/>
      </c>
      <c r="AW342" s="8">
        <f>AW333+AW334+AW335+AW336</f>
        <v/>
      </c>
      <c r="AX342" s="8">
        <f>AX333+AX334+AX335+AX336</f>
        <v/>
      </c>
      <c r="AY342" s="8">
        <f>AY333+AY334+AY335+AY336</f>
        <v/>
      </c>
      <c r="AZ342" s="8">
        <f>AZ333+AZ334+AZ335+AZ336</f>
        <v/>
      </c>
      <c r="BA342" s="8">
        <f>BA333+BA334+BA335+BA336</f>
        <v/>
      </c>
      <c r="BB342" s="8">
        <f>BB333+BB334+BB335+BB336</f>
        <v/>
      </c>
      <c r="BC342" s="8">
        <f>BC333+BC334+BC335+BC336</f>
        <v/>
      </c>
      <c r="BD342" s="8">
        <f>BD333+BD334+BD335+BD336</f>
        <v/>
      </c>
      <c r="BE342" s="8">
        <f>BE333+BE334+BE335+BE336</f>
        <v/>
      </c>
      <c r="BF342" s="8">
        <f>BF333+BF334+BF335+BF336</f>
        <v/>
      </c>
      <c r="BG342" s="8">
        <f>BG333+BG334+BG335+BG336</f>
        <v/>
      </c>
      <c r="BH342" s="8">
        <f>BH333+BH334+BH335+BH336</f>
        <v/>
      </c>
      <c r="BI342" s="8">
        <f>BI333+BI334+BI335+BI336</f>
        <v/>
      </c>
      <c r="BJ342" s="8">
        <f>BJ333+BJ334+BJ335+BJ336</f>
        <v/>
      </c>
    </row>
    <row r="343">
      <c r="A343" s="4" t="inlineStr">
        <is>
          <t>Gross subscription revenue: Solo</t>
        </is>
      </c>
      <c r="B343" s="17" t="inlineStr">
        <is>
          <t>R</t>
        </is>
      </c>
      <c r="C343" s="8">
        <f>C308+C309+C314+C315+C319+C320+C324+C325+C329+C330+C333+C334</f>
        <v/>
      </c>
      <c r="D343" s="8">
        <f>D308+D309+D314+D315+D319+D320+D324+D325+D329+D330+D333+D334</f>
        <v/>
      </c>
      <c r="E343" s="8">
        <f>E308+E309+E314+E315+E319+E320+E324+E325+E329+E330+E333+E334</f>
        <v/>
      </c>
      <c r="F343" s="8">
        <f>F308+F309+F314+F315+F319+F320+F324+F325+F329+F330+F333+F334</f>
        <v/>
      </c>
      <c r="G343" s="8">
        <f>G308+G309+G314+G315+G319+G320+G324+G325+G329+G330+G333+G334</f>
        <v/>
      </c>
      <c r="H343" s="8">
        <f>H308+H309+H314+H315+H319+H320+H324+H325+H329+H330+H333+H334</f>
        <v/>
      </c>
      <c r="I343" s="8">
        <f>I308+I309+I314+I315+I319+I320+I324+I325+I329+I330+I333+I334</f>
        <v/>
      </c>
      <c r="J343" s="8">
        <f>J308+J309+J314+J315+J319+J320+J324+J325+J329+J330+J333+J334</f>
        <v/>
      </c>
      <c r="K343" s="8">
        <f>K308+K309+K314+K315+K319+K320+K324+K325+K329+K330+K333+K334</f>
        <v/>
      </c>
      <c r="L343" s="8">
        <f>L308+L309+L314+L315+L319+L320+L324+L325+L329+L330+L333+L334</f>
        <v/>
      </c>
      <c r="M343" s="8">
        <f>M308+M309+M314+M315+M319+M320+M324+M325+M329+M330+M333+M334</f>
        <v/>
      </c>
      <c r="N343" s="8">
        <f>N308+N309+N314+N315+N319+N320+N324+N325+N329+N330+N333+N334</f>
        <v/>
      </c>
      <c r="O343" s="8">
        <f>O308+O309+O314+O315+O319+O320+O324+O325+O329+O330+O333+O334</f>
        <v/>
      </c>
      <c r="P343" s="8">
        <f>P308+P309+P314+P315+P319+P320+P324+P325+P329+P330+P333+P334</f>
        <v/>
      </c>
      <c r="Q343" s="8">
        <f>Q308+Q309+Q314+Q315+Q319+Q320+Q324+Q325+Q329+Q330+Q333+Q334</f>
        <v/>
      </c>
      <c r="R343" s="8">
        <f>R308+R309+R314+R315+R319+R320+R324+R325+R329+R330+R333+R334</f>
        <v/>
      </c>
      <c r="S343" s="8">
        <f>S308+S309+S314+S315+S319+S320+S324+S325+S329+S330+S333+S334</f>
        <v/>
      </c>
      <c r="T343" s="8">
        <f>T308+T309+T314+T315+T319+T320+T324+T325+T329+T330+T333+T334</f>
        <v/>
      </c>
      <c r="U343" s="8">
        <f>U308+U309+U314+U315+U319+U320+U324+U325+U329+U330+U333+U334</f>
        <v/>
      </c>
      <c r="V343" s="8">
        <f>V308+V309+V314+V315+V319+V320+V324+V325+V329+V330+V333+V334</f>
        <v/>
      </c>
      <c r="W343" s="8">
        <f>W308+W309+W314+W315+W319+W320+W324+W325+W329+W330+W333+W334</f>
        <v/>
      </c>
      <c r="X343" s="8">
        <f>X308+X309+X314+X315+X319+X320+X324+X325+X329+X330+X333+X334</f>
        <v/>
      </c>
      <c r="Y343" s="8">
        <f>Y308+Y309+Y314+Y315+Y319+Y320+Y324+Y325+Y329+Y330+Y333+Y334</f>
        <v/>
      </c>
      <c r="Z343" s="8">
        <f>Z308+Z309+Z314+Z315+Z319+Z320+Z324+Z325+Z329+Z330+Z333+Z334</f>
        <v/>
      </c>
      <c r="AA343" s="8">
        <f>AA308+AA309+AA314+AA315+AA319+AA320+AA324+AA325+AA329+AA330+AA333+AA334</f>
        <v/>
      </c>
      <c r="AB343" s="8">
        <f>AB308+AB309+AB314+AB315+AB319+AB320+AB324+AB325+AB329+AB330+AB333+AB334</f>
        <v/>
      </c>
      <c r="AC343" s="8">
        <f>AC308+AC309+AC314+AC315+AC319+AC320+AC324+AC325+AC329+AC330+AC333+AC334</f>
        <v/>
      </c>
      <c r="AD343" s="8">
        <f>AD308+AD309+AD314+AD315+AD319+AD320+AD324+AD325+AD329+AD330+AD333+AD334</f>
        <v/>
      </c>
      <c r="AE343" s="8">
        <f>AE308+AE309+AE314+AE315+AE319+AE320+AE324+AE325+AE329+AE330+AE333+AE334</f>
        <v/>
      </c>
      <c r="AF343" s="8">
        <f>AF308+AF309+AF314+AF315+AF319+AF320+AF324+AF325+AF329+AF330+AF333+AF334</f>
        <v/>
      </c>
      <c r="AG343" s="8">
        <f>AG308+AG309+AG314+AG315+AG319+AG320+AG324+AG325+AG329+AG330+AG333+AG334</f>
        <v/>
      </c>
      <c r="AH343" s="8">
        <f>AH308+AH309+AH314+AH315+AH319+AH320+AH324+AH325+AH329+AH330+AH333+AH334</f>
        <v/>
      </c>
      <c r="AI343" s="8">
        <f>AI308+AI309+AI314+AI315+AI319+AI320+AI324+AI325+AI329+AI330+AI333+AI334</f>
        <v/>
      </c>
      <c r="AJ343" s="8">
        <f>AJ308+AJ309+AJ314+AJ315+AJ319+AJ320+AJ324+AJ325+AJ329+AJ330+AJ333+AJ334</f>
        <v/>
      </c>
      <c r="AK343" s="8">
        <f>AK308+AK309+AK314+AK315+AK319+AK320+AK324+AK325+AK329+AK330+AK333+AK334</f>
        <v/>
      </c>
      <c r="AL343" s="8">
        <f>AL308+AL309+AL314+AL315+AL319+AL320+AL324+AL325+AL329+AL330+AL333+AL334</f>
        <v/>
      </c>
      <c r="AM343" s="8">
        <f>AM308+AM309+AM314+AM315+AM319+AM320+AM324+AM325+AM329+AM330+AM333+AM334</f>
        <v/>
      </c>
      <c r="AN343" s="8">
        <f>AN308+AN309+AN314+AN315+AN319+AN320+AN324+AN325+AN329+AN330+AN333+AN334</f>
        <v/>
      </c>
      <c r="AO343" s="8">
        <f>AO308+AO309+AO314+AO315+AO319+AO320+AO324+AO325+AO329+AO330+AO333+AO334</f>
        <v/>
      </c>
      <c r="AP343" s="8">
        <f>AP308+AP309+AP314+AP315+AP319+AP320+AP324+AP325+AP329+AP330+AP333+AP334</f>
        <v/>
      </c>
      <c r="AQ343" s="8">
        <f>AQ308+AQ309+AQ314+AQ315+AQ319+AQ320+AQ324+AQ325+AQ329+AQ330+AQ333+AQ334</f>
        <v/>
      </c>
      <c r="AR343" s="8">
        <f>AR308+AR309+AR314+AR315+AR319+AR320+AR324+AR325+AR329+AR330+AR333+AR334</f>
        <v/>
      </c>
      <c r="AS343" s="8">
        <f>AS308+AS309+AS314+AS315+AS319+AS320+AS324+AS325+AS329+AS330+AS333+AS334</f>
        <v/>
      </c>
      <c r="AT343" s="8">
        <f>AT308+AT309+AT314+AT315+AT319+AT320+AT324+AT325+AT329+AT330+AT333+AT334</f>
        <v/>
      </c>
      <c r="AU343" s="8">
        <f>AU308+AU309+AU314+AU315+AU319+AU320+AU324+AU325+AU329+AU330+AU333+AU334</f>
        <v/>
      </c>
      <c r="AV343" s="8">
        <f>AV308+AV309+AV314+AV315+AV319+AV320+AV324+AV325+AV329+AV330+AV333+AV334</f>
        <v/>
      </c>
      <c r="AW343" s="8">
        <f>AW308+AW309+AW314+AW315+AW319+AW320+AW324+AW325+AW329+AW330+AW333+AW334</f>
        <v/>
      </c>
      <c r="AX343" s="8">
        <f>AX308+AX309+AX314+AX315+AX319+AX320+AX324+AX325+AX329+AX330+AX333+AX334</f>
        <v/>
      </c>
      <c r="AY343" s="8">
        <f>AY308+AY309+AY314+AY315+AY319+AY320+AY324+AY325+AY329+AY330+AY333+AY334</f>
        <v/>
      </c>
      <c r="AZ343" s="8">
        <f>AZ308+AZ309+AZ314+AZ315+AZ319+AZ320+AZ324+AZ325+AZ329+AZ330+AZ333+AZ334</f>
        <v/>
      </c>
      <c r="BA343" s="8">
        <f>BA308+BA309+BA314+BA315+BA319+BA320+BA324+BA325+BA329+BA330+BA333+BA334</f>
        <v/>
      </c>
      <c r="BB343" s="8">
        <f>BB308+BB309+BB314+BB315+BB319+BB320+BB324+BB325+BB329+BB330+BB333+BB334</f>
        <v/>
      </c>
      <c r="BC343" s="8">
        <f>BC308+BC309+BC314+BC315+BC319+BC320+BC324+BC325+BC329+BC330+BC333+BC334</f>
        <v/>
      </c>
      <c r="BD343" s="8">
        <f>BD308+BD309+BD314+BD315+BD319+BD320+BD324+BD325+BD329+BD330+BD333+BD334</f>
        <v/>
      </c>
      <c r="BE343" s="8">
        <f>BE308+BE309+BE314+BE315+BE319+BE320+BE324+BE325+BE329+BE330+BE333+BE334</f>
        <v/>
      </c>
      <c r="BF343" s="8">
        <f>BF308+BF309+BF314+BF315+BF319+BF320+BF324+BF325+BF329+BF330+BF333+BF334</f>
        <v/>
      </c>
      <c r="BG343" s="8">
        <f>BG308+BG309+BG314+BG315+BG319+BG320+BG324+BG325+BG329+BG330+BG333+BG334</f>
        <v/>
      </c>
      <c r="BH343" s="8">
        <f>BH308+BH309+BH314+BH315+BH319+BH320+BH324+BH325+BH329+BH330+BH333+BH334</f>
        <v/>
      </c>
      <c r="BI343" s="8">
        <f>BI308+BI309+BI314+BI315+BI319+BI320+BI324+BI325+BI329+BI330+BI333+BI334</f>
        <v/>
      </c>
      <c r="BJ343" s="8">
        <f>BJ308+BJ309+BJ314+BJ315+BJ319+BJ320+BJ324+BJ325+BJ329+BJ330+BJ333+BJ334</f>
        <v/>
      </c>
    </row>
    <row r="344">
      <c r="A344" s="4" t="inlineStr">
        <is>
          <t>Gross subscription revenue: SMEs</t>
        </is>
      </c>
      <c r="B344" s="17" t="inlineStr">
        <is>
          <t>R</t>
        </is>
      </c>
      <c r="C344" s="8">
        <f>C310+C311+C316+C317+C321+C322+C326+C327+C331+C332+C335+C336</f>
        <v/>
      </c>
      <c r="D344" s="8">
        <f>D310+D311+D316+D317+D321+D322+D326+D327+D331+D332+D335+D336</f>
        <v/>
      </c>
      <c r="E344" s="8">
        <f>E310+E311+E316+E317+E321+E322+E326+E327+E331+E332+E335+E336</f>
        <v/>
      </c>
      <c r="F344" s="8">
        <f>F310+F311+F316+F317+F321+F322+F326+F327+F331+F332+F335+F336</f>
        <v/>
      </c>
      <c r="G344" s="8">
        <f>G310+G311+G316+G317+G321+G322+G326+G327+G331+G332+G335+G336</f>
        <v/>
      </c>
      <c r="H344" s="8">
        <f>H310+H311+H316+H317+H321+H322+H326+H327+H331+H332+H335+H336</f>
        <v/>
      </c>
      <c r="I344" s="8">
        <f>I310+I311+I316+I317+I321+I322+I326+I327+I331+I332+I335+I336</f>
        <v/>
      </c>
      <c r="J344" s="8">
        <f>J310+J311+J316+J317+J321+J322+J326+J327+J331+J332+J335+J336</f>
        <v/>
      </c>
      <c r="K344" s="8">
        <f>K310+K311+K316+K317+K321+K322+K326+K327+K331+K332+K335+K336</f>
        <v/>
      </c>
      <c r="L344" s="8">
        <f>L310+L311+L316+L317+L321+L322+L326+L327+L331+L332+L335+L336</f>
        <v/>
      </c>
      <c r="M344" s="8">
        <f>M310+M311+M316+M317+M321+M322+M326+M327+M331+M332+M335+M336</f>
        <v/>
      </c>
      <c r="N344" s="8">
        <f>N310+N311+N316+N317+N321+N322+N326+N327+N331+N332+N335+N336</f>
        <v/>
      </c>
      <c r="O344" s="8">
        <f>O310+O311+O316+O317+O321+O322+O326+O327+O331+O332+O335+O336</f>
        <v/>
      </c>
      <c r="P344" s="8">
        <f>P310+P311+P316+P317+P321+P322+P326+P327+P331+P332+P335+P336</f>
        <v/>
      </c>
      <c r="Q344" s="8">
        <f>Q310+Q311+Q316+Q317+Q321+Q322+Q326+Q327+Q331+Q332+Q335+Q336</f>
        <v/>
      </c>
      <c r="R344" s="8">
        <f>R310+R311+R316+R317+R321+R322+R326+R327+R331+R332+R335+R336</f>
        <v/>
      </c>
      <c r="S344" s="8">
        <f>S310+S311+S316+S317+S321+S322+S326+S327+S331+S332+S335+S336</f>
        <v/>
      </c>
      <c r="T344" s="8">
        <f>T310+T311+T316+T317+T321+T322+T326+T327+T331+T332+T335+T336</f>
        <v/>
      </c>
      <c r="U344" s="8">
        <f>U310+U311+U316+U317+U321+U322+U326+U327+U331+U332+U335+U336</f>
        <v/>
      </c>
      <c r="V344" s="8">
        <f>V310+V311+V316+V317+V321+V322+V326+V327+V331+V332+V335+V336</f>
        <v/>
      </c>
      <c r="W344" s="8">
        <f>W310+W311+W316+W317+W321+W322+W326+W327+W331+W332+W335+W336</f>
        <v/>
      </c>
      <c r="X344" s="8">
        <f>X310+X311+X316+X317+X321+X322+X326+X327+X331+X332+X335+X336</f>
        <v/>
      </c>
      <c r="Y344" s="8">
        <f>Y310+Y311+Y316+Y317+Y321+Y322+Y326+Y327+Y331+Y332+Y335+Y336</f>
        <v/>
      </c>
      <c r="Z344" s="8">
        <f>Z310+Z311+Z316+Z317+Z321+Z322+Z326+Z327+Z331+Z332+Z335+Z336</f>
        <v/>
      </c>
      <c r="AA344" s="8">
        <f>AA310+AA311+AA316+AA317+AA321+AA322+AA326+AA327+AA331+AA332+AA335+AA336</f>
        <v/>
      </c>
      <c r="AB344" s="8">
        <f>AB310+AB311+AB316+AB317+AB321+AB322+AB326+AB327+AB331+AB332+AB335+AB336</f>
        <v/>
      </c>
      <c r="AC344" s="8">
        <f>AC310+AC311+AC316+AC317+AC321+AC322+AC326+AC327+AC331+AC332+AC335+AC336</f>
        <v/>
      </c>
      <c r="AD344" s="8">
        <f>AD310+AD311+AD316+AD317+AD321+AD322+AD326+AD327+AD331+AD332+AD335+AD336</f>
        <v/>
      </c>
      <c r="AE344" s="8">
        <f>AE310+AE311+AE316+AE317+AE321+AE322+AE326+AE327+AE331+AE332+AE335+AE336</f>
        <v/>
      </c>
      <c r="AF344" s="8">
        <f>AF310+AF311+AF316+AF317+AF321+AF322+AF326+AF327+AF331+AF332+AF335+AF336</f>
        <v/>
      </c>
      <c r="AG344" s="8">
        <f>AG310+AG311+AG316+AG317+AG321+AG322+AG326+AG327+AG331+AG332+AG335+AG336</f>
        <v/>
      </c>
      <c r="AH344" s="8">
        <f>AH310+AH311+AH316+AH317+AH321+AH322+AH326+AH327+AH331+AH332+AH335+AH336</f>
        <v/>
      </c>
      <c r="AI344" s="8">
        <f>AI310+AI311+AI316+AI317+AI321+AI322+AI326+AI327+AI331+AI332+AI335+AI336</f>
        <v/>
      </c>
      <c r="AJ344" s="8">
        <f>AJ310+AJ311+AJ316+AJ317+AJ321+AJ322+AJ326+AJ327+AJ331+AJ332+AJ335+AJ336</f>
        <v/>
      </c>
      <c r="AK344" s="8">
        <f>AK310+AK311+AK316+AK317+AK321+AK322+AK326+AK327+AK331+AK332+AK335+AK336</f>
        <v/>
      </c>
      <c r="AL344" s="8">
        <f>AL310+AL311+AL316+AL317+AL321+AL322+AL326+AL327+AL331+AL332+AL335+AL336</f>
        <v/>
      </c>
      <c r="AM344" s="8">
        <f>AM310+AM311+AM316+AM317+AM321+AM322+AM326+AM327+AM331+AM332+AM335+AM336</f>
        <v/>
      </c>
      <c r="AN344" s="8">
        <f>AN310+AN311+AN316+AN317+AN321+AN322+AN326+AN327+AN331+AN332+AN335+AN336</f>
        <v/>
      </c>
      <c r="AO344" s="8">
        <f>AO310+AO311+AO316+AO317+AO321+AO322+AO326+AO327+AO331+AO332+AO335+AO336</f>
        <v/>
      </c>
      <c r="AP344" s="8">
        <f>AP310+AP311+AP316+AP317+AP321+AP322+AP326+AP327+AP331+AP332+AP335+AP336</f>
        <v/>
      </c>
      <c r="AQ344" s="8">
        <f>AQ310+AQ311+AQ316+AQ317+AQ321+AQ322+AQ326+AQ327+AQ331+AQ332+AQ335+AQ336</f>
        <v/>
      </c>
      <c r="AR344" s="8">
        <f>AR310+AR311+AR316+AR317+AR321+AR322+AR326+AR327+AR331+AR332+AR335+AR336</f>
        <v/>
      </c>
      <c r="AS344" s="8">
        <f>AS310+AS311+AS316+AS317+AS321+AS322+AS326+AS327+AS331+AS332+AS335+AS336</f>
        <v/>
      </c>
      <c r="AT344" s="8">
        <f>AT310+AT311+AT316+AT317+AT321+AT322+AT326+AT327+AT331+AT332+AT335+AT336</f>
        <v/>
      </c>
      <c r="AU344" s="8">
        <f>AU310+AU311+AU316+AU317+AU321+AU322+AU326+AU327+AU331+AU332+AU335+AU336</f>
        <v/>
      </c>
      <c r="AV344" s="8">
        <f>AV310+AV311+AV316+AV317+AV321+AV322+AV326+AV327+AV331+AV332+AV335+AV336</f>
        <v/>
      </c>
      <c r="AW344" s="8">
        <f>AW310+AW311+AW316+AW317+AW321+AW322+AW326+AW327+AW331+AW332+AW335+AW336</f>
        <v/>
      </c>
      <c r="AX344" s="8">
        <f>AX310+AX311+AX316+AX317+AX321+AX322+AX326+AX327+AX331+AX332+AX335+AX336</f>
        <v/>
      </c>
      <c r="AY344" s="8">
        <f>AY310+AY311+AY316+AY317+AY321+AY322+AY326+AY327+AY331+AY332+AY335+AY336</f>
        <v/>
      </c>
      <c r="AZ344" s="8">
        <f>AZ310+AZ311+AZ316+AZ317+AZ321+AZ322+AZ326+AZ327+AZ331+AZ332+AZ335+AZ336</f>
        <v/>
      </c>
      <c r="BA344" s="8">
        <f>BA310+BA311+BA316+BA317+BA321+BA322+BA326+BA327+BA331+BA332+BA335+BA336</f>
        <v/>
      </c>
      <c r="BB344" s="8">
        <f>BB310+BB311+BB316+BB317+BB321+BB322+BB326+BB327+BB331+BB332+BB335+BB336</f>
        <v/>
      </c>
      <c r="BC344" s="8">
        <f>BC310+BC311+BC316+BC317+BC321+BC322+BC326+BC327+BC331+BC332+BC335+BC336</f>
        <v/>
      </c>
      <c r="BD344" s="8">
        <f>BD310+BD311+BD316+BD317+BD321+BD322+BD326+BD327+BD331+BD332+BD335+BD336</f>
        <v/>
      </c>
      <c r="BE344" s="8">
        <f>BE310+BE311+BE316+BE317+BE321+BE322+BE326+BE327+BE331+BE332+BE335+BE336</f>
        <v/>
      </c>
      <c r="BF344" s="8">
        <f>BF310+BF311+BF316+BF317+BF321+BF322+BF326+BF327+BF331+BF332+BF335+BF336</f>
        <v/>
      </c>
      <c r="BG344" s="8">
        <f>BG310+BG311+BG316+BG317+BG321+BG322+BG326+BG327+BG331+BG332+BG335+BG336</f>
        <v/>
      </c>
      <c r="BH344" s="8">
        <f>BH310+BH311+BH316+BH317+BH321+BH322+BH326+BH327+BH331+BH332+BH335+BH336</f>
        <v/>
      </c>
      <c r="BI344" s="8">
        <f>BI310+BI311+BI316+BI317+BI321+BI322+BI326+BI327+BI331+BI332+BI335+BI336</f>
        <v/>
      </c>
      <c r="BJ344" s="8">
        <f>BJ310+BJ311+BJ316+BJ317+BJ321+BJ322+BJ326+BJ327+BJ331+BJ332+BJ335+BJ336</f>
        <v/>
      </c>
    </row>
    <row r="345">
      <c r="A345" s="4" t="inlineStr">
        <is>
          <t>Gross subscription revenue: Agencies</t>
        </is>
      </c>
      <c r="B345" s="17" t="inlineStr">
        <is>
          <t>R</t>
        </is>
      </c>
      <c r="C345" s="8">
        <f>C312+C318+C323+C328</f>
        <v/>
      </c>
      <c r="D345" s="8">
        <f>D312+D318+D323+D328</f>
        <v/>
      </c>
      <c r="E345" s="8">
        <f>E312+E318+E323+E328</f>
        <v/>
      </c>
      <c r="F345" s="8">
        <f>F312+F318+F323+F328</f>
        <v/>
      </c>
      <c r="G345" s="8">
        <f>G312+G318+G323+G328</f>
        <v/>
      </c>
      <c r="H345" s="8">
        <f>H312+H318+H323+H328</f>
        <v/>
      </c>
      <c r="I345" s="8">
        <f>I312+I318+I323+I328</f>
        <v/>
      </c>
      <c r="J345" s="8">
        <f>J312+J318+J323+J328</f>
        <v/>
      </c>
      <c r="K345" s="8">
        <f>K312+K318+K323+K328</f>
        <v/>
      </c>
      <c r="L345" s="8">
        <f>L312+L318+L323+L328</f>
        <v/>
      </c>
      <c r="M345" s="8">
        <f>M312+M318+M323+M328</f>
        <v/>
      </c>
      <c r="N345" s="8">
        <f>N312+N318+N323+N328</f>
        <v/>
      </c>
      <c r="O345" s="8">
        <f>O312+O318+O323+O328</f>
        <v/>
      </c>
      <c r="P345" s="8">
        <f>P312+P318+P323+P328</f>
        <v/>
      </c>
      <c r="Q345" s="8">
        <f>Q312+Q318+Q323+Q328</f>
        <v/>
      </c>
      <c r="R345" s="8">
        <f>R312+R318+R323+R328</f>
        <v/>
      </c>
      <c r="S345" s="8">
        <f>S312+S318+S323+S328</f>
        <v/>
      </c>
      <c r="T345" s="8">
        <f>T312+T318+T323+T328</f>
        <v/>
      </c>
      <c r="U345" s="8">
        <f>U312+U318+U323+U328</f>
        <v/>
      </c>
      <c r="V345" s="8">
        <f>V312+V318+V323+V328</f>
        <v/>
      </c>
      <c r="W345" s="8">
        <f>W312+W318+W323+W328</f>
        <v/>
      </c>
      <c r="X345" s="8">
        <f>X312+X318+X323+X328</f>
        <v/>
      </c>
      <c r="Y345" s="8">
        <f>Y312+Y318+Y323+Y328</f>
        <v/>
      </c>
      <c r="Z345" s="8">
        <f>Z312+Z318+Z323+Z328</f>
        <v/>
      </c>
      <c r="AA345" s="8">
        <f>AA312+AA318+AA323+AA328</f>
        <v/>
      </c>
      <c r="AB345" s="8">
        <f>AB312+AB318+AB323+AB328</f>
        <v/>
      </c>
      <c r="AC345" s="8">
        <f>AC312+AC318+AC323+AC328</f>
        <v/>
      </c>
      <c r="AD345" s="8">
        <f>AD312+AD318+AD323+AD328</f>
        <v/>
      </c>
      <c r="AE345" s="8">
        <f>AE312+AE318+AE323+AE328</f>
        <v/>
      </c>
      <c r="AF345" s="8">
        <f>AF312+AF318+AF323+AF328</f>
        <v/>
      </c>
      <c r="AG345" s="8">
        <f>AG312+AG318+AG323+AG328</f>
        <v/>
      </c>
      <c r="AH345" s="8">
        <f>AH312+AH318+AH323+AH328</f>
        <v/>
      </c>
      <c r="AI345" s="8">
        <f>AI312+AI318+AI323+AI328</f>
        <v/>
      </c>
      <c r="AJ345" s="8">
        <f>AJ312+AJ318+AJ323+AJ328</f>
        <v/>
      </c>
      <c r="AK345" s="8">
        <f>AK312+AK318+AK323+AK328</f>
        <v/>
      </c>
      <c r="AL345" s="8">
        <f>AL312+AL318+AL323+AL328</f>
        <v/>
      </c>
      <c r="AM345" s="8">
        <f>AM312+AM318+AM323+AM328</f>
        <v/>
      </c>
      <c r="AN345" s="8">
        <f>AN312+AN318+AN323+AN328</f>
        <v/>
      </c>
      <c r="AO345" s="8">
        <f>AO312+AO318+AO323+AO328</f>
        <v/>
      </c>
      <c r="AP345" s="8">
        <f>AP312+AP318+AP323+AP328</f>
        <v/>
      </c>
      <c r="AQ345" s="8">
        <f>AQ312+AQ318+AQ323+AQ328</f>
        <v/>
      </c>
      <c r="AR345" s="8">
        <f>AR312+AR318+AR323+AR328</f>
        <v/>
      </c>
      <c r="AS345" s="8">
        <f>AS312+AS318+AS323+AS328</f>
        <v/>
      </c>
      <c r="AT345" s="8">
        <f>AT312+AT318+AT323+AT328</f>
        <v/>
      </c>
      <c r="AU345" s="8">
        <f>AU312+AU318+AU323+AU328</f>
        <v/>
      </c>
      <c r="AV345" s="8">
        <f>AV312+AV318+AV323+AV328</f>
        <v/>
      </c>
      <c r="AW345" s="8">
        <f>AW312+AW318+AW323+AW328</f>
        <v/>
      </c>
      <c r="AX345" s="8">
        <f>AX312+AX318+AX323+AX328</f>
        <v/>
      </c>
      <c r="AY345" s="8">
        <f>AY312+AY318+AY323+AY328</f>
        <v/>
      </c>
      <c r="AZ345" s="8">
        <f>AZ312+AZ318+AZ323+AZ328</f>
        <v/>
      </c>
      <c r="BA345" s="8">
        <f>BA312+BA318+BA323+BA328</f>
        <v/>
      </c>
      <c r="BB345" s="8">
        <f>BB312+BB318+BB323+BB328</f>
        <v/>
      </c>
      <c r="BC345" s="8">
        <f>BC312+BC318+BC323+BC328</f>
        <v/>
      </c>
      <c r="BD345" s="8">
        <f>BD312+BD318+BD323+BD328</f>
        <v/>
      </c>
      <c r="BE345" s="8">
        <f>BE312+BE318+BE323+BE328</f>
        <v/>
      </c>
      <c r="BF345" s="8">
        <f>BF312+BF318+BF323+BF328</f>
        <v/>
      </c>
      <c r="BG345" s="8">
        <f>BG312+BG318+BG323+BG328</f>
        <v/>
      </c>
      <c r="BH345" s="8">
        <f>BH312+BH318+BH323+BH328</f>
        <v/>
      </c>
      <c r="BI345" s="8">
        <f>BI312+BI318+BI323+BI328</f>
        <v/>
      </c>
      <c r="BJ345" s="8">
        <f>BJ312+BJ318+BJ323+BJ328</f>
        <v/>
      </c>
    </row>
    <row r="346">
      <c r="A346" s="4" t="inlineStr">
        <is>
          <t>Gross subscription revenue: Enterprise</t>
        </is>
      </c>
      <c r="B346" s="17" t="inlineStr">
        <is>
          <t>R</t>
        </is>
      </c>
      <c r="C346" s="8">
        <f>C313</f>
        <v/>
      </c>
      <c r="D346" s="8">
        <f>D313</f>
        <v/>
      </c>
      <c r="E346" s="8">
        <f>E313</f>
        <v/>
      </c>
      <c r="F346" s="8">
        <f>F313</f>
        <v/>
      </c>
      <c r="G346" s="8">
        <f>G313</f>
        <v/>
      </c>
      <c r="H346" s="8">
        <f>H313</f>
        <v/>
      </c>
      <c r="I346" s="8">
        <f>I313</f>
        <v/>
      </c>
      <c r="J346" s="8">
        <f>J313</f>
        <v/>
      </c>
      <c r="K346" s="8">
        <f>K313</f>
        <v/>
      </c>
      <c r="L346" s="8">
        <f>L313</f>
        <v/>
      </c>
      <c r="M346" s="8">
        <f>M313</f>
        <v/>
      </c>
      <c r="N346" s="8">
        <f>N313</f>
        <v/>
      </c>
      <c r="O346" s="8">
        <f>O313</f>
        <v/>
      </c>
      <c r="P346" s="8">
        <f>P313</f>
        <v/>
      </c>
      <c r="Q346" s="8">
        <f>Q313</f>
        <v/>
      </c>
      <c r="R346" s="8">
        <f>R313</f>
        <v/>
      </c>
      <c r="S346" s="8">
        <f>S313</f>
        <v/>
      </c>
      <c r="T346" s="8">
        <f>T313</f>
        <v/>
      </c>
      <c r="U346" s="8">
        <f>U313</f>
        <v/>
      </c>
      <c r="V346" s="8">
        <f>V313</f>
        <v/>
      </c>
      <c r="W346" s="8">
        <f>W313</f>
        <v/>
      </c>
      <c r="X346" s="8">
        <f>X313</f>
        <v/>
      </c>
      <c r="Y346" s="8">
        <f>Y313</f>
        <v/>
      </c>
      <c r="Z346" s="8">
        <f>Z313</f>
        <v/>
      </c>
      <c r="AA346" s="8">
        <f>AA313</f>
        <v/>
      </c>
      <c r="AB346" s="8">
        <f>AB313</f>
        <v/>
      </c>
      <c r="AC346" s="8">
        <f>AC313</f>
        <v/>
      </c>
      <c r="AD346" s="8">
        <f>AD313</f>
        <v/>
      </c>
      <c r="AE346" s="8">
        <f>AE313</f>
        <v/>
      </c>
      <c r="AF346" s="8">
        <f>AF313</f>
        <v/>
      </c>
      <c r="AG346" s="8">
        <f>AG313</f>
        <v/>
      </c>
      <c r="AH346" s="8">
        <f>AH313</f>
        <v/>
      </c>
      <c r="AI346" s="8">
        <f>AI313</f>
        <v/>
      </c>
      <c r="AJ346" s="8">
        <f>AJ313</f>
        <v/>
      </c>
      <c r="AK346" s="8">
        <f>AK313</f>
        <v/>
      </c>
      <c r="AL346" s="8">
        <f>AL313</f>
        <v/>
      </c>
      <c r="AM346" s="8">
        <f>AM313</f>
        <v/>
      </c>
      <c r="AN346" s="8">
        <f>AN313</f>
        <v/>
      </c>
      <c r="AO346" s="8">
        <f>AO313</f>
        <v/>
      </c>
      <c r="AP346" s="8">
        <f>AP313</f>
        <v/>
      </c>
      <c r="AQ346" s="8">
        <f>AQ313</f>
        <v/>
      </c>
      <c r="AR346" s="8">
        <f>AR313</f>
        <v/>
      </c>
      <c r="AS346" s="8">
        <f>AS313</f>
        <v/>
      </c>
      <c r="AT346" s="8">
        <f>AT313</f>
        <v/>
      </c>
      <c r="AU346" s="8">
        <f>AU313</f>
        <v/>
      </c>
      <c r="AV346" s="8">
        <f>AV313</f>
        <v/>
      </c>
      <c r="AW346" s="8">
        <f>AW313</f>
        <v/>
      </c>
      <c r="AX346" s="8">
        <f>AX313</f>
        <v/>
      </c>
      <c r="AY346" s="8">
        <f>AY313</f>
        <v/>
      </c>
      <c r="AZ346" s="8">
        <f>AZ313</f>
        <v/>
      </c>
      <c r="BA346" s="8">
        <f>BA313</f>
        <v/>
      </c>
      <c r="BB346" s="8">
        <f>BB313</f>
        <v/>
      </c>
      <c r="BC346" s="8">
        <f>BC313</f>
        <v/>
      </c>
      <c r="BD346" s="8">
        <f>BD313</f>
        <v/>
      </c>
      <c r="BE346" s="8">
        <f>BE313</f>
        <v/>
      </c>
      <c r="BF346" s="8">
        <f>BF313</f>
        <v/>
      </c>
      <c r="BG346" s="8">
        <f>BG313</f>
        <v/>
      </c>
      <c r="BH346" s="8">
        <f>BH313</f>
        <v/>
      </c>
      <c r="BI346" s="8">
        <f>BI313</f>
        <v/>
      </c>
      <c r="BJ346" s="8">
        <f>BJ313</f>
        <v/>
      </c>
    </row>
    <row r="347">
      <c r="A347" s="4" t="inlineStr">
        <is>
          <t>Gross subscription revenue: Starter tier</t>
        </is>
      </c>
      <c r="B347" s="17" t="inlineStr">
        <is>
          <t>R</t>
        </is>
      </c>
      <c r="C347" s="8">
        <f>C308+C314+C319+C324+C329+C333</f>
        <v/>
      </c>
      <c r="D347" s="8">
        <f>D308+D314+D319+D324+D329+D333</f>
        <v/>
      </c>
      <c r="E347" s="8">
        <f>E308+E314+E319+E324+E329+E333</f>
        <v/>
      </c>
      <c r="F347" s="8">
        <f>F308+F314+F319+F324+F329+F333</f>
        <v/>
      </c>
      <c r="G347" s="8">
        <f>G308+G314+G319+G324+G329+G333</f>
        <v/>
      </c>
      <c r="H347" s="8">
        <f>H308+H314+H319+H324+H329+H333</f>
        <v/>
      </c>
      <c r="I347" s="8">
        <f>I308+I314+I319+I324+I329+I333</f>
        <v/>
      </c>
      <c r="J347" s="8">
        <f>J308+J314+J319+J324+J329+J333</f>
        <v/>
      </c>
      <c r="K347" s="8">
        <f>K308+K314+K319+K324+K329+K333</f>
        <v/>
      </c>
      <c r="L347" s="8">
        <f>L308+L314+L319+L324+L329+L333</f>
        <v/>
      </c>
      <c r="M347" s="8">
        <f>M308+M314+M319+M324+M329+M333</f>
        <v/>
      </c>
      <c r="N347" s="8">
        <f>N308+N314+N319+N324+N329+N333</f>
        <v/>
      </c>
      <c r="O347" s="8">
        <f>O308+O314+O319+O324+O329+O333</f>
        <v/>
      </c>
      <c r="P347" s="8">
        <f>P308+P314+P319+P324+P329+P333</f>
        <v/>
      </c>
      <c r="Q347" s="8">
        <f>Q308+Q314+Q319+Q324+Q329+Q333</f>
        <v/>
      </c>
      <c r="R347" s="8">
        <f>R308+R314+R319+R324+R329+R333</f>
        <v/>
      </c>
      <c r="S347" s="8">
        <f>S308+S314+S319+S324+S329+S333</f>
        <v/>
      </c>
      <c r="T347" s="8">
        <f>T308+T314+T319+T324+T329+T333</f>
        <v/>
      </c>
      <c r="U347" s="8">
        <f>U308+U314+U319+U324+U329+U333</f>
        <v/>
      </c>
      <c r="V347" s="8">
        <f>V308+V314+V319+V324+V329+V333</f>
        <v/>
      </c>
      <c r="W347" s="8">
        <f>W308+W314+W319+W324+W329+W333</f>
        <v/>
      </c>
      <c r="X347" s="8">
        <f>X308+X314+X319+X324+X329+X333</f>
        <v/>
      </c>
      <c r="Y347" s="8">
        <f>Y308+Y314+Y319+Y324+Y329+Y333</f>
        <v/>
      </c>
      <c r="Z347" s="8">
        <f>Z308+Z314+Z319+Z324+Z329+Z333</f>
        <v/>
      </c>
      <c r="AA347" s="8">
        <f>AA308+AA314+AA319+AA324+AA329+AA333</f>
        <v/>
      </c>
      <c r="AB347" s="8">
        <f>AB308+AB314+AB319+AB324+AB329+AB333</f>
        <v/>
      </c>
      <c r="AC347" s="8">
        <f>AC308+AC314+AC319+AC324+AC329+AC333</f>
        <v/>
      </c>
      <c r="AD347" s="8">
        <f>AD308+AD314+AD319+AD324+AD329+AD333</f>
        <v/>
      </c>
      <c r="AE347" s="8">
        <f>AE308+AE314+AE319+AE324+AE329+AE333</f>
        <v/>
      </c>
      <c r="AF347" s="8">
        <f>AF308+AF314+AF319+AF324+AF329+AF333</f>
        <v/>
      </c>
      <c r="AG347" s="8">
        <f>AG308+AG314+AG319+AG324+AG329+AG333</f>
        <v/>
      </c>
      <c r="AH347" s="8">
        <f>AH308+AH314+AH319+AH324+AH329+AH333</f>
        <v/>
      </c>
      <c r="AI347" s="8">
        <f>AI308+AI314+AI319+AI324+AI329+AI333</f>
        <v/>
      </c>
      <c r="AJ347" s="8">
        <f>AJ308+AJ314+AJ319+AJ324+AJ329+AJ333</f>
        <v/>
      </c>
      <c r="AK347" s="8">
        <f>AK308+AK314+AK319+AK324+AK329+AK333</f>
        <v/>
      </c>
      <c r="AL347" s="8">
        <f>AL308+AL314+AL319+AL324+AL329+AL333</f>
        <v/>
      </c>
      <c r="AM347" s="8">
        <f>AM308+AM314+AM319+AM324+AM329+AM333</f>
        <v/>
      </c>
      <c r="AN347" s="8">
        <f>AN308+AN314+AN319+AN324+AN329+AN333</f>
        <v/>
      </c>
      <c r="AO347" s="8">
        <f>AO308+AO314+AO319+AO324+AO329+AO333</f>
        <v/>
      </c>
      <c r="AP347" s="8">
        <f>AP308+AP314+AP319+AP324+AP329+AP333</f>
        <v/>
      </c>
      <c r="AQ347" s="8">
        <f>AQ308+AQ314+AQ319+AQ324+AQ329+AQ333</f>
        <v/>
      </c>
      <c r="AR347" s="8">
        <f>AR308+AR314+AR319+AR324+AR329+AR333</f>
        <v/>
      </c>
      <c r="AS347" s="8">
        <f>AS308+AS314+AS319+AS324+AS329+AS333</f>
        <v/>
      </c>
      <c r="AT347" s="8">
        <f>AT308+AT314+AT319+AT324+AT329+AT333</f>
        <v/>
      </c>
      <c r="AU347" s="8">
        <f>AU308+AU314+AU319+AU324+AU329+AU333</f>
        <v/>
      </c>
      <c r="AV347" s="8">
        <f>AV308+AV314+AV319+AV324+AV329+AV333</f>
        <v/>
      </c>
      <c r="AW347" s="8">
        <f>AW308+AW314+AW319+AW324+AW329+AW333</f>
        <v/>
      </c>
      <c r="AX347" s="8">
        <f>AX308+AX314+AX319+AX324+AX329+AX333</f>
        <v/>
      </c>
      <c r="AY347" s="8">
        <f>AY308+AY314+AY319+AY324+AY329+AY333</f>
        <v/>
      </c>
      <c r="AZ347" s="8">
        <f>AZ308+AZ314+AZ319+AZ324+AZ329+AZ333</f>
        <v/>
      </c>
      <c r="BA347" s="8">
        <f>BA308+BA314+BA319+BA324+BA329+BA333</f>
        <v/>
      </c>
      <c r="BB347" s="8">
        <f>BB308+BB314+BB319+BB324+BB329+BB333</f>
        <v/>
      </c>
      <c r="BC347" s="8">
        <f>BC308+BC314+BC319+BC324+BC329+BC333</f>
        <v/>
      </c>
      <c r="BD347" s="8">
        <f>BD308+BD314+BD319+BD324+BD329+BD333</f>
        <v/>
      </c>
      <c r="BE347" s="8">
        <f>BE308+BE314+BE319+BE324+BE329+BE333</f>
        <v/>
      </c>
      <c r="BF347" s="8">
        <f>BF308+BF314+BF319+BF324+BF329+BF333</f>
        <v/>
      </c>
      <c r="BG347" s="8">
        <f>BG308+BG314+BG319+BG324+BG329+BG333</f>
        <v/>
      </c>
      <c r="BH347" s="8">
        <f>BH308+BH314+BH319+BH324+BH329+BH333</f>
        <v/>
      </c>
      <c r="BI347" s="8">
        <f>BI308+BI314+BI319+BI324+BI329+BI333</f>
        <v/>
      </c>
      <c r="BJ347" s="8">
        <f>BJ308+BJ314+BJ319+BJ324+BJ329+BJ333</f>
        <v/>
      </c>
    </row>
    <row r="348">
      <c r="A348" s="4" t="inlineStr">
        <is>
          <t>Gross subscription revenue: Growth tier</t>
        </is>
      </c>
      <c r="B348" s="17" t="inlineStr">
        <is>
          <t>R</t>
        </is>
      </c>
      <c r="C348" s="8">
        <f>C309+C310+C315+C316+C320+C321+C325+C326+C330+C331+C334+C335</f>
        <v/>
      </c>
      <c r="D348" s="8">
        <f>D309+D310+D315+D316+D320+D321+D325+D326+D330+D331+D334+D335</f>
        <v/>
      </c>
      <c r="E348" s="8">
        <f>E309+E310+E315+E316+E320+E321+E325+E326+E330+E331+E334+E335</f>
        <v/>
      </c>
      <c r="F348" s="8">
        <f>F309+F310+F315+F316+F320+F321+F325+F326+F330+F331+F334+F335</f>
        <v/>
      </c>
      <c r="G348" s="8">
        <f>G309+G310+G315+G316+G320+G321+G325+G326+G330+G331+G334+G335</f>
        <v/>
      </c>
      <c r="H348" s="8">
        <f>H309+H310+H315+H316+H320+H321+H325+H326+H330+H331+H334+H335</f>
        <v/>
      </c>
      <c r="I348" s="8">
        <f>I309+I310+I315+I316+I320+I321+I325+I326+I330+I331+I334+I335</f>
        <v/>
      </c>
      <c r="J348" s="8">
        <f>J309+J310+J315+J316+J320+J321+J325+J326+J330+J331+J334+J335</f>
        <v/>
      </c>
      <c r="K348" s="8">
        <f>K309+K310+K315+K316+K320+K321+K325+K326+K330+K331+K334+K335</f>
        <v/>
      </c>
      <c r="L348" s="8">
        <f>L309+L310+L315+L316+L320+L321+L325+L326+L330+L331+L334+L335</f>
        <v/>
      </c>
      <c r="M348" s="8">
        <f>M309+M310+M315+M316+M320+M321+M325+M326+M330+M331+M334+M335</f>
        <v/>
      </c>
      <c r="N348" s="8">
        <f>N309+N310+N315+N316+N320+N321+N325+N326+N330+N331+N334+N335</f>
        <v/>
      </c>
      <c r="O348" s="8">
        <f>O309+O310+O315+O316+O320+O321+O325+O326+O330+O331+O334+O335</f>
        <v/>
      </c>
      <c r="P348" s="8">
        <f>P309+P310+P315+P316+P320+P321+P325+P326+P330+P331+P334+P335</f>
        <v/>
      </c>
      <c r="Q348" s="8">
        <f>Q309+Q310+Q315+Q316+Q320+Q321+Q325+Q326+Q330+Q331+Q334+Q335</f>
        <v/>
      </c>
      <c r="R348" s="8">
        <f>R309+R310+R315+R316+R320+R321+R325+R326+R330+R331+R334+R335</f>
        <v/>
      </c>
      <c r="S348" s="8">
        <f>S309+S310+S315+S316+S320+S321+S325+S326+S330+S331+S334+S335</f>
        <v/>
      </c>
      <c r="T348" s="8">
        <f>T309+T310+T315+T316+T320+T321+T325+T326+T330+T331+T334+T335</f>
        <v/>
      </c>
      <c r="U348" s="8">
        <f>U309+U310+U315+U316+U320+U321+U325+U326+U330+U331+U334+U335</f>
        <v/>
      </c>
      <c r="V348" s="8">
        <f>V309+V310+V315+V316+V320+V321+V325+V326+V330+V331+V334+V335</f>
        <v/>
      </c>
      <c r="W348" s="8">
        <f>W309+W310+W315+W316+W320+W321+W325+W326+W330+W331+W334+W335</f>
        <v/>
      </c>
      <c r="X348" s="8">
        <f>X309+X310+X315+X316+X320+X321+X325+X326+X330+X331+X334+X335</f>
        <v/>
      </c>
      <c r="Y348" s="8">
        <f>Y309+Y310+Y315+Y316+Y320+Y321+Y325+Y326+Y330+Y331+Y334+Y335</f>
        <v/>
      </c>
      <c r="Z348" s="8">
        <f>Z309+Z310+Z315+Z316+Z320+Z321+Z325+Z326+Z330+Z331+Z334+Z335</f>
        <v/>
      </c>
      <c r="AA348" s="8">
        <f>AA309+AA310+AA315+AA316+AA320+AA321+AA325+AA326+AA330+AA331+AA334+AA335</f>
        <v/>
      </c>
      <c r="AB348" s="8">
        <f>AB309+AB310+AB315+AB316+AB320+AB321+AB325+AB326+AB330+AB331+AB334+AB335</f>
        <v/>
      </c>
      <c r="AC348" s="8">
        <f>AC309+AC310+AC315+AC316+AC320+AC321+AC325+AC326+AC330+AC331+AC334+AC335</f>
        <v/>
      </c>
      <c r="AD348" s="8">
        <f>AD309+AD310+AD315+AD316+AD320+AD321+AD325+AD326+AD330+AD331+AD334+AD335</f>
        <v/>
      </c>
      <c r="AE348" s="8">
        <f>AE309+AE310+AE315+AE316+AE320+AE321+AE325+AE326+AE330+AE331+AE334+AE335</f>
        <v/>
      </c>
      <c r="AF348" s="8">
        <f>AF309+AF310+AF315+AF316+AF320+AF321+AF325+AF326+AF330+AF331+AF334+AF335</f>
        <v/>
      </c>
      <c r="AG348" s="8">
        <f>AG309+AG310+AG315+AG316+AG320+AG321+AG325+AG326+AG330+AG331+AG334+AG335</f>
        <v/>
      </c>
      <c r="AH348" s="8">
        <f>AH309+AH310+AH315+AH316+AH320+AH321+AH325+AH326+AH330+AH331+AH334+AH335</f>
        <v/>
      </c>
      <c r="AI348" s="8">
        <f>AI309+AI310+AI315+AI316+AI320+AI321+AI325+AI326+AI330+AI331+AI334+AI335</f>
        <v/>
      </c>
      <c r="AJ348" s="8">
        <f>AJ309+AJ310+AJ315+AJ316+AJ320+AJ321+AJ325+AJ326+AJ330+AJ331+AJ334+AJ335</f>
        <v/>
      </c>
      <c r="AK348" s="8">
        <f>AK309+AK310+AK315+AK316+AK320+AK321+AK325+AK326+AK330+AK331+AK334+AK335</f>
        <v/>
      </c>
      <c r="AL348" s="8">
        <f>AL309+AL310+AL315+AL316+AL320+AL321+AL325+AL326+AL330+AL331+AL334+AL335</f>
        <v/>
      </c>
      <c r="AM348" s="8">
        <f>AM309+AM310+AM315+AM316+AM320+AM321+AM325+AM326+AM330+AM331+AM334+AM335</f>
        <v/>
      </c>
      <c r="AN348" s="8">
        <f>AN309+AN310+AN315+AN316+AN320+AN321+AN325+AN326+AN330+AN331+AN334+AN335</f>
        <v/>
      </c>
      <c r="AO348" s="8">
        <f>AO309+AO310+AO315+AO316+AO320+AO321+AO325+AO326+AO330+AO331+AO334+AO335</f>
        <v/>
      </c>
      <c r="AP348" s="8">
        <f>AP309+AP310+AP315+AP316+AP320+AP321+AP325+AP326+AP330+AP331+AP334+AP335</f>
        <v/>
      </c>
      <c r="AQ348" s="8">
        <f>AQ309+AQ310+AQ315+AQ316+AQ320+AQ321+AQ325+AQ326+AQ330+AQ331+AQ334+AQ335</f>
        <v/>
      </c>
      <c r="AR348" s="8">
        <f>AR309+AR310+AR315+AR316+AR320+AR321+AR325+AR326+AR330+AR331+AR334+AR335</f>
        <v/>
      </c>
      <c r="AS348" s="8">
        <f>AS309+AS310+AS315+AS316+AS320+AS321+AS325+AS326+AS330+AS331+AS334+AS335</f>
        <v/>
      </c>
      <c r="AT348" s="8">
        <f>AT309+AT310+AT315+AT316+AT320+AT321+AT325+AT326+AT330+AT331+AT334+AT335</f>
        <v/>
      </c>
      <c r="AU348" s="8">
        <f>AU309+AU310+AU315+AU316+AU320+AU321+AU325+AU326+AU330+AU331+AU334+AU335</f>
        <v/>
      </c>
      <c r="AV348" s="8">
        <f>AV309+AV310+AV315+AV316+AV320+AV321+AV325+AV326+AV330+AV331+AV334+AV335</f>
        <v/>
      </c>
      <c r="AW348" s="8">
        <f>AW309+AW310+AW315+AW316+AW320+AW321+AW325+AW326+AW330+AW331+AW334+AW335</f>
        <v/>
      </c>
      <c r="AX348" s="8">
        <f>AX309+AX310+AX315+AX316+AX320+AX321+AX325+AX326+AX330+AX331+AX334+AX335</f>
        <v/>
      </c>
      <c r="AY348" s="8">
        <f>AY309+AY310+AY315+AY316+AY320+AY321+AY325+AY326+AY330+AY331+AY334+AY335</f>
        <v/>
      </c>
      <c r="AZ348" s="8">
        <f>AZ309+AZ310+AZ315+AZ316+AZ320+AZ321+AZ325+AZ326+AZ330+AZ331+AZ334+AZ335</f>
        <v/>
      </c>
      <c r="BA348" s="8">
        <f>BA309+BA310+BA315+BA316+BA320+BA321+BA325+BA326+BA330+BA331+BA334+BA335</f>
        <v/>
      </c>
      <c r="BB348" s="8">
        <f>BB309+BB310+BB315+BB316+BB320+BB321+BB325+BB326+BB330+BB331+BB334+BB335</f>
        <v/>
      </c>
      <c r="BC348" s="8">
        <f>BC309+BC310+BC315+BC316+BC320+BC321+BC325+BC326+BC330+BC331+BC334+BC335</f>
        <v/>
      </c>
      <c r="BD348" s="8">
        <f>BD309+BD310+BD315+BD316+BD320+BD321+BD325+BD326+BD330+BD331+BD334+BD335</f>
        <v/>
      </c>
      <c r="BE348" s="8">
        <f>BE309+BE310+BE315+BE316+BE320+BE321+BE325+BE326+BE330+BE331+BE334+BE335</f>
        <v/>
      </c>
      <c r="BF348" s="8">
        <f>BF309+BF310+BF315+BF316+BF320+BF321+BF325+BF326+BF330+BF331+BF334+BF335</f>
        <v/>
      </c>
      <c r="BG348" s="8">
        <f>BG309+BG310+BG315+BG316+BG320+BG321+BG325+BG326+BG330+BG331+BG334+BG335</f>
        <v/>
      </c>
      <c r="BH348" s="8">
        <f>BH309+BH310+BH315+BH316+BH320+BH321+BH325+BH326+BH330+BH331+BH334+BH335</f>
        <v/>
      </c>
      <c r="BI348" s="8">
        <f>BI309+BI310+BI315+BI316+BI320+BI321+BI325+BI326+BI330+BI331+BI334+BI335</f>
        <v/>
      </c>
      <c r="BJ348" s="8">
        <f>BJ309+BJ310+BJ315+BJ316+BJ320+BJ321+BJ325+BJ326+BJ330+BJ331+BJ334+BJ335</f>
        <v/>
      </c>
    </row>
    <row r="349">
      <c r="A349" s="4" t="inlineStr">
        <is>
          <t>Gross subscription revenue: Scale tier</t>
        </is>
      </c>
      <c r="B349" s="17" t="inlineStr">
        <is>
          <t>R</t>
        </is>
      </c>
      <c r="C349" s="8">
        <f>C311+C317+C322+C327+C332+C336</f>
        <v/>
      </c>
      <c r="D349" s="8">
        <f>D311+D317+D322+D327+D332+D336</f>
        <v/>
      </c>
      <c r="E349" s="8">
        <f>E311+E317+E322+E327+E332+E336</f>
        <v/>
      </c>
      <c r="F349" s="8">
        <f>F311+F317+F322+F327+F332+F336</f>
        <v/>
      </c>
      <c r="G349" s="8">
        <f>G311+G317+G322+G327+G332+G336</f>
        <v/>
      </c>
      <c r="H349" s="8">
        <f>H311+H317+H322+H327+H332+H336</f>
        <v/>
      </c>
      <c r="I349" s="8">
        <f>I311+I317+I322+I327+I332+I336</f>
        <v/>
      </c>
      <c r="J349" s="8">
        <f>J311+J317+J322+J327+J332+J336</f>
        <v/>
      </c>
      <c r="K349" s="8">
        <f>K311+K317+K322+K327+K332+K336</f>
        <v/>
      </c>
      <c r="L349" s="8">
        <f>L311+L317+L322+L327+L332+L336</f>
        <v/>
      </c>
      <c r="M349" s="8">
        <f>M311+M317+M322+M327+M332+M336</f>
        <v/>
      </c>
      <c r="N349" s="8">
        <f>N311+N317+N322+N327+N332+N336</f>
        <v/>
      </c>
      <c r="O349" s="8">
        <f>O311+O317+O322+O327+O332+O336</f>
        <v/>
      </c>
      <c r="P349" s="8">
        <f>P311+P317+P322+P327+P332+P336</f>
        <v/>
      </c>
      <c r="Q349" s="8">
        <f>Q311+Q317+Q322+Q327+Q332+Q336</f>
        <v/>
      </c>
      <c r="R349" s="8">
        <f>R311+R317+R322+R327+R332+R336</f>
        <v/>
      </c>
      <c r="S349" s="8">
        <f>S311+S317+S322+S327+S332+S336</f>
        <v/>
      </c>
      <c r="T349" s="8">
        <f>T311+T317+T322+T327+T332+T336</f>
        <v/>
      </c>
      <c r="U349" s="8">
        <f>U311+U317+U322+U327+U332+U336</f>
        <v/>
      </c>
      <c r="V349" s="8">
        <f>V311+V317+V322+V327+V332+V336</f>
        <v/>
      </c>
      <c r="W349" s="8">
        <f>W311+W317+W322+W327+W332+W336</f>
        <v/>
      </c>
      <c r="X349" s="8">
        <f>X311+X317+X322+X327+X332+X336</f>
        <v/>
      </c>
      <c r="Y349" s="8">
        <f>Y311+Y317+Y322+Y327+Y332+Y336</f>
        <v/>
      </c>
      <c r="Z349" s="8">
        <f>Z311+Z317+Z322+Z327+Z332+Z336</f>
        <v/>
      </c>
      <c r="AA349" s="8">
        <f>AA311+AA317+AA322+AA327+AA332+AA336</f>
        <v/>
      </c>
      <c r="AB349" s="8">
        <f>AB311+AB317+AB322+AB327+AB332+AB336</f>
        <v/>
      </c>
      <c r="AC349" s="8">
        <f>AC311+AC317+AC322+AC327+AC332+AC336</f>
        <v/>
      </c>
      <c r="AD349" s="8">
        <f>AD311+AD317+AD322+AD327+AD332+AD336</f>
        <v/>
      </c>
      <c r="AE349" s="8">
        <f>AE311+AE317+AE322+AE327+AE332+AE336</f>
        <v/>
      </c>
      <c r="AF349" s="8">
        <f>AF311+AF317+AF322+AF327+AF332+AF336</f>
        <v/>
      </c>
      <c r="AG349" s="8">
        <f>AG311+AG317+AG322+AG327+AG332+AG336</f>
        <v/>
      </c>
      <c r="AH349" s="8">
        <f>AH311+AH317+AH322+AH327+AH332+AH336</f>
        <v/>
      </c>
      <c r="AI349" s="8">
        <f>AI311+AI317+AI322+AI327+AI332+AI336</f>
        <v/>
      </c>
      <c r="AJ349" s="8">
        <f>AJ311+AJ317+AJ322+AJ327+AJ332+AJ336</f>
        <v/>
      </c>
      <c r="AK349" s="8">
        <f>AK311+AK317+AK322+AK327+AK332+AK336</f>
        <v/>
      </c>
      <c r="AL349" s="8">
        <f>AL311+AL317+AL322+AL327+AL332+AL336</f>
        <v/>
      </c>
      <c r="AM349" s="8">
        <f>AM311+AM317+AM322+AM327+AM332+AM336</f>
        <v/>
      </c>
      <c r="AN349" s="8">
        <f>AN311+AN317+AN322+AN327+AN332+AN336</f>
        <v/>
      </c>
      <c r="AO349" s="8">
        <f>AO311+AO317+AO322+AO327+AO332+AO336</f>
        <v/>
      </c>
      <c r="AP349" s="8">
        <f>AP311+AP317+AP322+AP327+AP332+AP336</f>
        <v/>
      </c>
      <c r="AQ349" s="8">
        <f>AQ311+AQ317+AQ322+AQ327+AQ332+AQ336</f>
        <v/>
      </c>
      <c r="AR349" s="8">
        <f>AR311+AR317+AR322+AR327+AR332+AR336</f>
        <v/>
      </c>
      <c r="AS349" s="8">
        <f>AS311+AS317+AS322+AS327+AS332+AS336</f>
        <v/>
      </c>
      <c r="AT349" s="8">
        <f>AT311+AT317+AT322+AT327+AT332+AT336</f>
        <v/>
      </c>
      <c r="AU349" s="8">
        <f>AU311+AU317+AU322+AU327+AU332+AU336</f>
        <v/>
      </c>
      <c r="AV349" s="8">
        <f>AV311+AV317+AV322+AV327+AV332+AV336</f>
        <v/>
      </c>
      <c r="AW349" s="8">
        <f>AW311+AW317+AW322+AW327+AW332+AW336</f>
        <v/>
      </c>
      <c r="AX349" s="8">
        <f>AX311+AX317+AX322+AX327+AX332+AX336</f>
        <v/>
      </c>
      <c r="AY349" s="8">
        <f>AY311+AY317+AY322+AY327+AY332+AY336</f>
        <v/>
      </c>
      <c r="AZ349" s="8">
        <f>AZ311+AZ317+AZ322+AZ327+AZ332+AZ336</f>
        <v/>
      </c>
      <c r="BA349" s="8">
        <f>BA311+BA317+BA322+BA327+BA332+BA336</f>
        <v/>
      </c>
      <c r="BB349" s="8">
        <f>BB311+BB317+BB322+BB327+BB332+BB336</f>
        <v/>
      </c>
      <c r="BC349" s="8">
        <f>BC311+BC317+BC322+BC327+BC332+BC336</f>
        <v/>
      </c>
      <c r="BD349" s="8">
        <f>BD311+BD317+BD322+BD327+BD332+BD336</f>
        <v/>
      </c>
      <c r="BE349" s="8">
        <f>BE311+BE317+BE322+BE327+BE332+BE336</f>
        <v/>
      </c>
      <c r="BF349" s="8">
        <f>BF311+BF317+BF322+BF327+BF332+BF336</f>
        <v/>
      </c>
      <c r="BG349" s="8">
        <f>BG311+BG317+BG322+BG327+BG332+BG336</f>
        <v/>
      </c>
      <c r="BH349" s="8">
        <f>BH311+BH317+BH322+BH327+BH332+BH336</f>
        <v/>
      </c>
      <c r="BI349" s="8">
        <f>BI311+BI317+BI322+BI327+BI332+BI336</f>
        <v/>
      </c>
      <c r="BJ349" s="8">
        <f>BJ311+BJ317+BJ322+BJ327+BJ332+BJ336</f>
        <v/>
      </c>
    </row>
    <row r="350">
      <c r="A350" s="4" t="inlineStr">
        <is>
          <t>Gross subscription revenue: Agency tier</t>
        </is>
      </c>
      <c r="B350" s="17" t="inlineStr">
        <is>
          <t>R</t>
        </is>
      </c>
      <c r="C350" s="8">
        <f>C312+C318+C323+C328</f>
        <v/>
      </c>
      <c r="D350" s="8">
        <f>D312+D318+D323+D328</f>
        <v/>
      </c>
      <c r="E350" s="8">
        <f>E312+E318+E323+E328</f>
        <v/>
      </c>
      <c r="F350" s="8">
        <f>F312+F318+F323+F328</f>
        <v/>
      </c>
      <c r="G350" s="8">
        <f>G312+G318+G323+G328</f>
        <v/>
      </c>
      <c r="H350" s="8">
        <f>H312+H318+H323+H328</f>
        <v/>
      </c>
      <c r="I350" s="8">
        <f>I312+I318+I323+I328</f>
        <v/>
      </c>
      <c r="J350" s="8">
        <f>J312+J318+J323+J328</f>
        <v/>
      </c>
      <c r="K350" s="8">
        <f>K312+K318+K323+K328</f>
        <v/>
      </c>
      <c r="L350" s="8">
        <f>L312+L318+L323+L328</f>
        <v/>
      </c>
      <c r="M350" s="8">
        <f>M312+M318+M323+M328</f>
        <v/>
      </c>
      <c r="N350" s="8">
        <f>N312+N318+N323+N328</f>
        <v/>
      </c>
      <c r="O350" s="8">
        <f>O312+O318+O323+O328</f>
        <v/>
      </c>
      <c r="P350" s="8">
        <f>P312+P318+P323+P328</f>
        <v/>
      </c>
      <c r="Q350" s="8">
        <f>Q312+Q318+Q323+Q328</f>
        <v/>
      </c>
      <c r="R350" s="8">
        <f>R312+R318+R323+R328</f>
        <v/>
      </c>
      <c r="S350" s="8">
        <f>S312+S318+S323+S328</f>
        <v/>
      </c>
      <c r="T350" s="8">
        <f>T312+T318+T323+T328</f>
        <v/>
      </c>
      <c r="U350" s="8">
        <f>U312+U318+U323+U328</f>
        <v/>
      </c>
      <c r="V350" s="8">
        <f>V312+V318+V323+V328</f>
        <v/>
      </c>
      <c r="W350" s="8">
        <f>W312+W318+W323+W328</f>
        <v/>
      </c>
      <c r="X350" s="8">
        <f>X312+X318+X323+X328</f>
        <v/>
      </c>
      <c r="Y350" s="8">
        <f>Y312+Y318+Y323+Y328</f>
        <v/>
      </c>
      <c r="Z350" s="8">
        <f>Z312+Z318+Z323+Z328</f>
        <v/>
      </c>
      <c r="AA350" s="8">
        <f>AA312+AA318+AA323+AA328</f>
        <v/>
      </c>
      <c r="AB350" s="8">
        <f>AB312+AB318+AB323+AB328</f>
        <v/>
      </c>
      <c r="AC350" s="8">
        <f>AC312+AC318+AC323+AC328</f>
        <v/>
      </c>
      <c r="AD350" s="8">
        <f>AD312+AD318+AD323+AD328</f>
        <v/>
      </c>
      <c r="AE350" s="8">
        <f>AE312+AE318+AE323+AE328</f>
        <v/>
      </c>
      <c r="AF350" s="8">
        <f>AF312+AF318+AF323+AF328</f>
        <v/>
      </c>
      <c r="AG350" s="8">
        <f>AG312+AG318+AG323+AG328</f>
        <v/>
      </c>
      <c r="AH350" s="8">
        <f>AH312+AH318+AH323+AH328</f>
        <v/>
      </c>
      <c r="AI350" s="8">
        <f>AI312+AI318+AI323+AI328</f>
        <v/>
      </c>
      <c r="AJ350" s="8">
        <f>AJ312+AJ318+AJ323+AJ328</f>
        <v/>
      </c>
      <c r="AK350" s="8">
        <f>AK312+AK318+AK323+AK328</f>
        <v/>
      </c>
      <c r="AL350" s="8">
        <f>AL312+AL318+AL323+AL328</f>
        <v/>
      </c>
      <c r="AM350" s="8">
        <f>AM312+AM318+AM323+AM328</f>
        <v/>
      </c>
      <c r="AN350" s="8">
        <f>AN312+AN318+AN323+AN328</f>
        <v/>
      </c>
      <c r="AO350" s="8">
        <f>AO312+AO318+AO323+AO328</f>
        <v/>
      </c>
      <c r="AP350" s="8">
        <f>AP312+AP318+AP323+AP328</f>
        <v/>
      </c>
      <c r="AQ350" s="8">
        <f>AQ312+AQ318+AQ323+AQ328</f>
        <v/>
      </c>
      <c r="AR350" s="8">
        <f>AR312+AR318+AR323+AR328</f>
        <v/>
      </c>
      <c r="AS350" s="8">
        <f>AS312+AS318+AS323+AS328</f>
        <v/>
      </c>
      <c r="AT350" s="8">
        <f>AT312+AT318+AT323+AT328</f>
        <v/>
      </c>
      <c r="AU350" s="8">
        <f>AU312+AU318+AU323+AU328</f>
        <v/>
      </c>
      <c r="AV350" s="8">
        <f>AV312+AV318+AV323+AV328</f>
        <v/>
      </c>
      <c r="AW350" s="8">
        <f>AW312+AW318+AW323+AW328</f>
        <v/>
      </c>
      <c r="AX350" s="8">
        <f>AX312+AX318+AX323+AX328</f>
        <v/>
      </c>
      <c r="AY350" s="8">
        <f>AY312+AY318+AY323+AY328</f>
        <v/>
      </c>
      <c r="AZ350" s="8">
        <f>AZ312+AZ318+AZ323+AZ328</f>
        <v/>
      </c>
      <c r="BA350" s="8">
        <f>BA312+BA318+BA323+BA328</f>
        <v/>
      </c>
      <c r="BB350" s="8">
        <f>BB312+BB318+BB323+BB328</f>
        <v/>
      </c>
      <c r="BC350" s="8">
        <f>BC312+BC318+BC323+BC328</f>
        <v/>
      </c>
      <c r="BD350" s="8">
        <f>BD312+BD318+BD323+BD328</f>
        <v/>
      </c>
      <c r="BE350" s="8">
        <f>BE312+BE318+BE323+BE328</f>
        <v/>
      </c>
      <c r="BF350" s="8">
        <f>BF312+BF318+BF323+BF328</f>
        <v/>
      </c>
      <c r="BG350" s="8">
        <f>BG312+BG318+BG323+BG328</f>
        <v/>
      </c>
      <c r="BH350" s="8">
        <f>BH312+BH318+BH323+BH328</f>
        <v/>
      </c>
      <c r="BI350" s="8">
        <f>BI312+BI318+BI323+BI328</f>
        <v/>
      </c>
      <c r="BJ350" s="8">
        <f>BJ312+BJ318+BJ323+BJ328</f>
        <v/>
      </c>
    </row>
    <row r="351">
      <c r="A351" s="4" t="inlineStr">
        <is>
          <t>Gross subscription revenue: Enterprise tier</t>
        </is>
      </c>
      <c r="B351" s="17" t="inlineStr">
        <is>
          <t>R</t>
        </is>
      </c>
      <c r="C351" s="8">
        <f>C313</f>
        <v/>
      </c>
      <c r="D351" s="8">
        <f>D313</f>
        <v/>
      </c>
      <c r="E351" s="8">
        <f>E313</f>
        <v/>
      </c>
      <c r="F351" s="8">
        <f>F313</f>
        <v/>
      </c>
      <c r="G351" s="8">
        <f>G313</f>
        <v/>
      </c>
      <c r="H351" s="8">
        <f>H313</f>
        <v/>
      </c>
      <c r="I351" s="8">
        <f>I313</f>
        <v/>
      </c>
      <c r="J351" s="8">
        <f>J313</f>
        <v/>
      </c>
      <c r="K351" s="8">
        <f>K313</f>
        <v/>
      </c>
      <c r="L351" s="8">
        <f>L313</f>
        <v/>
      </c>
      <c r="M351" s="8">
        <f>M313</f>
        <v/>
      </c>
      <c r="N351" s="8">
        <f>N313</f>
        <v/>
      </c>
      <c r="O351" s="8">
        <f>O313</f>
        <v/>
      </c>
      <c r="P351" s="8">
        <f>P313</f>
        <v/>
      </c>
      <c r="Q351" s="8">
        <f>Q313</f>
        <v/>
      </c>
      <c r="R351" s="8">
        <f>R313</f>
        <v/>
      </c>
      <c r="S351" s="8">
        <f>S313</f>
        <v/>
      </c>
      <c r="T351" s="8">
        <f>T313</f>
        <v/>
      </c>
      <c r="U351" s="8">
        <f>U313</f>
        <v/>
      </c>
      <c r="V351" s="8">
        <f>V313</f>
        <v/>
      </c>
      <c r="W351" s="8">
        <f>W313</f>
        <v/>
      </c>
      <c r="X351" s="8">
        <f>X313</f>
        <v/>
      </c>
      <c r="Y351" s="8">
        <f>Y313</f>
        <v/>
      </c>
      <c r="Z351" s="8">
        <f>Z313</f>
        <v/>
      </c>
      <c r="AA351" s="8">
        <f>AA313</f>
        <v/>
      </c>
      <c r="AB351" s="8">
        <f>AB313</f>
        <v/>
      </c>
      <c r="AC351" s="8">
        <f>AC313</f>
        <v/>
      </c>
      <c r="AD351" s="8">
        <f>AD313</f>
        <v/>
      </c>
      <c r="AE351" s="8">
        <f>AE313</f>
        <v/>
      </c>
      <c r="AF351" s="8">
        <f>AF313</f>
        <v/>
      </c>
      <c r="AG351" s="8">
        <f>AG313</f>
        <v/>
      </c>
      <c r="AH351" s="8">
        <f>AH313</f>
        <v/>
      </c>
      <c r="AI351" s="8">
        <f>AI313</f>
        <v/>
      </c>
      <c r="AJ351" s="8">
        <f>AJ313</f>
        <v/>
      </c>
      <c r="AK351" s="8">
        <f>AK313</f>
        <v/>
      </c>
      <c r="AL351" s="8">
        <f>AL313</f>
        <v/>
      </c>
      <c r="AM351" s="8">
        <f>AM313</f>
        <v/>
      </c>
      <c r="AN351" s="8">
        <f>AN313</f>
        <v/>
      </c>
      <c r="AO351" s="8">
        <f>AO313</f>
        <v/>
      </c>
      <c r="AP351" s="8">
        <f>AP313</f>
        <v/>
      </c>
      <c r="AQ351" s="8">
        <f>AQ313</f>
        <v/>
      </c>
      <c r="AR351" s="8">
        <f>AR313</f>
        <v/>
      </c>
      <c r="AS351" s="8">
        <f>AS313</f>
        <v/>
      </c>
      <c r="AT351" s="8">
        <f>AT313</f>
        <v/>
      </c>
      <c r="AU351" s="8">
        <f>AU313</f>
        <v/>
      </c>
      <c r="AV351" s="8">
        <f>AV313</f>
        <v/>
      </c>
      <c r="AW351" s="8">
        <f>AW313</f>
        <v/>
      </c>
      <c r="AX351" s="8">
        <f>AX313</f>
        <v/>
      </c>
      <c r="AY351" s="8">
        <f>AY313</f>
        <v/>
      </c>
      <c r="AZ351" s="8">
        <f>AZ313</f>
        <v/>
      </c>
      <c r="BA351" s="8">
        <f>BA313</f>
        <v/>
      </c>
      <c r="BB351" s="8">
        <f>BB313</f>
        <v/>
      </c>
      <c r="BC351" s="8">
        <f>BC313</f>
        <v/>
      </c>
      <c r="BD351" s="8">
        <f>BD313</f>
        <v/>
      </c>
      <c r="BE351" s="8">
        <f>BE313</f>
        <v/>
      </c>
      <c r="BF351" s="8">
        <f>BF313</f>
        <v/>
      </c>
      <c r="BG351" s="8">
        <f>BG313</f>
        <v/>
      </c>
      <c r="BH351" s="8">
        <f>BH313</f>
        <v/>
      </c>
      <c r="BI351" s="8">
        <f>BI313</f>
        <v/>
      </c>
      <c r="BJ351" s="8">
        <f>BJ313</f>
        <v/>
      </c>
    </row>
    <row r="352">
      <c r="A352" s="3" t="inlineStr">
        <is>
          <t>Gross subscription revenue (before launch discounts)</t>
        </is>
      </c>
      <c r="B352" s="17" t="inlineStr">
        <is>
          <t>R</t>
        </is>
      </c>
      <c r="C352" s="42">
        <f>C337+C338+C339+C340+C341+C342</f>
        <v/>
      </c>
      <c r="D352" s="42">
        <f>D337+D338+D339+D340+D341+D342</f>
        <v/>
      </c>
      <c r="E352" s="42">
        <f>E337+E338+E339+E340+E341+E342</f>
        <v/>
      </c>
      <c r="F352" s="42">
        <f>F337+F338+F339+F340+F341+F342</f>
        <v/>
      </c>
      <c r="G352" s="42">
        <f>G337+G338+G339+G340+G341+G342</f>
        <v/>
      </c>
      <c r="H352" s="42">
        <f>H337+H338+H339+H340+H341+H342</f>
        <v/>
      </c>
      <c r="I352" s="42">
        <f>I337+I338+I339+I340+I341+I342</f>
        <v/>
      </c>
      <c r="J352" s="42">
        <f>J337+J338+J339+J340+J341+J342</f>
        <v/>
      </c>
      <c r="K352" s="42">
        <f>K337+K338+K339+K340+K341+K342</f>
        <v/>
      </c>
      <c r="L352" s="42">
        <f>L337+L338+L339+L340+L341+L342</f>
        <v/>
      </c>
      <c r="M352" s="42">
        <f>M337+M338+M339+M340+M341+M342</f>
        <v/>
      </c>
      <c r="N352" s="42">
        <f>N337+N338+N339+N340+N341+N342</f>
        <v/>
      </c>
      <c r="O352" s="42">
        <f>O337+O338+O339+O340+O341+O342</f>
        <v/>
      </c>
      <c r="P352" s="42">
        <f>P337+P338+P339+P340+P341+P342</f>
        <v/>
      </c>
      <c r="Q352" s="42">
        <f>Q337+Q338+Q339+Q340+Q341+Q342</f>
        <v/>
      </c>
      <c r="R352" s="42">
        <f>R337+R338+R339+R340+R341+R342</f>
        <v/>
      </c>
      <c r="S352" s="42">
        <f>S337+S338+S339+S340+S341+S342</f>
        <v/>
      </c>
      <c r="T352" s="42">
        <f>T337+T338+T339+T340+T341+T342</f>
        <v/>
      </c>
      <c r="U352" s="42">
        <f>U337+U338+U339+U340+U341+U342</f>
        <v/>
      </c>
      <c r="V352" s="42">
        <f>V337+V338+V339+V340+V341+V342</f>
        <v/>
      </c>
      <c r="W352" s="42">
        <f>W337+W338+W339+W340+W341+W342</f>
        <v/>
      </c>
      <c r="X352" s="42">
        <f>X337+X338+X339+X340+X341+X342</f>
        <v/>
      </c>
      <c r="Y352" s="42">
        <f>Y337+Y338+Y339+Y340+Y341+Y342</f>
        <v/>
      </c>
      <c r="Z352" s="42">
        <f>Z337+Z338+Z339+Z340+Z341+Z342</f>
        <v/>
      </c>
      <c r="AA352" s="42">
        <f>AA337+AA338+AA339+AA340+AA341+AA342</f>
        <v/>
      </c>
      <c r="AB352" s="42">
        <f>AB337+AB338+AB339+AB340+AB341+AB342</f>
        <v/>
      </c>
      <c r="AC352" s="42">
        <f>AC337+AC338+AC339+AC340+AC341+AC342</f>
        <v/>
      </c>
      <c r="AD352" s="42">
        <f>AD337+AD338+AD339+AD340+AD341+AD342</f>
        <v/>
      </c>
      <c r="AE352" s="42">
        <f>AE337+AE338+AE339+AE340+AE341+AE342</f>
        <v/>
      </c>
      <c r="AF352" s="42">
        <f>AF337+AF338+AF339+AF340+AF341+AF342</f>
        <v/>
      </c>
      <c r="AG352" s="42">
        <f>AG337+AG338+AG339+AG340+AG341+AG342</f>
        <v/>
      </c>
      <c r="AH352" s="42">
        <f>AH337+AH338+AH339+AH340+AH341+AH342</f>
        <v/>
      </c>
      <c r="AI352" s="42">
        <f>AI337+AI338+AI339+AI340+AI341+AI342</f>
        <v/>
      </c>
      <c r="AJ352" s="42">
        <f>AJ337+AJ338+AJ339+AJ340+AJ341+AJ342</f>
        <v/>
      </c>
      <c r="AK352" s="42">
        <f>AK337+AK338+AK339+AK340+AK341+AK342</f>
        <v/>
      </c>
      <c r="AL352" s="42">
        <f>AL337+AL338+AL339+AL340+AL341+AL342</f>
        <v/>
      </c>
      <c r="AM352" s="42">
        <f>AM337+AM338+AM339+AM340+AM341+AM342</f>
        <v/>
      </c>
      <c r="AN352" s="42">
        <f>AN337+AN338+AN339+AN340+AN341+AN342</f>
        <v/>
      </c>
      <c r="AO352" s="42">
        <f>AO337+AO338+AO339+AO340+AO341+AO342</f>
        <v/>
      </c>
      <c r="AP352" s="42">
        <f>AP337+AP338+AP339+AP340+AP341+AP342</f>
        <v/>
      </c>
      <c r="AQ352" s="42">
        <f>AQ337+AQ338+AQ339+AQ340+AQ341+AQ342</f>
        <v/>
      </c>
      <c r="AR352" s="42">
        <f>AR337+AR338+AR339+AR340+AR341+AR342</f>
        <v/>
      </c>
      <c r="AS352" s="42">
        <f>AS337+AS338+AS339+AS340+AS341+AS342</f>
        <v/>
      </c>
      <c r="AT352" s="42">
        <f>AT337+AT338+AT339+AT340+AT341+AT342</f>
        <v/>
      </c>
      <c r="AU352" s="42">
        <f>AU337+AU338+AU339+AU340+AU341+AU342</f>
        <v/>
      </c>
      <c r="AV352" s="42">
        <f>AV337+AV338+AV339+AV340+AV341+AV342</f>
        <v/>
      </c>
      <c r="AW352" s="42">
        <f>AW337+AW338+AW339+AW340+AW341+AW342</f>
        <v/>
      </c>
      <c r="AX352" s="42">
        <f>AX337+AX338+AX339+AX340+AX341+AX342</f>
        <v/>
      </c>
      <c r="AY352" s="42">
        <f>AY337+AY338+AY339+AY340+AY341+AY342</f>
        <v/>
      </c>
      <c r="AZ352" s="42">
        <f>AZ337+AZ338+AZ339+AZ340+AZ341+AZ342</f>
        <v/>
      </c>
      <c r="BA352" s="42">
        <f>BA337+BA338+BA339+BA340+BA341+BA342</f>
        <v/>
      </c>
      <c r="BB352" s="42">
        <f>BB337+BB338+BB339+BB340+BB341+BB342</f>
        <v/>
      </c>
      <c r="BC352" s="42">
        <f>BC337+BC338+BC339+BC340+BC341+BC342</f>
        <v/>
      </c>
      <c r="BD352" s="42">
        <f>BD337+BD338+BD339+BD340+BD341+BD342</f>
        <v/>
      </c>
      <c r="BE352" s="42">
        <f>BE337+BE338+BE339+BE340+BE341+BE342</f>
        <v/>
      </c>
      <c r="BF352" s="42">
        <f>BF337+BF338+BF339+BF340+BF341+BF342</f>
        <v/>
      </c>
      <c r="BG352" s="42">
        <f>BG337+BG338+BG339+BG340+BG341+BG342</f>
        <v/>
      </c>
      <c r="BH352" s="42">
        <f>BH337+BH338+BH339+BH340+BH341+BH342</f>
        <v/>
      </c>
      <c r="BI352" s="42">
        <f>BI337+BI338+BI339+BI340+BI341+BI342</f>
        <v/>
      </c>
      <c r="BJ352" s="42">
        <f>BJ337+BJ338+BJ339+BJ340+BJ341+BJ342</f>
        <v/>
      </c>
    </row>
    <row r="353"/>
    <row r="354">
      <c r="A354" s="19" t="inlineStr">
        <is>
          <t>Launch discounts: Founding Member on Solo &amp; SME sign-ups (not Agency; no stacking with partner wholesale). Monthly: % off first bills; annual: fee recognised over 12 + bonus months. Pilot terms</t>
        </is>
      </c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  <c r="U354" s="19" t="n"/>
      <c r="V354" s="19" t="n"/>
      <c r="W354" s="19" t="n"/>
      <c r="X354" s="19" t="n"/>
      <c r="Y354" s="19" t="n"/>
      <c r="Z354" s="19" t="n"/>
      <c r="AA354" s="19" t="n"/>
      <c r="AB354" s="19" t="n"/>
      <c r="AC354" s="19" t="n"/>
      <c r="AD354" s="19" t="n"/>
      <c r="AE354" s="19" t="n"/>
      <c r="AF354" s="19" t="n"/>
      <c r="AG354" s="19" t="n"/>
      <c r="AH354" s="19" t="n"/>
      <c r="AI354" s="19" t="n"/>
      <c r="AJ354" s="19" t="n"/>
      <c r="AK354" s="19" t="n"/>
      <c r="AL354" s="19" t="n"/>
      <c r="AM354" s="19" t="n"/>
      <c r="AN354" s="19" t="n"/>
      <c r="AO354" s="19" t="n"/>
      <c r="AP354" s="19" t="n"/>
      <c r="AQ354" s="19" t="n"/>
      <c r="AR354" s="19" t="n"/>
      <c r="AS354" s="19" t="n"/>
      <c r="AT354" s="19" t="n"/>
      <c r="AU354" s="19" t="n"/>
      <c r="AV354" s="19" t="n"/>
      <c r="AW354" s="19" t="n"/>
      <c r="AX354" s="19" t="n"/>
      <c r="AY354" s="19" t="n"/>
      <c r="AZ354" s="19" t="n"/>
      <c r="BA354" s="19" t="n"/>
      <c r="BB354" s="19" t="n"/>
      <c r="BC354" s="19" t="n"/>
      <c r="BD354" s="19" t="n"/>
      <c r="BE354" s="19" t="n"/>
      <c r="BF354" s="19" t="n"/>
      <c r="BG354" s="19" t="n"/>
      <c r="BH354" s="19" t="n"/>
      <c r="BI354" s="19" t="n"/>
      <c r="BJ354" s="19" t="n"/>
    </row>
    <row r="355">
      <c r="A355" s="4" t="inlineStr">
        <is>
          <t>List MRR of new Solo &amp; SME sign-ups inside the launch window: South Africa</t>
        </is>
      </c>
      <c r="B355" s="17" t="inlineStr">
        <is>
          <t>R</t>
        </is>
      </c>
      <c r="C355" s="8">
        <f>C30*C307*(C113*((1-Assumptions!$B$125)*Pricing!$B$31+Assumptions!$B$125*Pricing!$B$32)+C114*((1-Assumptions!$B$126)*Pricing!$B$32+Assumptions!$B$126*Pricing!$B$33))</f>
        <v/>
      </c>
      <c r="D355" s="8">
        <f>D30*D307*(D113*((1-Assumptions!$B$125)*Pricing!$B$31+Assumptions!$B$125*Pricing!$B$32)+D114*((1-Assumptions!$B$126)*Pricing!$B$32+Assumptions!$B$126*Pricing!$B$33))</f>
        <v/>
      </c>
      <c r="E355" s="8">
        <f>E30*E307*(E113*((1-Assumptions!$B$125)*Pricing!$B$31+Assumptions!$B$125*Pricing!$B$32)+E114*((1-Assumptions!$B$126)*Pricing!$B$32+Assumptions!$B$126*Pricing!$B$33))</f>
        <v/>
      </c>
      <c r="F355" s="8">
        <f>F30*F307*(F113*((1-Assumptions!$B$125)*Pricing!$B$31+Assumptions!$B$125*Pricing!$B$32)+F114*((1-Assumptions!$B$126)*Pricing!$B$32+Assumptions!$B$126*Pricing!$B$33))</f>
        <v/>
      </c>
      <c r="G355" s="8">
        <f>G30*G307*(G113*((1-Assumptions!$B$125)*Pricing!$B$31+Assumptions!$B$125*Pricing!$B$32)+G114*((1-Assumptions!$B$126)*Pricing!$B$32+Assumptions!$B$126*Pricing!$B$33))</f>
        <v/>
      </c>
      <c r="H355" s="8">
        <f>H30*H307*(H113*((1-Assumptions!$B$125)*Pricing!$B$31+Assumptions!$B$125*Pricing!$B$32)+H114*((1-Assumptions!$B$126)*Pricing!$B$32+Assumptions!$B$126*Pricing!$B$33))</f>
        <v/>
      </c>
      <c r="I355" s="8">
        <f>I30*I307*(I113*((1-Assumptions!$B$125)*Pricing!$B$31+Assumptions!$B$125*Pricing!$B$32)+I114*((1-Assumptions!$B$126)*Pricing!$B$32+Assumptions!$B$126*Pricing!$B$33))</f>
        <v/>
      </c>
      <c r="J355" s="8">
        <f>J30*J307*(J113*((1-Assumptions!$B$125)*Pricing!$B$31+Assumptions!$B$125*Pricing!$B$32)+J114*((1-Assumptions!$B$126)*Pricing!$B$32+Assumptions!$B$126*Pricing!$B$33))</f>
        <v/>
      </c>
      <c r="K355" s="8">
        <f>K30*K307*(K113*((1-Assumptions!$B$125)*Pricing!$B$31+Assumptions!$B$125*Pricing!$B$32)+K114*((1-Assumptions!$B$126)*Pricing!$B$32+Assumptions!$B$126*Pricing!$B$33))</f>
        <v/>
      </c>
      <c r="L355" s="8">
        <f>L30*L307*(L113*((1-Assumptions!$B$125)*Pricing!$B$31+Assumptions!$B$125*Pricing!$B$32)+L114*((1-Assumptions!$B$126)*Pricing!$B$32+Assumptions!$B$126*Pricing!$B$33))</f>
        <v/>
      </c>
      <c r="M355" s="8">
        <f>M30*M307*(M113*((1-Assumptions!$B$125)*Pricing!$B$31+Assumptions!$B$125*Pricing!$B$32)+M114*((1-Assumptions!$B$126)*Pricing!$B$32+Assumptions!$B$126*Pricing!$B$33))</f>
        <v/>
      </c>
      <c r="N355" s="8">
        <f>N30*N307*(N113*((1-Assumptions!$B$125)*Pricing!$B$31+Assumptions!$B$125*Pricing!$B$32)+N114*((1-Assumptions!$B$126)*Pricing!$B$32+Assumptions!$B$126*Pricing!$B$33))</f>
        <v/>
      </c>
      <c r="O355" s="8">
        <f>O30*O307*(O113*((1-Assumptions!$B$125)*Pricing!$B$31+Assumptions!$B$125*Pricing!$B$32)+O114*((1-Assumptions!$B$126)*Pricing!$B$32+Assumptions!$B$126*Pricing!$B$33))</f>
        <v/>
      </c>
      <c r="P355" s="8">
        <f>P30*P307*(P113*((1-Assumptions!$B$125)*Pricing!$B$31+Assumptions!$B$125*Pricing!$B$32)+P114*((1-Assumptions!$B$126)*Pricing!$B$32+Assumptions!$B$126*Pricing!$B$33))</f>
        <v/>
      </c>
      <c r="Q355" s="8">
        <f>Q30*Q307*(Q113*((1-Assumptions!$B$125)*Pricing!$B$31+Assumptions!$B$125*Pricing!$B$32)+Q114*((1-Assumptions!$B$126)*Pricing!$B$32+Assumptions!$B$126*Pricing!$B$33))</f>
        <v/>
      </c>
      <c r="R355" s="8">
        <f>R30*R307*(R113*((1-Assumptions!$B$125)*Pricing!$B$31+Assumptions!$B$125*Pricing!$B$32)+R114*((1-Assumptions!$B$126)*Pricing!$B$32+Assumptions!$B$126*Pricing!$B$33))</f>
        <v/>
      </c>
      <c r="S355" s="8">
        <f>S30*S307*(S113*((1-Assumptions!$B$125)*Pricing!$B$31+Assumptions!$B$125*Pricing!$B$32)+S114*((1-Assumptions!$B$126)*Pricing!$B$32+Assumptions!$B$126*Pricing!$B$33))</f>
        <v/>
      </c>
      <c r="T355" s="8">
        <f>T30*T307*(T113*((1-Assumptions!$B$125)*Pricing!$B$31+Assumptions!$B$125*Pricing!$B$32)+T114*((1-Assumptions!$B$126)*Pricing!$B$32+Assumptions!$B$126*Pricing!$B$33))</f>
        <v/>
      </c>
      <c r="U355" s="8">
        <f>U30*U307*(U113*((1-Assumptions!$B$125)*Pricing!$B$31+Assumptions!$B$125*Pricing!$B$32)+U114*((1-Assumptions!$B$126)*Pricing!$B$32+Assumptions!$B$126*Pricing!$B$33))</f>
        <v/>
      </c>
      <c r="V355" s="8">
        <f>V30*V307*(V113*((1-Assumptions!$B$125)*Pricing!$B$31+Assumptions!$B$125*Pricing!$B$32)+V114*((1-Assumptions!$B$126)*Pricing!$B$32+Assumptions!$B$126*Pricing!$B$33))</f>
        <v/>
      </c>
      <c r="W355" s="8">
        <f>W30*W307*(W113*((1-Assumptions!$B$125)*Pricing!$B$31+Assumptions!$B$125*Pricing!$B$32)+W114*((1-Assumptions!$B$126)*Pricing!$B$32+Assumptions!$B$126*Pricing!$B$33))</f>
        <v/>
      </c>
      <c r="X355" s="8">
        <f>X30*X307*(X113*((1-Assumptions!$B$125)*Pricing!$B$31+Assumptions!$B$125*Pricing!$B$32)+X114*((1-Assumptions!$B$126)*Pricing!$B$32+Assumptions!$B$126*Pricing!$B$33))</f>
        <v/>
      </c>
      <c r="Y355" s="8">
        <f>Y30*Y307*(Y113*((1-Assumptions!$B$125)*Pricing!$B$31+Assumptions!$B$125*Pricing!$B$32)+Y114*((1-Assumptions!$B$126)*Pricing!$B$32+Assumptions!$B$126*Pricing!$B$33))</f>
        <v/>
      </c>
      <c r="Z355" s="8">
        <f>Z30*Z307*(Z113*((1-Assumptions!$B$125)*Pricing!$B$31+Assumptions!$B$125*Pricing!$B$32)+Z114*((1-Assumptions!$B$126)*Pricing!$B$32+Assumptions!$B$126*Pricing!$B$33))</f>
        <v/>
      </c>
      <c r="AA355" s="8">
        <f>AA30*AA307*(AA113*((1-Assumptions!$B$125)*Pricing!$B$31+Assumptions!$B$125*Pricing!$B$32)+AA114*((1-Assumptions!$B$126)*Pricing!$B$32+Assumptions!$B$126*Pricing!$B$33))</f>
        <v/>
      </c>
      <c r="AB355" s="8">
        <f>AB30*AB307*(AB113*((1-Assumptions!$B$125)*Pricing!$B$31+Assumptions!$B$125*Pricing!$B$32)+AB114*((1-Assumptions!$B$126)*Pricing!$B$32+Assumptions!$B$126*Pricing!$B$33))</f>
        <v/>
      </c>
      <c r="AC355" s="8">
        <f>AC30*AC307*(AC113*((1-Assumptions!$B$125)*Pricing!$B$31+Assumptions!$B$125*Pricing!$B$32)+AC114*((1-Assumptions!$B$126)*Pricing!$B$32+Assumptions!$B$126*Pricing!$B$33))</f>
        <v/>
      </c>
      <c r="AD355" s="8">
        <f>AD30*AD307*(AD113*((1-Assumptions!$B$125)*Pricing!$B$31+Assumptions!$B$125*Pricing!$B$32)+AD114*((1-Assumptions!$B$126)*Pricing!$B$32+Assumptions!$B$126*Pricing!$B$33))</f>
        <v/>
      </c>
      <c r="AE355" s="8">
        <f>AE30*AE307*(AE113*((1-Assumptions!$B$125)*Pricing!$B$31+Assumptions!$B$125*Pricing!$B$32)+AE114*((1-Assumptions!$B$126)*Pricing!$B$32+Assumptions!$B$126*Pricing!$B$33))</f>
        <v/>
      </c>
      <c r="AF355" s="8">
        <f>AF30*AF307*(AF113*((1-Assumptions!$B$125)*Pricing!$B$31+Assumptions!$B$125*Pricing!$B$32)+AF114*((1-Assumptions!$B$126)*Pricing!$B$32+Assumptions!$B$126*Pricing!$B$33))</f>
        <v/>
      </c>
      <c r="AG355" s="8">
        <f>AG30*AG307*(AG113*((1-Assumptions!$B$125)*Pricing!$B$31+Assumptions!$B$125*Pricing!$B$32)+AG114*((1-Assumptions!$B$126)*Pricing!$B$32+Assumptions!$B$126*Pricing!$B$33))</f>
        <v/>
      </c>
      <c r="AH355" s="8">
        <f>AH30*AH307*(AH113*((1-Assumptions!$B$125)*Pricing!$B$31+Assumptions!$B$125*Pricing!$B$32)+AH114*((1-Assumptions!$B$126)*Pricing!$B$32+Assumptions!$B$126*Pricing!$B$33))</f>
        <v/>
      </c>
      <c r="AI355" s="8">
        <f>AI30*AI307*(AI113*((1-Assumptions!$B$125)*Pricing!$B$31+Assumptions!$B$125*Pricing!$B$32)+AI114*((1-Assumptions!$B$126)*Pricing!$B$32+Assumptions!$B$126*Pricing!$B$33))</f>
        <v/>
      </c>
      <c r="AJ355" s="8">
        <f>AJ30*AJ307*(AJ113*((1-Assumptions!$B$125)*Pricing!$B$31+Assumptions!$B$125*Pricing!$B$32)+AJ114*((1-Assumptions!$B$126)*Pricing!$B$32+Assumptions!$B$126*Pricing!$B$33))</f>
        <v/>
      </c>
      <c r="AK355" s="8">
        <f>AK30*AK307*(AK113*((1-Assumptions!$B$125)*Pricing!$B$31+Assumptions!$B$125*Pricing!$B$32)+AK114*((1-Assumptions!$B$126)*Pricing!$B$32+Assumptions!$B$126*Pricing!$B$33))</f>
        <v/>
      </c>
      <c r="AL355" s="8">
        <f>AL30*AL307*(AL113*((1-Assumptions!$B$125)*Pricing!$B$31+Assumptions!$B$125*Pricing!$B$32)+AL114*((1-Assumptions!$B$126)*Pricing!$B$32+Assumptions!$B$126*Pricing!$B$33))</f>
        <v/>
      </c>
      <c r="AM355" s="8">
        <f>AM30*AM307*(AM113*((1-Assumptions!$B$125)*Pricing!$B$31+Assumptions!$B$125*Pricing!$B$32)+AM114*((1-Assumptions!$B$126)*Pricing!$B$32+Assumptions!$B$126*Pricing!$B$33))</f>
        <v/>
      </c>
      <c r="AN355" s="8">
        <f>AN30*AN307*(AN113*((1-Assumptions!$B$125)*Pricing!$B$31+Assumptions!$B$125*Pricing!$B$32)+AN114*((1-Assumptions!$B$126)*Pricing!$B$32+Assumptions!$B$126*Pricing!$B$33))</f>
        <v/>
      </c>
      <c r="AO355" s="8">
        <f>AO30*AO307*(AO113*((1-Assumptions!$B$125)*Pricing!$B$31+Assumptions!$B$125*Pricing!$B$32)+AO114*((1-Assumptions!$B$126)*Pricing!$B$32+Assumptions!$B$126*Pricing!$B$33))</f>
        <v/>
      </c>
      <c r="AP355" s="8">
        <f>AP30*AP307*(AP113*((1-Assumptions!$B$125)*Pricing!$B$31+Assumptions!$B$125*Pricing!$B$32)+AP114*((1-Assumptions!$B$126)*Pricing!$B$32+Assumptions!$B$126*Pricing!$B$33))</f>
        <v/>
      </c>
      <c r="AQ355" s="8">
        <f>AQ30*AQ307*(AQ113*((1-Assumptions!$B$125)*Pricing!$B$31+Assumptions!$B$125*Pricing!$B$32)+AQ114*((1-Assumptions!$B$126)*Pricing!$B$32+Assumptions!$B$126*Pricing!$B$33))</f>
        <v/>
      </c>
      <c r="AR355" s="8">
        <f>AR30*AR307*(AR113*((1-Assumptions!$B$125)*Pricing!$B$31+Assumptions!$B$125*Pricing!$B$32)+AR114*((1-Assumptions!$B$126)*Pricing!$B$32+Assumptions!$B$126*Pricing!$B$33))</f>
        <v/>
      </c>
      <c r="AS355" s="8">
        <f>AS30*AS307*(AS113*((1-Assumptions!$B$125)*Pricing!$B$31+Assumptions!$B$125*Pricing!$B$32)+AS114*((1-Assumptions!$B$126)*Pricing!$B$32+Assumptions!$B$126*Pricing!$B$33))</f>
        <v/>
      </c>
      <c r="AT355" s="8">
        <f>AT30*AT307*(AT113*((1-Assumptions!$B$125)*Pricing!$B$31+Assumptions!$B$125*Pricing!$B$32)+AT114*((1-Assumptions!$B$126)*Pricing!$B$32+Assumptions!$B$126*Pricing!$B$33))</f>
        <v/>
      </c>
      <c r="AU355" s="8">
        <f>AU30*AU307*(AU113*((1-Assumptions!$B$125)*Pricing!$B$31+Assumptions!$B$125*Pricing!$B$32)+AU114*((1-Assumptions!$B$126)*Pricing!$B$32+Assumptions!$B$126*Pricing!$B$33))</f>
        <v/>
      </c>
      <c r="AV355" s="8">
        <f>AV30*AV307*(AV113*((1-Assumptions!$B$125)*Pricing!$B$31+Assumptions!$B$125*Pricing!$B$32)+AV114*((1-Assumptions!$B$126)*Pricing!$B$32+Assumptions!$B$126*Pricing!$B$33))</f>
        <v/>
      </c>
      <c r="AW355" s="8">
        <f>AW30*AW307*(AW113*((1-Assumptions!$B$125)*Pricing!$B$31+Assumptions!$B$125*Pricing!$B$32)+AW114*((1-Assumptions!$B$126)*Pricing!$B$32+Assumptions!$B$126*Pricing!$B$33))</f>
        <v/>
      </c>
      <c r="AX355" s="8">
        <f>AX30*AX307*(AX113*((1-Assumptions!$B$125)*Pricing!$B$31+Assumptions!$B$125*Pricing!$B$32)+AX114*((1-Assumptions!$B$126)*Pricing!$B$32+Assumptions!$B$126*Pricing!$B$33))</f>
        <v/>
      </c>
      <c r="AY355" s="8">
        <f>AY30*AY307*(AY113*((1-Assumptions!$B$125)*Pricing!$B$31+Assumptions!$B$125*Pricing!$B$32)+AY114*((1-Assumptions!$B$126)*Pricing!$B$32+Assumptions!$B$126*Pricing!$B$33))</f>
        <v/>
      </c>
      <c r="AZ355" s="8">
        <f>AZ30*AZ307*(AZ113*((1-Assumptions!$B$125)*Pricing!$B$31+Assumptions!$B$125*Pricing!$B$32)+AZ114*((1-Assumptions!$B$126)*Pricing!$B$32+Assumptions!$B$126*Pricing!$B$33))</f>
        <v/>
      </c>
      <c r="BA355" s="8">
        <f>BA30*BA307*(BA113*((1-Assumptions!$B$125)*Pricing!$B$31+Assumptions!$B$125*Pricing!$B$32)+BA114*((1-Assumptions!$B$126)*Pricing!$B$32+Assumptions!$B$126*Pricing!$B$33))</f>
        <v/>
      </c>
      <c r="BB355" s="8">
        <f>BB30*BB307*(BB113*((1-Assumptions!$B$125)*Pricing!$B$31+Assumptions!$B$125*Pricing!$B$32)+BB114*((1-Assumptions!$B$126)*Pricing!$B$32+Assumptions!$B$126*Pricing!$B$33))</f>
        <v/>
      </c>
      <c r="BC355" s="8">
        <f>BC30*BC307*(BC113*((1-Assumptions!$B$125)*Pricing!$B$31+Assumptions!$B$125*Pricing!$B$32)+BC114*((1-Assumptions!$B$126)*Pricing!$B$32+Assumptions!$B$126*Pricing!$B$33))</f>
        <v/>
      </c>
      <c r="BD355" s="8">
        <f>BD30*BD307*(BD113*((1-Assumptions!$B$125)*Pricing!$B$31+Assumptions!$B$125*Pricing!$B$32)+BD114*((1-Assumptions!$B$126)*Pricing!$B$32+Assumptions!$B$126*Pricing!$B$33))</f>
        <v/>
      </c>
      <c r="BE355" s="8">
        <f>BE30*BE307*(BE113*((1-Assumptions!$B$125)*Pricing!$B$31+Assumptions!$B$125*Pricing!$B$32)+BE114*((1-Assumptions!$B$126)*Pricing!$B$32+Assumptions!$B$126*Pricing!$B$33))</f>
        <v/>
      </c>
      <c r="BF355" s="8">
        <f>BF30*BF307*(BF113*((1-Assumptions!$B$125)*Pricing!$B$31+Assumptions!$B$125*Pricing!$B$32)+BF114*((1-Assumptions!$B$126)*Pricing!$B$32+Assumptions!$B$126*Pricing!$B$33))</f>
        <v/>
      </c>
      <c r="BG355" s="8">
        <f>BG30*BG307*(BG113*((1-Assumptions!$B$125)*Pricing!$B$31+Assumptions!$B$125*Pricing!$B$32)+BG114*((1-Assumptions!$B$126)*Pricing!$B$32+Assumptions!$B$126*Pricing!$B$33))</f>
        <v/>
      </c>
      <c r="BH355" s="8">
        <f>BH30*BH307*(BH113*((1-Assumptions!$B$125)*Pricing!$B$31+Assumptions!$B$125*Pricing!$B$32)+BH114*((1-Assumptions!$B$126)*Pricing!$B$32+Assumptions!$B$126*Pricing!$B$33))</f>
        <v/>
      </c>
      <c r="BI355" s="8">
        <f>BI30*BI307*(BI113*((1-Assumptions!$B$125)*Pricing!$B$31+Assumptions!$B$125*Pricing!$B$32)+BI114*((1-Assumptions!$B$126)*Pricing!$B$32+Assumptions!$B$126*Pricing!$B$33))</f>
        <v/>
      </c>
      <c r="BJ355" s="8">
        <f>BJ30*BJ307*(BJ113*((1-Assumptions!$B$125)*Pricing!$B$31+Assumptions!$B$125*Pricing!$B$32)+BJ114*((1-Assumptions!$B$126)*Pricing!$B$32+Assumptions!$B$126*Pricing!$B$33))</f>
        <v/>
      </c>
    </row>
    <row r="356">
      <c r="A356" s="4" t="inlineStr">
        <is>
          <t>Founding Member discount, monthly plans: South Africa</t>
        </is>
      </c>
      <c r="B356" s="17" t="inlineStr">
        <is>
          <t>R</t>
        </is>
      </c>
      <c r="C356" s="8">
        <f>(1-Pricing!$B$13)*Assumptions!$B$58*(IF(Assumptions!$B$59&gt;=1,C355,0)+IF(Assumptions!$B$59&gt;=2,0*(1-Assumptions!$B$40),0))</f>
        <v/>
      </c>
      <c r="D356" s="8">
        <f>(1-Pricing!$B$13)*Assumptions!$B$58*(IF(Assumptions!$B$59&gt;=1,D355,0)+IF(Assumptions!$B$59&gt;=2,C355*(1-Assumptions!$B$40),0))</f>
        <v/>
      </c>
      <c r="E356" s="8">
        <f>(1-Pricing!$B$13)*Assumptions!$B$58*(IF(Assumptions!$B$59&gt;=1,E355,0)+IF(Assumptions!$B$59&gt;=2,D355*(1-Assumptions!$B$40),0))</f>
        <v/>
      </c>
      <c r="F356" s="8">
        <f>(1-Pricing!$B$13)*Assumptions!$B$58*(IF(Assumptions!$B$59&gt;=1,F355,0)+IF(Assumptions!$B$59&gt;=2,E355*(1-Assumptions!$B$40),0))</f>
        <v/>
      </c>
      <c r="G356" s="8">
        <f>(1-Pricing!$B$13)*Assumptions!$B$58*(IF(Assumptions!$B$59&gt;=1,G355,0)+IF(Assumptions!$B$59&gt;=2,F355*(1-Assumptions!$B$40),0))</f>
        <v/>
      </c>
      <c r="H356" s="8">
        <f>(1-Pricing!$B$13)*Assumptions!$B$58*(IF(Assumptions!$B$59&gt;=1,H355,0)+IF(Assumptions!$B$59&gt;=2,G355*(1-Assumptions!$B$40),0))</f>
        <v/>
      </c>
      <c r="I356" s="8">
        <f>(1-Pricing!$B$13)*Assumptions!$B$58*(IF(Assumptions!$B$59&gt;=1,I355,0)+IF(Assumptions!$B$59&gt;=2,H355*(1-Assumptions!$B$40),0))</f>
        <v/>
      </c>
      <c r="J356" s="8">
        <f>(1-Pricing!$B$13)*Assumptions!$B$58*(IF(Assumptions!$B$59&gt;=1,J355,0)+IF(Assumptions!$B$59&gt;=2,I355*(1-Assumptions!$B$40),0))</f>
        <v/>
      </c>
      <c r="K356" s="8">
        <f>(1-Pricing!$B$13)*Assumptions!$B$58*(IF(Assumptions!$B$59&gt;=1,K355,0)+IF(Assumptions!$B$59&gt;=2,J355*(1-Assumptions!$B$40),0))</f>
        <v/>
      </c>
      <c r="L356" s="8">
        <f>(1-Pricing!$B$13)*Assumptions!$B$58*(IF(Assumptions!$B$59&gt;=1,L355,0)+IF(Assumptions!$B$59&gt;=2,K355*(1-Assumptions!$B$40),0))</f>
        <v/>
      </c>
      <c r="M356" s="8">
        <f>(1-Pricing!$B$13)*Assumptions!$B$58*(IF(Assumptions!$B$59&gt;=1,M355,0)+IF(Assumptions!$B$59&gt;=2,L355*(1-Assumptions!$B$40),0))</f>
        <v/>
      </c>
      <c r="N356" s="8">
        <f>(1-Pricing!$B$13)*Assumptions!$B$58*(IF(Assumptions!$B$59&gt;=1,N355,0)+IF(Assumptions!$B$59&gt;=2,M355*(1-Assumptions!$B$40),0))</f>
        <v/>
      </c>
      <c r="O356" s="8">
        <f>(1-Pricing!$B$13)*Assumptions!$B$58*(IF(Assumptions!$B$59&gt;=1,O355,0)+IF(Assumptions!$B$59&gt;=2,N355*(1-Assumptions!$B$40),0))</f>
        <v/>
      </c>
      <c r="P356" s="8">
        <f>(1-Pricing!$B$13)*Assumptions!$B$58*(IF(Assumptions!$B$59&gt;=1,P355,0)+IF(Assumptions!$B$59&gt;=2,O355*(1-Assumptions!$B$40),0))</f>
        <v/>
      </c>
      <c r="Q356" s="8">
        <f>(1-Pricing!$B$13)*Assumptions!$B$58*(IF(Assumptions!$B$59&gt;=1,Q355,0)+IF(Assumptions!$B$59&gt;=2,P355*(1-Assumptions!$B$40),0))</f>
        <v/>
      </c>
      <c r="R356" s="8">
        <f>(1-Pricing!$B$13)*Assumptions!$B$58*(IF(Assumptions!$B$59&gt;=1,R355,0)+IF(Assumptions!$B$59&gt;=2,Q355*(1-Assumptions!$B$40),0))</f>
        <v/>
      </c>
      <c r="S356" s="8">
        <f>(1-Pricing!$B$13)*Assumptions!$B$58*(IF(Assumptions!$B$59&gt;=1,S355,0)+IF(Assumptions!$B$59&gt;=2,R355*(1-Assumptions!$B$40),0))</f>
        <v/>
      </c>
      <c r="T356" s="8">
        <f>(1-Pricing!$B$13)*Assumptions!$B$58*(IF(Assumptions!$B$59&gt;=1,T355,0)+IF(Assumptions!$B$59&gt;=2,S355*(1-Assumptions!$B$40),0))</f>
        <v/>
      </c>
      <c r="U356" s="8">
        <f>(1-Pricing!$B$13)*Assumptions!$B$58*(IF(Assumptions!$B$59&gt;=1,U355,0)+IF(Assumptions!$B$59&gt;=2,T355*(1-Assumptions!$B$40),0))</f>
        <v/>
      </c>
      <c r="V356" s="8">
        <f>(1-Pricing!$B$13)*Assumptions!$B$58*(IF(Assumptions!$B$59&gt;=1,V355,0)+IF(Assumptions!$B$59&gt;=2,U355*(1-Assumptions!$B$40),0))</f>
        <v/>
      </c>
      <c r="W356" s="8">
        <f>(1-Pricing!$B$13)*Assumptions!$B$58*(IF(Assumptions!$B$59&gt;=1,W355,0)+IF(Assumptions!$B$59&gt;=2,V355*(1-Assumptions!$B$40),0))</f>
        <v/>
      </c>
      <c r="X356" s="8">
        <f>(1-Pricing!$B$13)*Assumptions!$B$58*(IF(Assumptions!$B$59&gt;=1,X355,0)+IF(Assumptions!$B$59&gt;=2,W355*(1-Assumptions!$B$40),0))</f>
        <v/>
      </c>
      <c r="Y356" s="8">
        <f>(1-Pricing!$B$13)*Assumptions!$B$58*(IF(Assumptions!$B$59&gt;=1,Y355,0)+IF(Assumptions!$B$59&gt;=2,X355*(1-Assumptions!$B$40),0))</f>
        <v/>
      </c>
      <c r="Z356" s="8">
        <f>(1-Pricing!$B$13)*Assumptions!$B$58*(IF(Assumptions!$B$59&gt;=1,Z355,0)+IF(Assumptions!$B$59&gt;=2,Y355*(1-Assumptions!$B$40),0))</f>
        <v/>
      </c>
      <c r="AA356" s="8">
        <f>(1-Pricing!$B$13)*Assumptions!$B$58*(IF(Assumptions!$B$59&gt;=1,AA355,0)+IF(Assumptions!$B$59&gt;=2,Z355*(1-Assumptions!$B$40),0))</f>
        <v/>
      </c>
      <c r="AB356" s="8">
        <f>(1-Pricing!$B$13)*Assumptions!$B$58*(IF(Assumptions!$B$59&gt;=1,AB355,0)+IF(Assumptions!$B$59&gt;=2,AA355*(1-Assumptions!$B$40),0))</f>
        <v/>
      </c>
      <c r="AC356" s="8">
        <f>(1-Pricing!$B$13)*Assumptions!$B$58*(IF(Assumptions!$B$59&gt;=1,AC355,0)+IF(Assumptions!$B$59&gt;=2,AB355*(1-Assumptions!$B$40),0))</f>
        <v/>
      </c>
      <c r="AD356" s="8">
        <f>(1-Pricing!$B$13)*Assumptions!$B$58*(IF(Assumptions!$B$59&gt;=1,AD355,0)+IF(Assumptions!$B$59&gt;=2,AC355*(1-Assumptions!$B$40),0))</f>
        <v/>
      </c>
      <c r="AE356" s="8">
        <f>(1-Pricing!$B$13)*Assumptions!$B$58*(IF(Assumptions!$B$59&gt;=1,AE355,0)+IF(Assumptions!$B$59&gt;=2,AD355*(1-Assumptions!$B$40),0))</f>
        <v/>
      </c>
      <c r="AF356" s="8">
        <f>(1-Pricing!$B$13)*Assumptions!$B$58*(IF(Assumptions!$B$59&gt;=1,AF355,0)+IF(Assumptions!$B$59&gt;=2,AE355*(1-Assumptions!$B$40),0))</f>
        <v/>
      </c>
      <c r="AG356" s="8">
        <f>(1-Pricing!$B$13)*Assumptions!$B$58*(IF(Assumptions!$B$59&gt;=1,AG355,0)+IF(Assumptions!$B$59&gt;=2,AF355*(1-Assumptions!$B$40),0))</f>
        <v/>
      </c>
      <c r="AH356" s="8">
        <f>(1-Pricing!$B$13)*Assumptions!$B$58*(IF(Assumptions!$B$59&gt;=1,AH355,0)+IF(Assumptions!$B$59&gt;=2,AG355*(1-Assumptions!$B$40),0))</f>
        <v/>
      </c>
      <c r="AI356" s="8">
        <f>(1-Pricing!$B$13)*Assumptions!$B$58*(IF(Assumptions!$B$59&gt;=1,AI355,0)+IF(Assumptions!$B$59&gt;=2,AH355*(1-Assumptions!$B$40),0))</f>
        <v/>
      </c>
      <c r="AJ356" s="8">
        <f>(1-Pricing!$B$13)*Assumptions!$B$58*(IF(Assumptions!$B$59&gt;=1,AJ355,0)+IF(Assumptions!$B$59&gt;=2,AI355*(1-Assumptions!$B$40),0))</f>
        <v/>
      </c>
      <c r="AK356" s="8">
        <f>(1-Pricing!$B$13)*Assumptions!$B$58*(IF(Assumptions!$B$59&gt;=1,AK355,0)+IF(Assumptions!$B$59&gt;=2,AJ355*(1-Assumptions!$B$40),0))</f>
        <v/>
      </c>
      <c r="AL356" s="8">
        <f>(1-Pricing!$B$13)*Assumptions!$B$58*(IF(Assumptions!$B$59&gt;=1,AL355,0)+IF(Assumptions!$B$59&gt;=2,AK355*(1-Assumptions!$B$40),0))</f>
        <v/>
      </c>
      <c r="AM356" s="8">
        <f>(1-Pricing!$B$13)*Assumptions!$B$58*(IF(Assumptions!$B$59&gt;=1,AM355,0)+IF(Assumptions!$B$59&gt;=2,AL355*(1-Assumptions!$B$40),0))</f>
        <v/>
      </c>
      <c r="AN356" s="8">
        <f>(1-Pricing!$B$13)*Assumptions!$B$58*(IF(Assumptions!$B$59&gt;=1,AN355,0)+IF(Assumptions!$B$59&gt;=2,AM355*(1-Assumptions!$B$40),0))</f>
        <v/>
      </c>
      <c r="AO356" s="8">
        <f>(1-Pricing!$B$13)*Assumptions!$B$58*(IF(Assumptions!$B$59&gt;=1,AO355,0)+IF(Assumptions!$B$59&gt;=2,AN355*(1-Assumptions!$B$40),0))</f>
        <v/>
      </c>
      <c r="AP356" s="8">
        <f>(1-Pricing!$B$13)*Assumptions!$B$58*(IF(Assumptions!$B$59&gt;=1,AP355,0)+IF(Assumptions!$B$59&gt;=2,AO355*(1-Assumptions!$B$40),0))</f>
        <v/>
      </c>
      <c r="AQ356" s="8">
        <f>(1-Pricing!$B$13)*Assumptions!$B$58*(IF(Assumptions!$B$59&gt;=1,AQ355,0)+IF(Assumptions!$B$59&gt;=2,AP355*(1-Assumptions!$B$40),0))</f>
        <v/>
      </c>
      <c r="AR356" s="8">
        <f>(1-Pricing!$B$13)*Assumptions!$B$58*(IF(Assumptions!$B$59&gt;=1,AR355,0)+IF(Assumptions!$B$59&gt;=2,AQ355*(1-Assumptions!$B$40),0))</f>
        <v/>
      </c>
      <c r="AS356" s="8">
        <f>(1-Pricing!$B$13)*Assumptions!$B$58*(IF(Assumptions!$B$59&gt;=1,AS355,0)+IF(Assumptions!$B$59&gt;=2,AR355*(1-Assumptions!$B$40),0))</f>
        <v/>
      </c>
      <c r="AT356" s="8">
        <f>(1-Pricing!$B$13)*Assumptions!$B$58*(IF(Assumptions!$B$59&gt;=1,AT355,0)+IF(Assumptions!$B$59&gt;=2,AS355*(1-Assumptions!$B$40),0))</f>
        <v/>
      </c>
      <c r="AU356" s="8">
        <f>(1-Pricing!$B$13)*Assumptions!$B$58*(IF(Assumptions!$B$59&gt;=1,AU355,0)+IF(Assumptions!$B$59&gt;=2,AT355*(1-Assumptions!$B$40),0))</f>
        <v/>
      </c>
      <c r="AV356" s="8">
        <f>(1-Pricing!$B$13)*Assumptions!$B$58*(IF(Assumptions!$B$59&gt;=1,AV355,0)+IF(Assumptions!$B$59&gt;=2,AU355*(1-Assumptions!$B$40),0))</f>
        <v/>
      </c>
      <c r="AW356" s="8">
        <f>(1-Pricing!$B$13)*Assumptions!$B$58*(IF(Assumptions!$B$59&gt;=1,AW355,0)+IF(Assumptions!$B$59&gt;=2,AV355*(1-Assumptions!$B$40),0))</f>
        <v/>
      </c>
      <c r="AX356" s="8">
        <f>(1-Pricing!$B$13)*Assumptions!$B$58*(IF(Assumptions!$B$59&gt;=1,AX355,0)+IF(Assumptions!$B$59&gt;=2,AW355*(1-Assumptions!$B$40),0))</f>
        <v/>
      </c>
      <c r="AY356" s="8">
        <f>(1-Pricing!$B$13)*Assumptions!$B$58*(IF(Assumptions!$B$59&gt;=1,AY355,0)+IF(Assumptions!$B$59&gt;=2,AX355*(1-Assumptions!$B$40),0))</f>
        <v/>
      </c>
      <c r="AZ356" s="8">
        <f>(1-Pricing!$B$13)*Assumptions!$B$58*(IF(Assumptions!$B$59&gt;=1,AZ355,0)+IF(Assumptions!$B$59&gt;=2,AY355*(1-Assumptions!$B$40),0))</f>
        <v/>
      </c>
      <c r="BA356" s="8">
        <f>(1-Pricing!$B$13)*Assumptions!$B$58*(IF(Assumptions!$B$59&gt;=1,BA355,0)+IF(Assumptions!$B$59&gt;=2,AZ355*(1-Assumptions!$B$40),0))</f>
        <v/>
      </c>
      <c r="BB356" s="8">
        <f>(1-Pricing!$B$13)*Assumptions!$B$58*(IF(Assumptions!$B$59&gt;=1,BB355,0)+IF(Assumptions!$B$59&gt;=2,BA355*(1-Assumptions!$B$40),0))</f>
        <v/>
      </c>
      <c r="BC356" s="8">
        <f>(1-Pricing!$B$13)*Assumptions!$B$58*(IF(Assumptions!$B$59&gt;=1,BC355,0)+IF(Assumptions!$B$59&gt;=2,BB355*(1-Assumptions!$B$40),0))</f>
        <v/>
      </c>
      <c r="BD356" s="8">
        <f>(1-Pricing!$B$13)*Assumptions!$B$58*(IF(Assumptions!$B$59&gt;=1,BD355,0)+IF(Assumptions!$B$59&gt;=2,BC355*(1-Assumptions!$B$40),0))</f>
        <v/>
      </c>
      <c r="BE356" s="8">
        <f>(1-Pricing!$B$13)*Assumptions!$B$58*(IF(Assumptions!$B$59&gt;=1,BE355,0)+IF(Assumptions!$B$59&gt;=2,BD355*(1-Assumptions!$B$40),0))</f>
        <v/>
      </c>
      <c r="BF356" s="8">
        <f>(1-Pricing!$B$13)*Assumptions!$B$58*(IF(Assumptions!$B$59&gt;=1,BF355,0)+IF(Assumptions!$B$59&gt;=2,BE355*(1-Assumptions!$B$40),0))</f>
        <v/>
      </c>
      <c r="BG356" s="8">
        <f>(1-Pricing!$B$13)*Assumptions!$B$58*(IF(Assumptions!$B$59&gt;=1,BG355,0)+IF(Assumptions!$B$59&gt;=2,BF355*(1-Assumptions!$B$40),0))</f>
        <v/>
      </c>
      <c r="BH356" s="8">
        <f>(1-Pricing!$B$13)*Assumptions!$B$58*(IF(Assumptions!$B$59&gt;=1,BH355,0)+IF(Assumptions!$B$59&gt;=2,BG355*(1-Assumptions!$B$40),0))</f>
        <v/>
      </c>
      <c r="BI356" s="8">
        <f>(1-Pricing!$B$13)*Assumptions!$B$58*(IF(Assumptions!$B$59&gt;=1,BI355,0)+IF(Assumptions!$B$59&gt;=2,BH355*(1-Assumptions!$B$40),0))</f>
        <v/>
      </c>
      <c r="BJ356" s="8">
        <f>(1-Pricing!$B$13)*Assumptions!$B$58*(IF(Assumptions!$B$59&gt;=1,BJ355,0)+IF(Assumptions!$B$59&gt;=2,BI355*(1-Assumptions!$B$40),0))</f>
        <v/>
      </c>
    </row>
    <row r="357">
      <c r="A357" s="4" t="inlineStr">
        <is>
          <t>Annual-plan Founding Members inside their 12 + bonus month term (list MRR): South Africa</t>
        </is>
      </c>
      <c r="B357" s="17" t="inlineStr">
        <is>
          <t>R</t>
        </is>
      </c>
      <c r="C357" s="8">
        <f>C355*Pricing!$B$13</f>
        <v/>
      </c>
      <c r="D357" s="8">
        <f>C357+(D355-IF(Assumptions!$B$60=2,0,IF(Assumptions!$B$60=1,0,0)))*Pricing!$B$13</f>
        <v/>
      </c>
      <c r="E357" s="8">
        <f>D357+(E355-IF(Assumptions!$B$60=2,0,IF(Assumptions!$B$60=1,0,0)))*Pricing!$B$13</f>
        <v/>
      </c>
      <c r="F357" s="8">
        <f>E357+(F355-IF(Assumptions!$B$60=2,0,IF(Assumptions!$B$60=1,0,0)))*Pricing!$B$13</f>
        <v/>
      </c>
      <c r="G357" s="8">
        <f>F357+(G355-IF(Assumptions!$B$60=2,0,IF(Assumptions!$B$60=1,0,0)))*Pricing!$B$13</f>
        <v/>
      </c>
      <c r="H357" s="8">
        <f>G357+(H355-IF(Assumptions!$B$60=2,0,IF(Assumptions!$B$60=1,0,0)))*Pricing!$B$13</f>
        <v/>
      </c>
      <c r="I357" s="8">
        <f>H357+(I355-IF(Assumptions!$B$60=2,0,IF(Assumptions!$B$60=1,0,0)))*Pricing!$B$13</f>
        <v/>
      </c>
      <c r="J357" s="8">
        <f>I357+(J355-IF(Assumptions!$B$60=2,0,IF(Assumptions!$B$60=1,0,0)))*Pricing!$B$13</f>
        <v/>
      </c>
      <c r="K357" s="8">
        <f>J357+(K355-IF(Assumptions!$B$60=2,0,IF(Assumptions!$B$60=1,0,0)))*Pricing!$B$13</f>
        <v/>
      </c>
      <c r="L357" s="8">
        <f>K357+(L355-IF(Assumptions!$B$60=2,0,IF(Assumptions!$B$60=1,0,0)))*Pricing!$B$13</f>
        <v/>
      </c>
      <c r="M357" s="8">
        <f>L357+(M355-IF(Assumptions!$B$60=2,0,IF(Assumptions!$B$60=1,0,0)))*Pricing!$B$13</f>
        <v/>
      </c>
      <c r="N357" s="8">
        <f>M357+(N355-IF(Assumptions!$B$60=2,0,IF(Assumptions!$B$60=1,0,0)))*Pricing!$B$13</f>
        <v/>
      </c>
      <c r="O357" s="8">
        <f>N357+(O355-IF(Assumptions!$B$60=2,0,IF(Assumptions!$B$60=1,0,C355)))*Pricing!$B$13</f>
        <v/>
      </c>
      <c r="P357" s="8">
        <f>O357+(P355-IF(Assumptions!$B$60=2,0,IF(Assumptions!$B$60=1,C355,D355)))*Pricing!$B$13</f>
        <v/>
      </c>
      <c r="Q357" s="8">
        <f>P357+(Q355-IF(Assumptions!$B$60=2,C355,IF(Assumptions!$B$60=1,D355,E355)))*Pricing!$B$13</f>
        <v/>
      </c>
      <c r="R357" s="8">
        <f>Q357+(R355-IF(Assumptions!$B$60=2,D355,IF(Assumptions!$B$60=1,E355,F355)))*Pricing!$B$13</f>
        <v/>
      </c>
      <c r="S357" s="8">
        <f>R357+(S355-IF(Assumptions!$B$60=2,E355,IF(Assumptions!$B$60=1,F355,G355)))*Pricing!$B$13</f>
        <v/>
      </c>
      <c r="T357" s="8">
        <f>S357+(T355-IF(Assumptions!$B$60=2,F355,IF(Assumptions!$B$60=1,G355,H355)))*Pricing!$B$13</f>
        <v/>
      </c>
      <c r="U357" s="8">
        <f>T357+(U355-IF(Assumptions!$B$60=2,G355,IF(Assumptions!$B$60=1,H355,I355)))*Pricing!$B$13</f>
        <v/>
      </c>
      <c r="V357" s="8">
        <f>U357+(V355-IF(Assumptions!$B$60=2,H355,IF(Assumptions!$B$60=1,I355,J355)))*Pricing!$B$13</f>
        <v/>
      </c>
      <c r="W357" s="8">
        <f>V357+(W355-IF(Assumptions!$B$60=2,I355,IF(Assumptions!$B$60=1,J355,K355)))*Pricing!$B$13</f>
        <v/>
      </c>
      <c r="X357" s="8">
        <f>W357+(X355-IF(Assumptions!$B$60=2,J355,IF(Assumptions!$B$60=1,K355,L355)))*Pricing!$B$13</f>
        <v/>
      </c>
      <c r="Y357" s="8">
        <f>X357+(Y355-IF(Assumptions!$B$60=2,K355,IF(Assumptions!$B$60=1,L355,M355)))*Pricing!$B$13</f>
        <v/>
      </c>
      <c r="Z357" s="8">
        <f>Y357+(Z355-IF(Assumptions!$B$60=2,L355,IF(Assumptions!$B$60=1,M355,N355)))*Pricing!$B$13</f>
        <v/>
      </c>
      <c r="AA357" s="8">
        <f>Z357+(AA355-IF(Assumptions!$B$60=2,M355,IF(Assumptions!$B$60=1,N355,O355)))*Pricing!$B$13</f>
        <v/>
      </c>
      <c r="AB357" s="8">
        <f>AA357+(AB355-IF(Assumptions!$B$60=2,N355,IF(Assumptions!$B$60=1,O355,P355)))*Pricing!$B$13</f>
        <v/>
      </c>
      <c r="AC357" s="8">
        <f>AB357+(AC355-IF(Assumptions!$B$60=2,O355,IF(Assumptions!$B$60=1,P355,Q355)))*Pricing!$B$13</f>
        <v/>
      </c>
      <c r="AD357" s="8">
        <f>AC357+(AD355-IF(Assumptions!$B$60=2,P355,IF(Assumptions!$B$60=1,Q355,R355)))*Pricing!$B$13</f>
        <v/>
      </c>
      <c r="AE357" s="8">
        <f>AD357+(AE355-IF(Assumptions!$B$60=2,Q355,IF(Assumptions!$B$60=1,R355,S355)))*Pricing!$B$13</f>
        <v/>
      </c>
      <c r="AF357" s="8">
        <f>AE357+(AF355-IF(Assumptions!$B$60=2,R355,IF(Assumptions!$B$60=1,S355,T355)))*Pricing!$B$13</f>
        <v/>
      </c>
      <c r="AG357" s="8">
        <f>AF357+(AG355-IF(Assumptions!$B$60=2,S355,IF(Assumptions!$B$60=1,T355,U355)))*Pricing!$B$13</f>
        <v/>
      </c>
      <c r="AH357" s="8">
        <f>AG357+(AH355-IF(Assumptions!$B$60=2,T355,IF(Assumptions!$B$60=1,U355,V355)))*Pricing!$B$13</f>
        <v/>
      </c>
      <c r="AI357" s="8">
        <f>AH357+(AI355-IF(Assumptions!$B$60=2,U355,IF(Assumptions!$B$60=1,V355,W355)))*Pricing!$B$13</f>
        <v/>
      </c>
      <c r="AJ357" s="8">
        <f>AI357+(AJ355-IF(Assumptions!$B$60=2,V355,IF(Assumptions!$B$60=1,W355,X355)))*Pricing!$B$13</f>
        <v/>
      </c>
      <c r="AK357" s="8">
        <f>AJ357+(AK355-IF(Assumptions!$B$60=2,W355,IF(Assumptions!$B$60=1,X355,Y355)))*Pricing!$B$13</f>
        <v/>
      </c>
      <c r="AL357" s="8">
        <f>AK357+(AL355-IF(Assumptions!$B$60=2,X355,IF(Assumptions!$B$60=1,Y355,Z355)))*Pricing!$B$13</f>
        <v/>
      </c>
      <c r="AM357" s="8">
        <f>AL357+(AM355-IF(Assumptions!$B$60=2,Y355,IF(Assumptions!$B$60=1,Z355,AA355)))*Pricing!$B$13</f>
        <v/>
      </c>
      <c r="AN357" s="8">
        <f>AM357+(AN355-IF(Assumptions!$B$60=2,Z355,IF(Assumptions!$B$60=1,AA355,AB355)))*Pricing!$B$13</f>
        <v/>
      </c>
      <c r="AO357" s="8">
        <f>AN357+(AO355-IF(Assumptions!$B$60=2,AA355,IF(Assumptions!$B$60=1,AB355,AC355)))*Pricing!$B$13</f>
        <v/>
      </c>
      <c r="AP357" s="8">
        <f>AO357+(AP355-IF(Assumptions!$B$60=2,AB355,IF(Assumptions!$B$60=1,AC355,AD355)))*Pricing!$B$13</f>
        <v/>
      </c>
      <c r="AQ357" s="8">
        <f>AP357+(AQ355-IF(Assumptions!$B$60=2,AC355,IF(Assumptions!$B$60=1,AD355,AE355)))*Pricing!$B$13</f>
        <v/>
      </c>
      <c r="AR357" s="8">
        <f>AQ357+(AR355-IF(Assumptions!$B$60=2,AD355,IF(Assumptions!$B$60=1,AE355,AF355)))*Pricing!$B$13</f>
        <v/>
      </c>
      <c r="AS357" s="8">
        <f>AR357+(AS355-IF(Assumptions!$B$60=2,AE355,IF(Assumptions!$B$60=1,AF355,AG355)))*Pricing!$B$13</f>
        <v/>
      </c>
      <c r="AT357" s="8">
        <f>AS357+(AT355-IF(Assumptions!$B$60=2,AF355,IF(Assumptions!$B$60=1,AG355,AH355)))*Pricing!$B$13</f>
        <v/>
      </c>
      <c r="AU357" s="8">
        <f>AT357+(AU355-IF(Assumptions!$B$60=2,AG355,IF(Assumptions!$B$60=1,AH355,AI355)))*Pricing!$B$13</f>
        <v/>
      </c>
      <c r="AV357" s="8">
        <f>AU357+(AV355-IF(Assumptions!$B$60=2,AH355,IF(Assumptions!$B$60=1,AI355,AJ355)))*Pricing!$B$13</f>
        <v/>
      </c>
      <c r="AW357" s="8">
        <f>AV357+(AW355-IF(Assumptions!$B$60=2,AI355,IF(Assumptions!$B$60=1,AJ355,AK355)))*Pricing!$B$13</f>
        <v/>
      </c>
      <c r="AX357" s="8">
        <f>AW357+(AX355-IF(Assumptions!$B$60=2,AJ355,IF(Assumptions!$B$60=1,AK355,AL355)))*Pricing!$B$13</f>
        <v/>
      </c>
      <c r="AY357" s="8">
        <f>AX357+(AY355-IF(Assumptions!$B$60=2,AK355,IF(Assumptions!$B$60=1,AL355,AM355)))*Pricing!$B$13</f>
        <v/>
      </c>
      <c r="AZ357" s="8">
        <f>AY357+(AZ355-IF(Assumptions!$B$60=2,AL355,IF(Assumptions!$B$60=1,AM355,AN355)))*Pricing!$B$13</f>
        <v/>
      </c>
      <c r="BA357" s="8">
        <f>AZ357+(BA355-IF(Assumptions!$B$60=2,AM355,IF(Assumptions!$B$60=1,AN355,AO355)))*Pricing!$B$13</f>
        <v/>
      </c>
      <c r="BB357" s="8">
        <f>BA357+(BB355-IF(Assumptions!$B$60=2,AN355,IF(Assumptions!$B$60=1,AO355,AP355)))*Pricing!$B$13</f>
        <v/>
      </c>
      <c r="BC357" s="8">
        <f>BB357+(BC355-IF(Assumptions!$B$60=2,AO355,IF(Assumptions!$B$60=1,AP355,AQ355)))*Pricing!$B$13</f>
        <v/>
      </c>
      <c r="BD357" s="8">
        <f>BC357+(BD355-IF(Assumptions!$B$60=2,AP355,IF(Assumptions!$B$60=1,AQ355,AR355)))*Pricing!$B$13</f>
        <v/>
      </c>
      <c r="BE357" s="8">
        <f>BD357+(BE355-IF(Assumptions!$B$60=2,AQ355,IF(Assumptions!$B$60=1,AR355,AS355)))*Pricing!$B$13</f>
        <v/>
      </c>
      <c r="BF357" s="8">
        <f>BE357+(BF355-IF(Assumptions!$B$60=2,AR355,IF(Assumptions!$B$60=1,AS355,AT355)))*Pricing!$B$13</f>
        <v/>
      </c>
      <c r="BG357" s="8">
        <f>BF357+(BG355-IF(Assumptions!$B$60=2,AS355,IF(Assumptions!$B$60=1,AT355,AU355)))*Pricing!$B$13</f>
        <v/>
      </c>
      <c r="BH357" s="8">
        <f>BG357+(BH355-IF(Assumptions!$B$60=2,AT355,IF(Assumptions!$B$60=1,AU355,AV355)))*Pricing!$B$13</f>
        <v/>
      </c>
      <c r="BI357" s="8">
        <f>BH357+(BI355-IF(Assumptions!$B$60=2,AU355,IF(Assumptions!$B$60=1,AV355,AW355)))*Pricing!$B$13</f>
        <v/>
      </c>
      <c r="BJ357" s="8">
        <f>BI357+(BJ355-IF(Assumptions!$B$60=2,AV355,IF(Assumptions!$B$60=1,AW355,AX355)))*Pricing!$B$13</f>
        <v/>
      </c>
    </row>
    <row r="358">
      <c r="A358" s="4" t="inlineStr">
        <is>
          <t>Founding Member discount, annual plans (bonus months): South Africa</t>
        </is>
      </c>
      <c r="B358" s="17" t="inlineStr">
        <is>
          <t>R</t>
        </is>
      </c>
      <c r="C358" s="8">
        <f>C357*Pricing!$B$14*(1/12-1/(12+Assumptions!$B$60))</f>
        <v/>
      </c>
      <c r="D358" s="8">
        <f>D357*Pricing!$B$14*(1/12-1/(12+Assumptions!$B$60))</f>
        <v/>
      </c>
      <c r="E358" s="8">
        <f>E357*Pricing!$B$14*(1/12-1/(12+Assumptions!$B$60))</f>
        <v/>
      </c>
      <c r="F358" s="8">
        <f>F357*Pricing!$B$14*(1/12-1/(12+Assumptions!$B$60))</f>
        <v/>
      </c>
      <c r="G358" s="8">
        <f>G357*Pricing!$B$14*(1/12-1/(12+Assumptions!$B$60))</f>
        <v/>
      </c>
      <c r="H358" s="8">
        <f>H357*Pricing!$B$14*(1/12-1/(12+Assumptions!$B$60))</f>
        <v/>
      </c>
      <c r="I358" s="8">
        <f>I357*Pricing!$B$14*(1/12-1/(12+Assumptions!$B$60))</f>
        <v/>
      </c>
      <c r="J358" s="8">
        <f>J357*Pricing!$B$14*(1/12-1/(12+Assumptions!$B$60))</f>
        <v/>
      </c>
      <c r="K358" s="8">
        <f>K357*Pricing!$B$14*(1/12-1/(12+Assumptions!$B$60))</f>
        <v/>
      </c>
      <c r="L358" s="8">
        <f>L357*Pricing!$B$14*(1/12-1/(12+Assumptions!$B$60))</f>
        <v/>
      </c>
      <c r="M358" s="8">
        <f>M357*Pricing!$B$14*(1/12-1/(12+Assumptions!$B$60))</f>
        <v/>
      </c>
      <c r="N358" s="8">
        <f>N357*Pricing!$B$14*(1/12-1/(12+Assumptions!$B$60))</f>
        <v/>
      </c>
      <c r="O358" s="8">
        <f>O357*Pricing!$B$14*(1/12-1/(12+Assumptions!$B$60))</f>
        <v/>
      </c>
      <c r="P358" s="8">
        <f>P357*Pricing!$B$14*(1/12-1/(12+Assumptions!$B$60))</f>
        <v/>
      </c>
      <c r="Q358" s="8">
        <f>Q357*Pricing!$B$14*(1/12-1/(12+Assumptions!$B$60))</f>
        <v/>
      </c>
      <c r="R358" s="8">
        <f>R357*Pricing!$B$14*(1/12-1/(12+Assumptions!$B$60))</f>
        <v/>
      </c>
      <c r="S358" s="8">
        <f>S357*Pricing!$B$14*(1/12-1/(12+Assumptions!$B$60))</f>
        <v/>
      </c>
      <c r="T358" s="8">
        <f>T357*Pricing!$B$14*(1/12-1/(12+Assumptions!$B$60))</f>
        <v/>
      </c>
      <c r="U358" s="8">
        <f>U357*Pricing!$B$14*(1/12-1/(12+Assumptions!$B$60))</f>
        <v/>
      </c>
      <c r="V358" s="8">
        <f>V357*Pricing!$B$14*(1/12-1/(12+Assumptions!$B$60))</f>
        <v/>
      </c>
      <c r="W358" s="8">
        <f>W357*Pricing!$B$14*(1/12-1/(12+Assumptions!$B$60))</f>
        <v/>
      </c>
      <c r="X358" s="8">
        <f>X357*Pricing!$B$14*(1/12-1/(12+Assumptions!$B$60))</f>
        <v/>
      </c>
      <c r="Y358" s="8">
        <f>Y357*Pricing!$B$14*(1/12-1/(12+Assumptions!$B$60))</f>
        <v/>
      </c>
      <c r="Z358" s="8">
        <f>Z357*Pricing!$B$14*(1/12-1/(12+Assumptions!$B$60))</f>
        <v/>
      </c>
      <c r="AA358" s="8">
        <f>AA357*Pricing!$B$14*(1/12-1/(12+Assumptions!$B$60))</f>
        <v/>
      </c>
      <c r="AB358" s="8">
        <f>AB357*Pricing!$B$14*(1/12-1/(12+Assumptions!$B$60))</f>
        <v/>
      </c>
      <c r="AC358" s="8">
        <f>AC357*Pricing!$B$14*(1/12-1/(12+Assumptions!$B$60))</f>
        <v/>
      </c>
      <c r="AD358" s="8">
        <f>AD357*Pricing!$B$14*(1/12-1/(12+Assumptions!$B$60))</f>
        <v/>
      </c>
      <c r="AE358" s="8">
        <f>AE357*Pricing!$B$14*(1/12-1/(12+Assumptions!$B$60))</f>
        <v/>
      </c>
      <c r="AF358" s="8">
        <f>AF357*Pricing!$B$14*(1/12-1/(12+Assumptions!$B$60))</f>
        <v/>
      </c>
      <c r="AG358" s="8">
        <f>AG357*Pricing!$B$14*(1/12-1/(12+Assumptions!$B$60))</f>
        <v/>
      </c>
      <c r="AH358" s="8">
        <f>AH357*Pricing!$B$14*(1/12-1/(12+Assumptions!$B$60))</f>
        <v/>
      </c>
      <c r="AI358" s="8">
        <f>AI357*Pricing!$B$14*(1/12-1/(12+Assumptions!$B$60))</f>
        <v/>
      </c>
      <c r="AJ358" s="8">
        <f>AJ357*Pricing!$B$14*(1/12-1/(12+Assumptions!$B$60))</f>
        <v/>
      </c>
      <c r="AK358" s="8">
        <f>AK357*Pricing!$B$14*(1/12-1/(12+Assumptions!$B$60))</f>
        <v/>
      </c>
      <c r="AL358" s="8">
        <f>AL357*Pricing!$B$14*(1/12-1/(12+Assumptions!$B$60))</f>
        <v/>
      </c>
      <c r="AM358" s="8">
        <f>AM357*Pricing!$B$14*(1/12-1/(12+Assumptions!$B$60))</f>
        <v/>
      </c>
      <c r="AN358" s="8">
        <f>AN357*Pricing!$B$14*(1/12-1/(12+Assumptions!$B$60))</f>
        <v/>
      </c>
      <c r="AO358" s="8">
        <f>AO357*Pricing!$B$14*(1/12-1/(12+Assumptions!$B$60))</f>
        <v/>
      </c>
      <c r="AP358" s="8">
        <f>AP357*Pricing!$B$14*(1/12-1/(12+Assumptions!$B$60))</f>
        <v/>
      </c>
      <c r="AQ358" s="8">
        <f>AQ357*Pricing!$B$14*(1/12-1/(12+Assumptions!$B$60))</f>
        <v/>
      </c>
      <c r="AR358" s="8">
        <f>AR357*Pricing!$B$14*(1/12-1/(12+Assumptions!$B$60))</f>
        <v/>
      </c>
      <c r="AS358" s="8">
        <f>AS357*Pricing!$B$14*(1/12-1/(12+Assumptions!$B$60))</f>
        <v/>
      </c>
      <c r="AT358" s="8">
        <f>AT357*Pricing!$B$14*(1/12-1/(12+Assumptions!$B$60))</f>
        <v/>
      </c>
      <c r="AU358" s="8">
        <f>AU357*Pricing!$B$14*(1/12-1/(12+Assumptions!$B$60))</f>
        <v/>
      </c>
      <c r="AV358" s="8">
        <f>AV357*Pricing!$B$14*(1/12-1/(12+Assumptions!$B$60))</f>
        <v/>
      </c>
      <c r="AW358" s="8">
        <f>AW357*Pricing!$B$14*(1/12-1/(12+Assumptions!$B$60))</f>
        <v/>
      </c>
      <c r="AX358" s="8">
        <f>AX357*Pricing!$B$14*(1/12-1/(12+Assumptions!$B$60))</f>
        <v/>
      </c>
      <c r="AY358" s="8">
        <f>AY357*Pricing!$B$14*(1/12-1/(12+Assumptions!$B$60))</f>
        <v/>
      </c>
      <c r="AZ358" s="8">
        <f>AZ357*Pricing!$B$14*(1/12-1/(12+Assumptions!$B$60))</f>
        <v/>
      </c>
      <c r="BA358" s="8">
        <f>BA357*Pricing!$B$14*(1/12-1/(12+Assumptions!$B$60))</f>
        <v/>
      </c>
      <c r="BB358" s="8">
        <f>BB357*Pricing!$B$14*(1/12-1/(12+Assumptions!$B$60))</f>
        <v/>
      </c>
      <c r="BC358" s="8">
        <f>BC357*Pricing!$B$14*(1/12-1/(12+Assumptions!$B$60))</f>
        <v/>
      </c>
      <c r="BD358" s="8">
        <f>BD357*Pricing!$B$14*(1/12-1/(12+Assumptions!$B$60))</f>
        <v/>
      </c>
      <c r="BE358" s="8">
        <f>BE357*Pricing!$B$14*(1/12-1/(12+Assumptions!$B$60))</f>
        <v/>
      </c>
      <c r="BF358" s="8">
        <f>BF357*Pricing!$B$14*(1/12-1/(12+Assumptions!$B$60))</f>
        <v/>
      </c>
      <c r="BG358" s="8">
        <f>BG357*Pricing!$B$14*(1/12-1/(12+Assumptions!$B$60))</f>
        <v/>
      </c>
      <c r="BH358" s="8">
        <f>BH357*Pricing!$B$14*(1/12-1/(12+Assumptions!$B$60))</f>
        <v/>
      </c>
      <c r="BI358" s="8">
        <f>BI357*Pricing!$B$14*(1/12-1/(12+Assumptions!$B$60))</f>
        <v/>
      </c>
      <c r="BJ358" s="8">
        <f>BJ357*Pricing!$B$14*(1/12-1/(12+Assumptions!$B$60))</f>
        <v/>
      </c>
    </row>
    <row r="359">
      <c r="A359" s="3" t="inlineStr">
        <is>
          <t>Founding Member discount: South Africa</t>
        </is>
      </c>
      <c r="B359" s="17" t="inlineStr">
        <is>
          <t>R</t>
        </is>
      </c>
      <c r="C359" s="42">
        <f>C356+C358</f>
        <v/>
      </c>
      <c r="D359" s="42">
        <f>D356+D358</f>
        <v/>
      </c>
      <c r="E359" s="42">
        <f>E356+E358</f>
        <v/>
      </c>
      <c r="F359" s="42">
        <f>F356+F358</f>
        <v/>
      </c>
      <c r="G359" s="42">
        <f>G356+G358</f>
        <v/>
      </c>
      <c r="H359" s="42">
        <f>H356+H358</f>
        <v/>
      </c>
      <c r="I359" s="42">
        <f>I356+I358</f>
        <v/>
      </c>
      <c r="J359" s="42">
        <f>J356+J358</f>
        <v/>
      </c>
      <c r="K359" s="42">
        <f>K356+K358</f>
        <v/>
      </c>
      <c r="L359" s="42">
        <f>L356+L358</f>
        <v/>
      </c>
      <c r="M359" s="42">
        <f>M356+M358</f>
        <v/>
      </c>
      <c r="N359" s="42">
        <f>N356+N358</f>
        <v/>
      </c>
      <c r="O359" s="42">
        <f>O356+O358</f>
        <v/>
      </c>
      <c r="P359" s="42">
        <f>P356+P358</f>
        <v/>
      </c>
      <c r="Q359" s="42">
        <f>Q356+Q358</f>
        <v/>
      </c>
      <c r="R359" s="42">
        <f>R356+R358</f>
        <v/>
      </c>
      <c r="S359" s="42">
        <f>S356+S358</f>
        <v/>
      </c>
      <c r="T359" s="42">
        <f>T356+T358</f>
        <v/>
      </c>
      <c r="U359" s="42">
        <f>U356+U358</f>
        <v/>
      </c>
      <c r="V359" s="42">
        <f>V356+V358</f>
        <v/>
      </c>
      <c r="W359" s="42">
        <f>W356+W358</f>
        <v/>
      </c>
      <c r="X359" s="42">
        <f>X356+X358</f>
        <v/>
      </c>
      <c r="Y359" s="42">
        <f>Y356+Y358</f>
        <v/>
      </c>
      <c r="Z359" s="42">
        <f>Z356+Z358</f>
        <v/>
      </c>
      <c r="AA359" s="42">
        <f>AA356+AA358</f>
        <v/>
      </c>
      <c r="AB359" s="42">
        <f>AB356+AB358</f>
        <v/>
      </c>
      <c r="AC359" s="42">
        <f>AC356+AC358</f>
        <v/>
      </c>
      <c r="AD359" s="42">
        <f>AD356+AD358</f>
        <v/>
      </c>
      <c r="AE359" s="42">
        <f>AE356+AE358</f>
        <v/>
      </c>
      <c r="AF359" s="42">
        <f>AF356+AF358</f>
        <v/>
      </c>
      <c r="AG359" s="42">
        <f>AG356+AG358</f>
        <v/>
      </c>
      <c r="AH359" s="42">
        <f>AH356+AH358</f>
        <v/>
      </c>
      <c r="AI359" s="42">
        <f>AI356+AI358</f>
        <v/>
      </c>
      <c r="AJ359" s="42">
        <f>AJ356+AJ358</f>
        <v/>
      </c>
      <c r="AK359" s="42">
        <f>AK356+AK358</f>
        <v/>
      </c>
      <c r="AL359" s="42">
        <f>AL356+AL358</f>
        <v/>
      </c>
      <c r="AM359" s="42">
        <f>AM356+AM358</f>
        <v/>
      </c>
      <c r="AN359" s="42">
        <f>AN356+AN358</f>
        <v/>
      </c>
      <c r="AO359" s="42">
        <f>AO356+AO358</f>
        <v/>
      </c>
      <c r="AP359" s="42">
        <f>AP356+AP358</f>
        <v/>
      </c>
      <c r="AQ359" s="42">
        <f>AQ356+AQ358</f>
        <v/>
      </c>
      <c r="AR359" s="42">
        <f>AR356+AR358</f>
        <v/>
      </c>
      <c r="AS359" s="42">
        <f>AS356+AS358</f>
        <v/>
      </c>
      <c r="AT359" s="42">
        <f>AT356+AT358</f>
        <v/>
      </c>
      <c r="AU359" s="42">
        <f>AU356+AU358</f>
        <v/>
      </c>
      <c r="AV359" s="42">
        <f>AV356+AV358</f>
        <v/>
      </c>
      <c r="AW359" s="42">
        <f>AW356+AW358</f>
        <v/>
      </c>
      <c r="AX359" s="42">
        <f>AX356+AX358</f>
        <v/>
      </c>
      <c r="AY359" s="42">
        <f>AY356+AY358</f>
        <v/>
      </c>
      <c r="AZ359" s="42">
        <f>AZ356+AZ358</f>
        <v/>
      </c>
      <c r="BA359" s="42">
        <f>BA356+BA358</f>
        <v/>
      </c>
      <c r="BB359" s="42">
        <f>BB356+BB358</f>
        <v/>
      </c>
      <c r="BC359" s="42">
        <f>BC356+BC358</f>
        <v/>
      </c>
      <c r="BD359" s="42">
        <f>BD356+BD358</f>
        <v/>
      </c>
      <c r="BE359" s="42">
        <f>BE356+BE358</f>
        <v/>
      </c>
      <c r="BF359" s="42">
        <f>BF356+BF358</f>
        <v/>
      </c>
      <c r="BG359" s="42">
        <f>BG356+BG358</f>
        <v/>
      </c>
      <c r="BH359" s="42">
        <f>BH356+BH358</f>
        <v/>
      </c>
      <c r="BI359" s="42">
        <f>BI356+BI358</f>
        <v/>
      </c>
      <c r="BJ359" s="42">
        <f>BJ356+BJ358</f>
        <v/>
      </c>
    </row>
    <row r="360">
      <c r="A360" s="4" t="inlineStr">
        <is>
          <t>List MRR of new Solo &amp; SME sign-ups inside the launch window: Nigeria</t>
        </is>
      </c>
      <c r="B360" s="17" t="inlineStr">
        <is>
          <t>R</t>
        </is>
      </c>
      <c r="C360" s="8">
        <f>C31*C307*C38*(C115*((1-Assumptions!$B$125)*Pricing!$C$31+Assumptions!$B$125*Pricing!$C$32)+C116*((1-Assumptions!$B$126)*Pricing!$C$32+Assumptions!$B$126*Pricing!$C$33))</f>
        <v/>
      </c>
      <c r="D360" s="8">
        <f>D31*D307*D38*(D115*((1-Assumptions!$B$125)*Pricing!$C$31+Assumptions!$B$125*Pricing!$C$32)+D116*((1-Assumptions!$B$126)*Pricing!$C$32+Assumptions!$B$126*Pricing!$C$33))</f>
        <v/>
      </c>
      <c r="E360" s="8">
        <f>E31*E307*E38*(E115*((1-Assumptions!$B$125)*Pricing!$C$31+Assumptions!$B$125*Pricing!$C$32)+E116*((1-Assumptions!$B$126)*Pricing!$C$32+Assumptions!$B$126*Pricing!$C$33))</f>
        <v/>
      </c>
      <c r="F360" s="8">
        <f>F31*F307*F38*(F115*((1-Assumptions!$B$125)*Pricing!$C$31+Assumptions!$B$125*Pricing!$C$32)+F116*((1-Assumptions!$B$126)*Pricing!$C$32+Assumptions!$B$126*Pricing!$C$33))</f>
        <v/>
      </c>
      <c r="G360" s="8">
        <f>G31*G307*G38*(G115*((1-Assumptions!$B$125)*Pricing!$C$31+Assumptions!$B$125*Pricing!$C$32)+G116*((1-Assumptions!$B$126)*Pricing!$C$32+Assumptions!$B$126*Pricing!$C$33))</f>
        <v/>
      </c>
      <c r="H360" s="8">
        <f>H31*H307*H38*(H115*((1-Assumptions!$B$125)*Pricing!$C$31+Assumptions!$B$125*Pricing!$C$32)+H116*((1-Assumptions!$B$126)*Pricing!$C$32+Assumptions!$B$126*Pricing!$C$33))</f>
        <v/>
      </c>
      <c r="I360" s="8">
        <f>I31*I307*I38*(I115*((1-Assumptions!$B$125)*Pricing!$C$31+Assumptions!$B$125*Pricing!$C$32)+I116*((1-Assumptions!$B$126)*Pricing!$C$32+Assumptions!$B$126*Pricing!$C$33))</f>
        <v/>
      </c>
      <c r="J360" s="8">
        <f>J31*J307*J38*(J115*((1-Assumptions!$B$125)*Pricing!$C$31+Assumptions!$B$125*Pricing!$C$32)+J116*((1-Assumptions!$B$126)*Pricing!$C$32+Assumptions!$B$126*Pricing!$C$33))</f>
        <v/>
      </c>
      <c r="K360" s="8">
        <f>K31*K307*K38*(K115*((1-Assumptions!$B$125)*Pricing!$C$31+Assumptions!$B$125*Pricing!$C$32)+K116*((1-Assumptions!$B$126)*Pricing!$C$32+Assumptions!$B$126*Pricing!$C$33))</f>
        <v/>
      </c>
      <c r="L360" s="8">
        <f>L31*L307*L38*(L115*((1-Assumptions!$B$125)*Pricing!$C$31+Assumptions!$B$125*Pricing!$C$32)+L116*((1-Assumptions!$B$126)*Pricing!$C$32+Assumptions!$B$126*Pricing!$C$33))</f>
        <v/>
      </c>
      <c r="M360" s="8">
        <f>M31*M307*M38*(M115*((1-Assumptions!$B$125)*Pricing!$C$31+Assumptions!$B$125*Pricing!$C$32)+M116*((1-Assumptions!$B$126)*Pricing!$C$32+Assumptions!$B$126*Pricing!$C$33))</f>
        <v/>
      </c>
      <c r="N360" s="8">
        <f>N31*N307*N38*(N115*((1-Assumptions!$B$125)*Pricing!$C$31+Assumptions!$B$125*Pricing!$C$32)+N116*((1-Assumptions!$B$126)*Pricing!$C$32+Assumptions!$B$126*Pricing!$C$33))</f>
        <v/>
      </c>
      <c r="O360" s="8">
        <f>O31*O307*O38*(O115*((1-Assumptions!$B$125)*Pricing!$C$31+Assumptions!$B$125*Pricing!$C$32)+O116*((1-Assumptions!$B$126)*Pricing!$C$32+Assumptions!$B$126*Pricing!$C$33))</f>
        <v/>
      </c>
      <c r="P360" s="8">
        <f>P31*P307*P38*(P115*((1-Assumptions!$B$125)*Pricing!$C$31+Assumptions!$B$125*Pricing!$C$32)+P116*((1-Assumptions!$B$126)*Pricing!$C$32+Assumptions!$B$126*Pricing!$C$33))</f>
        <v/>
      </c>
      <c r="Q360" s="8">
        <f>Q31*Q307*Q38*(Q115*((1-Assumptions!$B$125)*Pricing!$C$31+Assumptions!$B$125*Pricing!$C$32)+Q116*((1-Assumptions!$B$126)*Pricing!$C$32+Assumptions!$B$126*Pricing!$C$33))</f>
        <v/>
      </c>
      <c r="R360" s="8">
        <f>R31*R307*R38*(R115*((1-Assumptions!$B$125)*Pricing!$C$31+Assumptions!$B$125*Pricing!$C$32)+R116*((1-Assumptions!$B$126)*Pricing!$C$32+Assumptions!$B$126*Pricing!$C$33))</f>
        <v/>
      </c>
      <c r="S360" s="8">
        <f>S31*S307*S38*(S115*((1-Assumptions!$B$125)*Pricing!$C$31+Assumptions!$B$125*Pricing!$C$32)+S116*((1-Assumptions!$B$126)*Pricing!$C$32+Assumptions!$B$126*Pricing!$C$33))</f>
        <v/>
      </c>
      <c r="T360" s="8">
        <f>T31*T307*T38*(T115*((1-Assumptions!$B$125)*Pricing!$C$31+Assumptions!$B$125*Pricing!$C$32)+T116*((1-Assumptions!$B$126)*Pricing!$C$32+Assumptions!$B$126*Pricing!$C$33))</f>
        <v/>
      </c>
      <c r="U360" s="8">
        <f>U31*U307*U38*(U115*((1-Assumptions!$B$125)*Pricing!$C$31+Assumptions!$B$125*Pricing!$C$32)+U116*((1-Assumptions!$B$126)*Pricing!$C$32+Assumptions!$B$126*Pricing!$C$33))</f>
        <v/>
      </c>
      <c r="V360" s="8">
        <f>V31*V307*V38*(V115*((1-Assumptions!$B$125)*Pricing!$C$31+Assumptions!$B$125*Pricing!$C$32)+V116*((1-Assumptions!$B$126)*Pricing!$C$32+Assumptions!$B$126*Pricing!$C$33))</f>
        <v/>
      </c>
      <c r="W360" s="8">
        <f>W31*W307*W38*(W115*((1-Assumptions!$B$125)*Pricing!$C$31+Assumptions!$B$125*Pricing!$C$32)+W116*((1-Assumptions!$B$126)*Pricing!$C$32+Assumptions!$B$126*Pricing!$C$33))</f>
        <v/>
      </c>
      <c r="X360" s="8">
        <f>X31*X307*X38*(X115*((1-Assumptions!$B$125)*Pricing!$C$31+Assumptions!$B$125*Pricing!$C$32)+X116*((1-Assumptions!$B$126)*Pricing!$C$32+Assumptions!$B$126*Pricing!$C$33))</f>
        <v/>
      </c>
      <c r="Y360" s="8">
        <f>Y31*Y307*Y38*(Y115*((1-Assumptions!$B$125)*Pricing!$C$31+Assumptions!$B$125*Pricing!$C$32)+Y116*((1-Assumptions!$B$126)*Pricing!$C$32+Assumptions!$B$126*Pricing!$C$33))</f>
        <v/>
      </c>
      <c r="Z360" s="8">
        <f>Z31*Z307*Z38*(Z115*((1-Assumptions!$B$125)*Pricing!$C$31+Assumptions!$B$125*Pricing!$C$32)+Z116*((1-Assumptions!$B$126)*Pricing!$C$32+Assumptions!$B$126*Pricing!$C$33))</f>
        <v/>
      </c>
      <c r="AA360" s="8">
        <f>AA31*AA307*AA38*(AA115*((1-Assumptions!$B$125)*Pricing!$C$31+Assumptions!$B$125*Pricing!$C$32)+AA116*((1-Assumptions!$B$126)*Pricing!$C$32+Assumptions!$B$126*Pricing!$C$33))</f>
        <v/>
      </c>
      <c r="AB360" s="8">
        <f>AB31*AB307*AB38*(AB115*((1-Assumptions!$B$125)*Pricing!$C$31+Assumptions!$B$125*Pricing!$C$32)+AB116*((1-Assumptions!$B$126)*Pricing!$C$32+Assumptions!$B$126*Pricing!$C$33))</f>
        <v/>
      </c>
      <c r="AC360" s="8">
        <f>AC31*AC307*AC38*(AC115*((1-Assumptions!$B$125)*Pricing!$C$31+Assumptions!$B$125*Pricing!$C$32)+AC116*((1-Assumptions!$B$126)*Pricing!$C$32+Assumptions!$B$126*Pricing!$C$33))</f>
        <v/>
      </c>
      <c r="AD360" s="8">
        <f>AD31*AD307*AD38*(AD115*((1-Assumptions!$B$125)*Pricing!$C$31+Assumptions!$B$125*Pricing!$C$32)+AD116*((1-Assumptions!$B$126)*Pricing!$C$32+Assumptions!$B$126*Pricing!$C$33))</f>
        <v/>
      </c>
      <c r="AE360" s="8">
        <f>AE31*AE307*AE38*(AE115*((1-Assumptions!$B$125)*Pricing!$C$31+Assumptions!$B$125*Pricing!$C$32)+AE116*((1-Assumptions!$B$126)*Pricing!$C$32+Assumptions!$B$126*Pricing!$C$33))</f>
        <v/>
      </c>
      <c r="AF360" s="8">
        <f>AF31*AF307*AF38*(AF115*((1-Assumptions!$B$125)*Pricing!$C$31+Assumptions!$B$125*Pricing!$C$32)+AF116*((1-Assumptions!$B$126)*Pricing!$C$32+Assumptions!$B$126*Pricing!$C$33))</f>
        <v/>
      </c>
      <c r="AG360" s="8">
        <f>AG31*AG307*AG38*(AG115*((1-Assumptions!$B$125)*Pricing!$C$31+Assumptions!$B$125*Pricing!$C$32)+AG116*((1-Assumptions!$B$126)*Pricing!$C$32+Assumptions!$B$126*Pricing!$C$33))</f>
        <v/>
      </c>
      <c r="AH360" s="8">
        <f>AH31*AH307*AH38*(AH115*((1-Assumptions!$B$125)*Pricing!$C$31+Assumptions!$B$125*Pricing!$C$32)+AH116*((1-Assumptions!$B$126)*Pricing!$C$32+Assumptions!$B$126*Pricing!$C$33))</f>
        <v/>
      </c>
      <c r="AI360" s="8">
        <f>AI31*AI307*AI38*(AI115*((1-Assumptions!$B$125)*Pricing!$C$31+Assumptions!$B$125*Pricing!$C$32)+AI116*((1-Assumptions!$B$126)*Pricing!$C$32+Assumptions!$B$126*Pricing!$C$33))</f>
        <v/>
      </c>
      <c r="AJ360" s="8">
        <f>AJ31*AJ307*AJ38*(AJ115*((1-Assumptions!$B$125)*Pricing!$C$31+Assumptions!$B$125*Pricing!$C$32)+AJ116*((1-Assumptions!$B$126)*Pricing!$C$32+Assumptions!$B$126*Pricing!$C$33))</f>
        <v/>
      </c>
      <c r="AK360" s="8">
        <f>AK31*AK307*AK38*(AK115*((1-Assumptions!$B$125)*Pricing!$C$31+Assumptions!$B$125*Pricing!$C$32)+AK116*((1-Assumptions!$B$126)*Pricing!$C$32+Assumptions!$B$126*Pricing!$C$33))</f>
        <v/>
      </c>
      <c r="AL360" s="8">
        <f>AL31*AL307*AL38*(AL115*((1-Assumptions!$B$125)*Pricing!$C$31+Assumptions!$B$125*Pricing!$C$32)+AL116*((1-Assumptions!$B$126)*Pricing!$C$32+Assumptions!$B$126*Pricing!$C$33))</f>
        <v/>
      </c>
      <c r="AM360" s="8">
        <f>AM31*AM307*AM38*(AM115*((1-Assumptions!$B$125)*Pricing!$C$31+Assumptions!$B$125*Pricing!$C$32)+AM116*((1-Assumptions!$B$126)*Pricing!$C$32+Assumptions!$B$126*Pricing!$C$33))</f>
        <v/>
      </c>
      <c r="AN360" s="8">
        <f>AN31*AN307*AN38*(AN115*((1-Assumptions!$B$125)*Pricing!$C$31+Assumptions!$B$125*Pricing!$C$32)+AN116*((1-Assumptions!$B$126)*Pricing!$C$32+Assumptions!$B$126*Pricing!$C$33))</f>
        <v/>
      </c>
      <c r="AO360" s="8">
        <f>AO31*AO307*AO38*(AO115*((1-Assumptions!$B$125)*Pricing!$C$31+Assumptions!$B$125*Pricing!$C$32)+AO116*((1-Assumptions!$B$126)*Pricing!$C$32+Assumptions!$B$126*Pricing!$C$33))</f>
        <v/>
      </c>
      <c r="AP360" s="8">
        <f>AP31*AP307*AP38*(AP115*((1-Assumptions!$B$125)*Pricing!$C$31+Assumptions!$B$125*Pricing!$C$32)+AP116*((1-Assumptions!$B$126)*Pricing!$C$32+Assumptions!$B$126*Pricing!$C$33))</f>
        <v/>
      </c>
      <c r="AQ360" s="8">
        <f>AQ31*AQ307*AQ38*(AQ115*((1-Assumptions!$B$125)*Pricing!$C$31+Assumptions!$B$125*Pricing!$C$32)+AQ116*((1-Assumptions!$B$126)*Pricing!$C$32+Assumptions!$B$126*Pricing!$C$33))</f>
        <v/>
      </c>
      <c r="AR360" s="8">
        <f>AR31*AR307*AR38*(AR115*((1-Assumptions!$B$125)*Pricing!$C$31+Assumptions!$B$125*Pricing!$C$32)+AR116*((1-Assumptions!$B$126)*Pricing!$C$32+Assumptions!$B$126*Pricing!$C$33))</f>
        <v/>
      </c>
      <c r="AS360" s="8">
        <f>AS31*AS307*AS38*(AS115*((1-Assumptions!$B$125)*Pricing!$C$31+Assumptions!$B$125*Pricing!$C$32)+AS116*((1-Assumptions!$B$126)*Pricing!$C$32+Assumptions!$B$126*Pricing!$C$33))</f>
        <v/>
      </c>
      <c r="AT360" s="8">
        <f>AT31*AT307*AT38*(AT115*((1-Assumptions!$B$125)*Pricing!$C$31+Assumptions!$B$125*Pricing!$C$32)+AT116*((1-Assumptions!$B$126)*Pricing!$C$32+Assumptions!$B$126*Pricing!$C$33))</f>
        <v/>
      </c>
      <c r="AU360" s="8">
        <f>AU31*AU307*AU38*(AU115*((1-Assumptions!$B$125)*Pricing!$C$31+Assumptions!$B$125*Pricing!$C$32)+AU116*((1-Assumptions!$B$126)*Pricing!$C$32+Assumptions!$B$126*Pricing!$C$33))</f>
        <v/>
      </c>
      <c r="AV360" s="8">
        <f>AV31*AV307*AV38*(AV115*((1-Assumptions!$B$125)*Pricing!$C$31+Assumptions!$B$125*Pricing!$C$32)+AV116*((1-Assumptions!$B$126)*Pricing!$C$32+Assumptions!$B$126*Pricing!$C$33))</f>
        <v/>
      </c>
      <c r="AW360" s="8">
        <f>AW31*AW307*AW38*(AW115*((1-Assumptions!$B$125)*Pricing!$C$31+Assumptions!$B$125*Pricing!$C$32)+AW116*((1-Assumptions!$B$126)*Pricing!$C$32+Assumptions!$B$126*Pricing!$C$33))</f>
        <v/>
      </c>
      <c r="AX360" s="8">
        <f>AX31*AX307*AX38*(AX115*((1-Assumptions!$B$125)*Pricing!$C$31+Assumptions!$B$125*Pricing!$C$32)+AX116*((1-Assumptions!$B$126)*Pricing!$C$32+Assumptions!$B$126*Pricing!$C$33))</f>
        <v/>
      </c>
      <c r="AY360" s="8">
        <f>AY31*AY307*AY38*(AY115*((1-Assumptions!$B$125)*Pricing!$C$31+Assumptions!$B$125*Pricing!$C$32)+AY116*((1-Assumptions!$B$126)*Pricing!$C$32+Assumptions!$B$126*Pricing!$C$33))</f>
        <v/>
      </c>
      <c r="AZ360" s="8">
        <f>AZ31*AZ307*AZ38*(AZ115*((1-Assumptions!$B$125)*Pricing!$C$31+Assumptions!$B$125*Pricing!$C$32)+AZ116*((1-Assumptions!$B$126)*Pricing!$C$32+Assumptions!$B$126*Pricing!$C$33))</f>
        <v/>
      </c>
      <c r="BA360" s="8">
        <f>BA31*BA307*BA38*(BA115*((1-Assumptions!$B$125)*Pricing!$C$31+Assumptions!$B$125*Pricing!$C$32)+BA116*((1-Assumptions!$B$126)*Pricing!$C$32+Assumptions!$B$126*Pricing!$C$33))</f>
        <v/>
      </c>
      <c r="BB360" s="8">
        <f>BB31*BB307*BB38*(BB115*((1-Assumptions!$B$125)*Pricing!$C$31+Assumptions!$B$125*Pricing!$C$32)+BB116*((1-Assumptions!$B$126)*Pricing!$C$32+Assumptions!$B$126*Pricing!$C$33))</f>
        <v/>
      </c>
      <c r="BC360" s="8">
        <f>BC31*BC307*BC38*(BC115*((1-Assumptions!$B$125)*Pricing!$C$31+Assumptions!$B$125*Pricing!$C$32)+BC116*((1-Assumptions!$B$126)*Pricing!$C$32+Assumptions!$B$126*Pricing!$C$33))</f>
        <v/>
      </c>
      <c r="BD360" s="8">
        <f>BD31*BD307*BD38*(BD115*((1-Assumptions!$B$125)*Pricing!$C$31+Assumptions!$B$125*Pricing!$C$32)+BD116*((1-Assumptions!$B$126)*Pricing!$C$32+Assumptions!$B$126*Pricing!$C$33))</f>
        <v/>
      </c>
      <c r="BE360" s="8">
        <f>BE31*BE307*BE38*(BE115*((1-Assumptions!$B$125)*Pricing!$C$31+Assumptions!$B$125*Pricing!$C$32)+BE116*((1-Assumptions!$B$126)*Pricing!$C$32+Assumptions!$B$126*Pricing!$C$33))</f>
        <v/>
      </c>
      <c r="BF360" s="8">
        <f>BF31*BF307*BF38*(BF115*((1-Assumptions!$B$125)*Pricing!$C$31+Assumptions!$B$125*Pricing!$C$32)+BF116*((1-Assumptions!$B$126)*Pricing!$C$32+Assumptions!$B$126*Pricing!$C$33))</f>
        <v/>
      </c>
      <c r="BG360" s="8">
        <f>BG31*BG307*BG38*(BG115*((1-Assumptions!$B$125)*Pricing!$C$31+Assumptions!$B$125*Pricing!$C$32)+BG116*((1-Assumptions!$B$126)*Pricing!$C$32+Assumptions!$B$126*Pricing!$C$33))</f>
        <v/>
      </c>
      <c r="BH360" s="8">
        <f>BH31*BH307*BH38*(BH115*((1-Assumptions!$B$125)*Pricing!$C$31+Assumptions!$B$125*Pricing!$C$32)+BH116*((1-Assumptions!$B$126)*Pricing!$C$32+Assumptions!$B$126*Pricing!$C$33))</f>
        <v/>
      </c>
      <c r="BI360" s="8">
        <f>BI31*BI307*BI38*(BI115*((1-Assumptions!$B$125)*Pricing!$C$31+Assumptions!$B$125*Pricing!$C$32)+BI116*((1-Assumptions!$B$126)*Pricing!$C$32+Assumptions!$B$126*Pricing!$C$33))</f>
        <v/>
      </c>
      <c r="BJ360" s="8">
        <f>BJ31*BJ307*BJ38*(BJ115*((1-Assumptions!$B$125)*Pricing!$C$31+Assumptions!$B$125*Pricing!$C$32)+BJ116*((1-Assumptions!$B$126)*Pricing!$C$32+Assumptions!$B$126*Pricing!$C$33))</f>
        <v/>
      </c>
    </row>
    <row r="361">
      <c r="A361" s="4" t="inlineStr">
        <is>
          <t>Founding Member discount, monthly plans: Nigeria</t>
        </is>
      </c>
      <c r="B361" s="17" t="inlineStr">
        <is>
          <t>R</t>
        </is>
      </c>
      <c r="C361" s="8">
        <f>(1-Pricing!$B$13)*Assumptions!$B$58*(IF(Assumptions!$B$59&gt;=1,C360,0)+IF(Assumptions!$B$59&gt;=2,0*(1-Assumptions!$B$40),0))</f>
        <v/>
      </c>
      <c r="D361" s="8">
        <f>(1-Pricing!$B$13)*Assumptions!$B$58*(IF(Assumptions!$B$59&gt;=1,D360,0)+IF(Assumptions!$B$59&gt;=2,C360*(1-Assumptions!$B$40),0))</f>
        <v/>
      </c>
      <c r="E361" s="8">
        <f>(1-Pricing!$B$13)*Assumptions!$B$58*(IF(Assumptions!$B$59&gt;=1,E360,0)+IF(Assumptions!$B$59&gt;=2,D360*(1-Assumptions!$B$40),0))</f>
        <v/>
      </c>
      <c r="F361" s="8">
        <f>(1-Pricing!$B$13)*Assumptions!$B$58*(IF(Assumptions!$B$59&gt;=1,F360,0)+IF(Assumptions!$B$59&gt;=2,E360*(1-Assumptions!$B$40),0))</f>
        <v/>
      </c>
      <c r="G361" s="8">
        <f>(1-Pricing!$B$13)*Assumptions!$B$58*(IF(Assumptions!$B$59&gt;=1,G360,0)+IF(Assumptions!$B$59&gt;=2,F360*(1-Assumptions!$B$40),0))</f>
        <v/>
      </c>
      <c r="H361" s="8">
        <f>(1-Pricing!$B$13)*Assumptions!$B$58*(IF(Assumptions!$B$59&gt;=1,H360,0)+IF(Assumptions!$B$59&gt;=2,G360*(1-Assumptions!$B$40),0))</f>
        <v/>
      </c>
      <c r="I361" s="8">
        <f>(1-Pricing!$B$13)*Assumptions!$B$58*(IF(Assumptions!$B$59&gt;=1,I360,0)+IF(Assumptions!$B$59&gt;=2,H360*(1-Assumptions!$B$40),0))</f>
        <v/>
      </c>
      <c r="J361" s="8">
        <f>(1-Pricing!$B$13)*Assumptions!$B$58*(IF(Assumptions!$B$59&gt;=1,J360,0)+IF(Assumptions!$B$59&gt;=2,I360*(1-Assumptions!$B$40),0))</f>
        <v/>
      </c>
      <c r="K361" s="8">
        <f>(1-Pricing!$B$13)*Assumptions!$B$58*(IF(Assumptions!$B$59&gt;=1,K360,0)+IF(Assumptions!$B$59&gt;=2,J360*(1-Assumptions!$B$40),0))</f>
        <v/>
      </c>
      <c r="L361" s="8">
        <f>(1-Pricing!$B$13)*Assumptions!$B$58*(IF(Assumptions!$B$59&gt;=1,L360,0)+IF(Assumptions!$B$59&gt;=2,K360*(1-Assumptions!$B$40),0))</f>
        <v/>
      </c>
      <c r="M361" s="8">
        <f>(1-Pricing!$B$13)*Assumptions!$B$58*(IF(Assumptions!$B$59&gt;=1,M360,0)+IF(Assumptions!$B$59&gt;=2,L360*(1-Assumptions!$B$40),0))</f>
        <v/>
      </c>
      <c r="N361" s="8">
        <f>(1-Pricing!$B$13)*Assumptions!$B$58*(IF(Assumptions!$B$59&gt;=1,N360,0)+IF(Assumptions!$B$59&gt;=2,M360*(1-Assumptions!$B$40),0))</f>
        <v/>
      </c>
      <c r="O361" s="8">
        <f>(1-Pricing!$B$13)*Assumptions!$B$58*(IF(Assumptions!$B$59&gt;=1,O360,0)+IF(Assumptions!$B$59&gt;=2,N360*(1-Assumptions!$B$40),0))</f>
        <v/>
      </c>
      <c r="P361" s="8">
        <f>(1-Pricing!$B$13)*Assumptions!$B$58*(IF(Assumptions!$B$59&gt;=1,P360,0)+IF(Assumptions!$B$59&gt;=2,O360*(1-Assumptions!$B$40),0))</f>
        <v/>
      </c>
      <c r="Q361" s="8">
        <f>(1-Pricing!$B$13)*Assumptions!$B$58*(IF(Assumptions!$B$59&gt;=1,Q360,0)+IF(Assumptions!$B$59&gt;=2,P360*(1-Assumptions!$B$40),0))</f>
        <v/>
      </c>
      <c r="R361" s="8">
        <f>(1-Pricing!$B$13)*Assumptions!$B$58*(IF(Assumptions!$B$59&gt;=1,R360,0)+IF(Assumptions!$B$59&gt;=2,Q360*(1-Assumptions!$B$40),0))</f>
        <v/>
      </c>
      <c r="S361" s="8">
        <f>(1-Pricing!$B$13)*Assumptions!$B$58*(IF(Assumptions!$B$59&gt;=1,S360,0)+IF(Assumptions!$B$59&gt;=2,R360*(1-Assumptions!$B$40),0))</f>
        <v/>
      </c>
      <c r="T361" s="8">
        <f>(1-Pricing!$B$13)*Assumptions!$B$58*(IF(Assumptions!$B$59&gt;=1,T360,0)+IF(Assumptions!$B$59&gt;=2,S360*(1-Assumptions!$B$40),0))</f>
        <v/>
      </c>
      <c r="U361" s="8">
        <f>(1-Pricing!$B$13)*Assumptions!$B$58*(IF(Assumptions!$B$59&gt;=1,U360,0)+IF(Assumptions!$B$59&gt;=2,T360*(1-Assumptions!$B$40),0))</f>
        <v/>
      </c>
      <c r="V361" s="8">
        <f>(1-Pricing!$B$13)*Assumptions!$B$58*(IF(Assumptions!$B$59&gt;=1,V360,0)+IF(Assumptions!$B$59&gt;=2,U360*(1-Assumptions!$B$40),0))</f>
        <v/>
      </c>
      <c r="W361" s="8">
        <f>(1-Pricing!$B$13)*Assumptions!$B$58*(IF(Assumptions!$B$59&gt;=1,W360,0)+IF(Assumptions!$B$59&gt;=2,V360*(1-Assumptions!$B$40),0))</f>
        <v/>
      </c>
      <c r="X361" s="8">
        <f>(1-Pricing!$B$13)*Assumptions!$B$58*(IF(Assumptions!$B$59&gt;=1,X360,0)+IF(Assumptions!$B$59&gt;=2,W360*(1-Assumptions!$B$40),0))</f>
        <v/>
      </c>
      <c r="Y361" s="8">
        <f>(1-Pricing!$B$13)*Assumptions!$B$58*(IF(Assumptions!$B$59&gt;=1,Y360,0)+IF(Assumptions!$B$59&gt;=2,X360*(1-Assumptions!$B$40),0))</f>
        <v/>
      </c>
      <c r="Z361" s="8">
        <f>(1-Pricing!$B$13)*Assumptions!$B$58*(IF(Assumptions!$B$59&gt;=1,Z360,0)+IF(Assumptions!$B$59&gt;=2,Y360*(1-Assumptions!$B$40),0))</f>
        <v/>
      </c>
      <c r="AA361" s="8">
        <f>(1-Pricing!$B$13)*Assumptions!$B$58*(IF(Assumptions!$B$59&gt;=1,AA360,0)+IF(Assumptions!$B$59&gt;=2,Z360*(1-Assumptions!$B$40),0))</f>
        <v/>
      </c>
      <c r="AB361" s="8">
        <f>(1-Pricing!$B$13)*Assumptions!$B$58*(IF(Assumptions!$B$59&gt;=1,AB360,0)+IF(Assumptions!$B$59&gt;=2,AA360*(1-Assumptions!$B$40),0))</f>
        <v/>
      </c>
      <c r="AC361" s="8">
        <f>(1-Pricing!$B$13)*Assumptions!$B$58*(IF(Assumptions!$B$59&gt;=1,AC360,0)+IF(Assumptions!$B$59&gt;=2,AB360*(1-Assumptions!$B$40),0))</f>
        <v/>
      </c>
      <c r="AD361" s="8">
        <f>(1-Pricing!$B$13)*Assumptions!$B$58*(IF(Assumptions!$B$59&gt;=1,AD360,0)+IF(Assumptions!$B$59&gt;=2,AC360*(1-Assumptions!$B$40),0))</f>
        <v/>
      </c>
      <c r="AE361" s="8">
        <f>(1-Pricing!$B$13)*Assumptions!$B$58*(IF(Assumptions!$B$59&gt;=1,AE360,0)+IF(Assumptions!$B$59&gt;=2,AD360*(1-Assumptions!$B$40),0))</f>
        <v/>
      </c>
      <c r="AF361" s="8">
        <f>(1-Pricing!$B$13)*Assumptions!$B$58*(IF(Assumptions!$B$59&gt;=1,AF360,0)+IF(Assumptions!$B$59&gt;=2,AE360*(1-Assumptions!$B$40),0))</f>
        <v/>
      </c>
      <c r="AG361" s="8">
        <f>(1-Pricing!$B$13)*Assumptions!$B$58*(IF(Assumptions!$B$59&gt;=1,AG360,0)+IF(Assumptions!$B$59&gt;=2,AF360*(1-Assumptions!$B$40),0))</f>
        <v/>
      </c>
      <c r="AH361" s="8">
        <f>(1-Pricing!$B$13)*Assumptions!$B$58*(IF(Assumptions!$B$59&gt;=1,AH360,0)+IF(Assumptions!$B$59&gt;=2,AG360*(1-Assumptions!$B$40),0))</f>
        <v/>
      </c>
      <c r="AI361" s="8">
        <f>(1-Pricing!$B$13)*Assumptions!$B$58*(IF(Assumptions!$B$59&gt;=1,AI360,0)+IF(Assumptions!$B$59&gt;=2,AH360*(1-Assumptions!$B$40),0))</f>
        <v/>
      </c>
      <c r="AJ361" s="8">
        <f>(1-Pricing!$B$13)*Assumptions!$B$58*(IF(Assumptions!$B$59&gt;=1,AJ360,0)+IF(Assumptions!$B$59&gt;=2,AI360*(1-Assumptions!$B$40),0))</f>
        <v/>
      </c>
      <c r="AK361" s="8">
        <f>(1-Pricing!$B$13)*Assumptions!$B$58*(IF(Assumptions!$B$59&gt;=1,AK360,0)+IF(Assumptions!$B$59&gt;=2,AJ360*(1-Assumptions!$B$40),0))</f>
        <v/>
      </c>
      <c r="AL361" s="8">
        <f>(1-Pricing!$B$13)*Assumptions!$B$58*(IF(Assumptions!$B$59&gt;=1,AL360,0)+IF(Assumptions!$B$59&gt;=2,AK360*(1-Assumptions!$B$40),0))</f>
        <v/>
      </c>
      <c r="AM361" s="8">
        <f>(1-Pricing!$B$13)*Assumptions!$B$58*(IF(Assumptions!$B$59&gt;=1,AM360,0)+IF(Assumptions!$B$59&gt;=2,AL360*(1-Assumptions!$B$40),0))</f>
        <v/>
      </c>
      <c r="AN361" s="8">
        <f>(1-Pricing!$B$13)*Assumptions!$B$58*(IF(Assumptions!$B$59&gt;=1,AN360,0)+IF(Assumptions!$B$59&gt;=2,AM360*(1-Assumptions!$B$40),0))</f>
        <v/>
      </c>
      <c r="AO361" s="8">
        <f>(1-Pricing!$B$13)*Assumptions!$B$58*(IF(Assumptions!$B$59&gt;=1,AO360,0)+IF(Assumptions!$B$59&gt;=2,AN360*(1-Assumptions!$B$40),0))</f>
        <v/>
      </c>
      <c r="AP361" s="8">
        <f>(1-Pricing!$B$13)*Assumptions!$B$58*(IF(Assumptions!$B$59&gt;=1,AP360,0)+IF(Assumptions!$B$59&gt;=2,AO360*(1-Assumptions!$B$40),0))</f>
        <v/>
      </c>
      <c r="AQ361" s="8">
        <f>(1-Pricing!$B$13)*Assumptions!$B$58*(IF(Assumptions!$B$59&gt;=1,AQ360,0)+IF(Assumptions!$B$59&gt;=2,AP360*(1-Assumptions!$B$40),0))</f>
        <v/>
      </c>
      <c r="AR361" s="8">
        <f>(1-Pricing!$B$13)*Assumptions!$B$58*(IF(Assumptions!$B$59&gt;=1,AR360,0)+IF(Assumptions!$B$59&gt;=2,AQ360*(1-Assumptions!$B$40),0))</f>
        <v/>
      </c>
      <c r="AS361" s="8">
        <f>(1-Pricing!$B$13)*Assumptions!$B$58*(IF(Assumptions!$B$59&gt;=1,AS360,0)+IF(Assumptions!$B$59&gt;=2,AR360*(1-Assumptions!$B$40),0))</f>
        <v/>
      </c>
      <c r="AT361" s="8">
        <f>(1-Pricing!$B$13)*Assumptions!$B$58*(IF(Assumptions!$B$59&gt;=1,AT360,0)+IF(Assumptions!$B$59&gt;=2,AS360*(1-Assumptions!$B$40),0))</f>
        <v/>
      </c>
      <c r="AU361" s="8">
        <f>(1-Pricing!$B$13)*Assumptions!$B$58*(IF(Assumptions!$B$59&gt;=1,AU360,0)+IF(Assumptions!$B$59&gt;=2,AT360*(1-Assumptions!$B$40),0))</f>
        <v/>
      </c>
      <c r="AV361" s="8">
        <f>(1-Pricing!$B$13)*Assumptions!$B$58*(IF(Assumptions!$B$59&gt;=1,AV360,0)+IF(Assumptions!$B$59&gt;=2,AU360*(1-Assumptions!$B$40),0))</f>
        <v/>
      </c>
      <c r="AW361" s="8">
        <f>(1-Pricing!$B$13)*Assumptions!$B$58*(IF(Assumptions!$B$59&gt;=1,AW360,0)+IF(Assumptions!$B$59&gt;=2,AV360*(1-Assumptions!$B$40),0))</f>
        <v/>
      </c>
      <c r="AX361" s="8">
        <f>(1-Pricing!$B$13)*Assumptions!$B$58*(IF(Assumptions!$B$59&gt;=1,AX360,0)+IF(Assumptions!$B$59&gt;=2,AW360*(1-Assumptions!$B$40),0))</f>
        <v/>
      </c>
      <c r="AY361" s="8">
        <f>(1-Pricing!$B$13)*Assumptions!$B$58*(IF(Assumptions!$B$59&gt;=1,AY360,0)+IF(Assumptions!$B$59&gt;=2,AX360*(1-Assumptions!$B$40),0))</f>
        <v/>
      </c>
      <c r="AZ361" s="8">
        <f>(1-Pricing!$B$13)*Assumptions!$B$58*(IF(Assumptions!$B$59&gt;=1,AZ360,0)+IF(Assumptions!$B$59&gt;=2,AY360*(1-Assumptions!$B$40),0))</f>
        <v/>
      </c>
      <c r="BA361" s="8">
        <f>(1-Pricing!$B$13)*Assumptions!$B$58*(IF(Assumptions!$B$59&gt;=1,BA360,0)+IF(Assumptions!$B$59&gt;=2,AZ360*(1-Assumptions!$B$40),0))</f>
        <v/>
      </c>
      <c r="BB361" s="8">
        <f>(1-Pricing!$B$13)*Assumptions!$B$58*(IF(Assumptions!$B$59&gt;=1,BB360,0)+IF(Assumptions!$B$59&gt;=2,BA360*(1-Assumptions!$B$40),0))</f>
        <v/>
      </c>
      <c r="BC361" s="8">
        <f>(1-Pricing!$B$13)*Assumptions!$B$58*(IF(Assumptions!$B$59&gt;=1,BC360,0)+IF(Assumptions!$B$59&gt;=2,BB360*(1-Assumptions!$B$40),0))</f>
        <v/>
      </c>
      <c r="BD361" s="8">
        <f>(1-Pricing!$B$13)*Assumptions!$B$58*(IF(Assumptions!$B$59&gt;=1,BD360,0)+IF(Assumptions!$B$59&gt;=2,BC360*(1-Assumptions!$B$40),0))</f>
        <v/>
      </c>
      <c r="BE361" s="8">
        <f>(1-Pricing!$B$13)*Assumptions!$B$58*(IF(Assumptions!$B$59&gt;=1,BE360,0)+IF(Assumptions!$B$59&gt;=2,BD360*(1-Assumptions!$B$40),0))</f>
        <v/>
      </c>
      <c r="BF361" s="8">
        <f>(1-Pricing!$B$13)*Assumptions!$B$58*(IF(Assumptions!$B$59&gt;=1,BF360,0)+IF(Assumptions!$B$59&gt;=2,BE360*(1-Assumptions!$B$40),0))</f>
        <v/>
      </c>
      <c r="BG361" s="8">
        <f>(1-Pricing!$B$13)*Assumptions!$B$58*(IF(Assumptions!$B$59&gt;=1,BG360,0)+IF(Assumptions!$B$59&gt;=2,BF360*(1-Assumptions!$B$40),0))</f>
        <v/>
      </c>
      <c r="BH361" s="8">
        <f>(1-Pricing!$B$13)*Assumptions!$B$58*(IF(Assumptions!$B$59&gt;=1,BH360,0)+IF(Assumptions!$B$59&gt;=2,BG360*(1-Assumptions!$B$40),0))</f>
        <v/>
      </c>
      <c r="BI361" s="8">
        <f>(1-Pricing!$B$13)*Assumptions!$B$58*(IF(Assumptions!$B$59&gt;=1,BI360,0)+IF(Assumptions!$B$59&gt;=2,BH360*(1-Assumptions!$B$40),0))</f>
        <v/>
      </c>
      <c r="BJ361" s="8">
        <f>(1-Pricing!$B$13)*Assumptions!$B$58*(IF(Assumptions!$B$59&gt;=1,BJ360,0)+IF(Assumptions!$B$59&gt;=2,BI360*(1-Assumptions!$B$40),0))</f>
        <v/>
      </c>
    </row>
    <row r="362">
      <c r="A362" s="4" t="inlineStr">
        <is>
          <t>Annual-plan Founding Members inside their 12 + bonus month term (list MRR): Nigeria</t>
        </is>
      </c>
      <c r="B362" s="17" t="inlineStr">
        <is>
          <t>R</t>
        </is>
      </c>
      <c r="C362" s="8">
        <f>C360*Pricing!$B$13</f>
        <v/>
      </c>
      <c r="D362" s="8">
        <f>C362+(D360-IF(Assumptions!$B$60=2,0,IF(Assumptions!$B$60=1,0,0)))*Pricing!$B$13</f>
        <v/>
      </c>
      <c r="E362" s="8">
        <f>D362+(E360-IF(Assumptions!$B$60=2,0,IF(Assumptions!$B$60=1,0,0)))*Pricing!$B$13</f>
        <v/>
      </c>
      <c r="F362" s="8">
        <f>E362+(F360-IF(Assumptions!$B$60=2,0,IF(Assumptions!$B$60=1,0,0)))*Pricing!$B$13</f>
        <v/>
      </c>
      <c r="G362" s="8">
        <f>F362+(G360-IF(Assumptions!$B$60=2,0,IF(Assumptions!$B$60=1,0,0)))*Pricing!$B$13</f>
        <v/>
      </c>
      <c r="H362" s="8">
        <f>G362+(H360-IF(Assumptions!$B$60=2,0,IF(Assumptions!$B$60=1,0,0)))*Pricing!$B$13</f>
        <v/>
      </c>
      <c r="I362" s="8">
        <f>H362+(I360-IF(Assumptions!$B$60=2,0,IF(Assumptions!$B$60=1,0,0)))*Pricing!$B$13</f>
        <v/>
      </c>
      <c r="J362" s="8">
        <f>I362+(J360-IF(Assumptions!$B$60=2,0,IF(Assumptions!$B$60=1,0,0)))*Pricing!$B$13</f>
        <v/>
      </c>
      <c r="K362" s="8">
        <f>J362+(K360-IF(Assumptions!$B$60=2,0,IF(Assumptions!$B$60=1,0,0)))*Pricing!$B$13</f>
        <v/>
      </c>
      <c r="L362" s="8">
        <f>K362+(L360-IF(Assumptions!$B$60=2,0,IF(Assumptions!$B$60=1,0,0)))*Pricing!$B$13</f>
        <v/>
      </c>
      <c r="M362" s="8">
        <f>L362+(M360-IF(Assumptions!$B$60=2,0,IF(Assumptions!$B$60=1,0,0)))*Pricing!$B$13</f>
        <v/>
      </c>
      <c r="N362" s="8">
        <f>M362+(N360-IF(Assumptions!$B$60=2,0,IF(Assumptions!$B$60=1,0,0)))*Pricing!$B$13</f>
        <v/>
      </c>
      <c r="O362" s="8">
        <f>N362+(O360-IF(Assumptions!$B$60=2,0,IF(Assumptions!$B$60=1,0,C360)))*Pricing!$B$13</f>
        <v/>
      </c>
      <c r="P362" s="8">
        <f>O362+(P360-IF(Assumptions!$B$60=2,0,IF(Assumptions!$B$60=1,C360,D360)))*Pricing!$B$13</f>
        <v/>
      </c>
      <c r="Q362" s="8">
        <f>P362+(Q360-IF(Assumptions!$B$60=2,C360,IF(Assumptions!$B$60=1,D360,E360)))*Pricing!$B$13</f>
        <v/>
      </c>
      <c r="R362" s="8">
        <f>Q362+(R360-IF(Assumptions!$B$60=2,D360,IF(Assumptions!$B$60=1,E360,F360)))*Pricing!$B$13</f>
        <v/>
      </c>
      <c r="S362" s="8">
        <f>R362+(S360-IF(Assumptions!$B$60=2,E360,IF(Assumptions!$B$60=1,F360,G360)))*Pricing!$B$13</f>
        <v/>
      </c>
      <c r="T362" s="8">
        <f>S362+(T360-IF(Assumptions!$B$60=2,F360,IF(Assumptions!$B$60=1,G360,H360)))*Pricing!$B$13</f>
        <v/>
      </c>
      <c r="U362" s="8">
        <f>T362+(U360-IF(Assumptions!$B$60=2,G360,IF(Assumptions!$B$60=1,H360,I360)))*Pricing!$B$13</f>
        <v/>
      </c>
      <c r="V362" s="8">
        <f>U362+(V360-IF(Assumptions!$B$60=2,H360,IF(Assumptions!$B$60=1,I360,J360)))*Pricing!$B$13</f>
        <v/>
      </c>
      <c r="W362" s="8">
        <f>V362+(W360-IF(Assumptions!$B$60=2,I360,IF(Assumptions!$B$60=1,J360,K360)))*Pricing!$B$13</f>
        <v/>
      </c>
      <c r="X362" s="8">
        <f>W362+(X360-IF(Assumptions!$B$60=2,J360,IF(Assumptions!$B$60=1,K360,L360)))*Pricing!$B$13</f>
        <v/>
      </c>
      <c r="Y362" s="8">
        <f>X362+(Y360-IF(Assumptions!$B$60=2,K360,IF(Assumptions!$B$60=1,L360,M360)))*Pricing!$B$13</f>
        <v/>
      </c>
      <c r="Z362" s="8">
        <f>Y362+(Z360-IF(Assumptions!$B$60=2,L360,IF(Assumptions!$B$60=1,M360,N360)))*Pricing!$B$13</f>
        <v/>
      </c>
      <c r="AA362" s="8">
        <f>Z362+(AA360-IF(Assumptions!$B$60=2,M360,IF(Assumptions!$B$60=1,N360,O360)))*Pricing!$B$13</f>
        <v/>
      </c>
      <c r="AB362" s="8">
        <f>AA362+(AB360-IF(Assumptions!$B$60=2,N360,IF(Assumptions!$B$60=1,O360,P360)))*Pricing!$B$13</f>
        <v/>
      </c>
      <c r="AC362" s="8">
        <f>AB362+(AC360-IF(Assumptions!$B$60=2,O360,IF(Assumptions!$B$60=1,P360,Q360)))*Pricing!$B$13</f>
        <v/>
      </c>
      <c r="AD362" s="8">
        <f>AC362+(AD360-IF(Assumptions!$B$60=2,P360,IF(Assumptions!$B$60=1,Q360,R360)))*Pricing!$B$13</f>
        <v/>
      </c>
      <c r="AE362" s="8">
        <f>AD362+(AE360-IF(Assumptions!$B$60=2,Q360,IF(Assumptions!$B$60=1,R360,S360)))*Pricing!$B$13</f>
        <v/>
      </c>
      <c r="AF362" s="8">
        <f>AE362+(AF360-IF(Assumptions!$B$60=2,R360,IF(Assumptions!$B$60=1,S360,T360)))*Pricing!$B$13</f>
        <v/>
      </c>
      <c r="AG362" s="8">
        <f>AF362+(AG360-IF(Assumptions!$B$60=2,S360,IF(Assumptions!$B$60=1,T360,U360)))*Pricing!$B$13</f>
        <v/>
      </c>
      <c r="AH362" s="8">
        <f>AG362+(AH360-IF(Assumptions!$B$60=2,T360,IF(Assumptions!$B$60=1,U360,V360)))*Pricing!$B$13</f>
        <v/>
      </c>
      <c r="AI362" s="8">
        <f>AH362+(AI360-IF(Assumptions!$B$60=2,U360,IF(Assumptions!$B$60=1,V360,W360)))*Pricing!$B$13</f>
        <v/>
      </c>
      <c r="AJ362" s="8">
        <f>AI362+(AJ360-IF(Assumptions!$B$60=2,V360,IF(Assumptions!$B$60=1,W360,X360)))*Pricing!$B$13</f>
        <v/>
      </c>
      <c r="AK362" s="8">
        <f>AJ362+(AK360-IF(Assumptions!$B$60=2,W360,IF(Assumptions!$B$60=1,X360,Y360)))*Pricing!$B$13</f>
        <v/>
      </c>
      <c r="AL362" s="8">
        <f>AK362+(AL360-IF(Assumptions!$B$60=2,X360,IF(Assumptions!$B$60=1,Y360,Z360)))*Pricing!$B$13</f>
        <v/>
      </c>
      <c r="AM362" s="8">
        <f>AL362+(AM360-IF(Assumptions!$B$60=2,Y360,IF(Assumptions!$B$60=1,Z360,AA360)))*Pricing!$B$13</f>
        <v/>
      </c>
      <c r="AN362" s="8">
        <f>AM362+(AN360-IF(Assumptions!$B$60=2,Z360,IF(Assumptions!$B$60=1,AA360,AB360)))*Pricing!$B$13</f>
        <v/>
      </c>
      <c r="AO362" s="8">
        <f>AN362+(AO360-IF(Assumptions!$B$60=2,AA360,IF(Assumptions!$B$60=1,AB360,AC360)))*Pricing!$B$13</f>
        <v/>
      </c>
      <c r="AP362" s="8">
        <f>AO362+(AP360-IF(Assumptions!$B$60=2,AB360,IF(Assumptions!$B$60=1,AC360,AD360)))*Pricing!$B$13</f>
        <v/>
      </c>
      <c r="AQ362" s="8">
        <f>AP362+(AQ360-IF(Assumptions!$B$60=2,AC360,IF(Assumptions!$B$60=1,AD360,AE360)))*Pricing!$B$13</f>
        <v/>
      </c>
      <c r="AR362" s="8">
        <f>AQ362+(AR360-IF(Assumptions!$B$60=2,AD360,IF(Assumptions!$B$60=1,AE360,AF360)))*Pricing!$B$13</f>
        <v/>
      </c>
      <c r="AS362" s="8">
        <f>AR362+(AS360-IF(Assumptions!$B$60=2,AE360,IF(Assumptions!$B$60=1,AF360,AG360)))*Pricing!$B$13</f>
        <v/>
      </c>
      <c r="AT362" s="8">
        <f>AS362+(AT360-IF(Assumptions!$B$60=2,AF360,IF(Assumptions!$B$60=1,AG360,AH360)))*Pricing!$B$13</f>
        <v/>
      </c>
      <c r="AU362" s="8">
        <f>AT362+(AU360-IF(Assumptions!$B$60=2,AG360,IF(Assumptions!$B$60=1,AH360,AI360)))*Pricing!$B$13</f>
        <v/>
      </c>
      <c r="AV362" s="8">
        <f>AU362+(AV360-IF(Assumptions!$B$60=2,AH360,IF(Assumptions!$B$60=1,AI360,AJ360)))*Pricing!$B$13</f>
        <v/>
      </c>
      <c r="AW362" s="8">
        <f>AV362+(AW360-IF(Assumptions!$B$60=2,AI360,IF(Assumptions!$B$60=1,AJ360,AK360)))*Pricing!$B$13</f>
        <v/>
      </c>
      <c r="AX362" s="8">
        <f>AW362+(AX360-IF(Assumptions!$B$60=2,AJ360,IF(Assumptions!$B$60=1,AK360,AL360)))*Pricing!$B$13</f>
        <v/>
      </c>
      <c r="AY362" s="8">
        <f>AX362+(AY360-IF(Assumptions!$B$60=2,AK360,IF(Assumptions!$B$60=1,AL360,AM360)))*Pricing!$B$13</f>
        <v/>
      </c>
      <c r="AZ362" s="8">
        <f>AY362+(AZ360-IF(Assumptions!$B$60=2,AL360,IF(Assumptions!$B$60=1,AM360,AN360)))*Pricing!$B$13</f>
        <v/>
      </c>
      <c r="BA362" s="8">
        <f>AZ362+(BA360-IF(Assumptions!$B$60=2,AM360,IF(Assumptions!$B$60=1,AN360,AO360)))*Pricing!$B$13</f>
        <v/>
      </c>
      <c r="BB362" s="8">
        <f>BA362+(BB360-IF(Assumptions!$B$60=2,AN360,IF(Assumptions!$B$60=1,AO360,AP360)))*Pricing!$B$13</f>
        <v/>
      </c>
      <c r="BC362" s="8">
        <f>BB362+(BC360-IF(Assumptions!$B$60=2,AO360,IF(Assumptions!$B$60=1,AP360,AQ360)))*Pricing!$B$13</f>
        <v/>
      </c>
      <c r="BD362" s="8">
        <f>BC362+(BD360-IF(Assumptions!$B$60=2,AP360,IF(Assumptions!$B$60=1,AQ360,AR360)))*Pricing!$B$13</f>
        <v/>
      </c>
      <c r="BE362" s="8">
        <f>BD362+(BE360-IF(Assumptions!$B$60=2,AQ360,IF(Assumptions!$B$60=1,AR360,AS360)))*Pricing!$B$13</f>
        <v/>
      </c>
      <c r="BF362" s="8">
        <f>BE362+(BF360-IF(Assumptions!$B$60=2,AR360,IF(Assumptions!$B$60=1,AS360,AT360)))*Pricing!$B$13</f>
        <v/>
      </c>
      <c r="BG362" s="8">
        <f>BF362+(BG360-IF(Assumptions!$B$60=2,AS360,IF(Assumptions!$B$60=1,AT360,AU360)))*Pricing!$B$13</f>
        <v/>
      </c>
      <c r="BH362" s="8">
        <f>BG362+(BH360-IF(Assumptions!$B$60=2,AT360,IF(Assumptions!$B$60=1,AU360,AV360)))*Pricing!$B$13</f>
        <v/>
      </c>
      <c r="BI362" s="8">
        <f>BH362+(BI360-IF(Assumptions!$B$60=2,AU360,IF(Assumptions!$B$60=1,AV360,AW360)))*Pricing!$B$13</f>
        <v/>
      </c>
      <c r="BJ362" s="8">
        <f>BI362+(BJ360-IF(Assumptions!$B$60=2,AV360,IF(Assumptions!$B$60=1,AW360,AX360)))*Pricing!$B$13</f>
        <v/>
      </c>
    </row>
    <row r="363">
      <c r="A363" s="4" t="inlineStr">
        <is>
          <t>Founding Member discount, annual plans (bonus months): Nigeria</t>
        </is>
      </c>
      <c r="B363" s="17" t="inlineStr">
        <is>
          <t>R</t>
        </is>
      </c>
      <c r="C363" s="8">
        <f>C362*Pricing!$B$14*(1/12-1/(12+Assumptions!$B$60))</f>
        <v/>
      </c>
      <c r="D363" s="8">
        <f>D362*Pricing!$B$14*(1/12-1/(12+Assumptions!$B$60))</f>
        <v/>
      </c>
      <c r="E363" s="8">
        <f>E362*Pricing!$B$14*(1/12-1/(12+Assumptions!$B$60))</f>
        <v/>
      </c>
      <c r="F363" s="8">
        <f>F362*Pricing!$B$14*(1/12-1/(12+Assumptions!$B$60))</f>
        <v/>
      </c>
      <c r="G363" s="8">
        <f>G362*Pricing!$B$14*(1/12-1/(12+Assumptions!$B$60))</f>
        <v/>
      </c>
      <c r="H363" s="8">
        <f>H362*Pricing!$B$14*(1/12-1/(12+Assumptions!$B$60))</f>
        <v/>
      </c>
      <c r="I363" s="8">
        <f>I362*Pricing!$B$14*(1/12-1/(12+Assumptions!$B$60))</f>
        <v/>
      </c>
      <c r="J363" s="8">
        <f>J362*Pricing!$B$14*(1/12-1/(12+Assumptions!$B$60))</f>
        <v/>
      </c>
      <c r="K363" s="8">
        <f>K362*Pricing!$B$14*(1/12-1/(12+Assumptions!$B$60))</f>
        <v/>
      </c>
      <c r="L363" s="8">
        <f>L362*Pricing!$B$14*(1/12-1/(12+Assumptions!$B$60))</f>
        <v/>
      </c>
      <c r="M363" s="8">
        <f>M362*Pricing!$B$14*(1/12-1/(12+Assumptions!$B$60))</f>
        <v/>
      </c>
      <c r="N363" s="8">
        <f>N362*Pricing!$B$14*(1/12-1/(12+Assumptions!$B$60))</f>
        <v/>
      </c>
      <c r="O363" s="8">
        <f>O362*Pricing!$B$14*(1/12-1/(12+Assumptions!$B$60))</f>
        <v/>
      </c>
      <c r="P363" s="8">
        <f>P362*Pricing!$B$14*(1/12-1/(12+Assumptions!$B$60))</f>
        <v/>
      </c>
      <c r="Q363" s="8">
        <f>Q362*Pricing!$B$14*(1/12-1/(12+Assumptions!$B$60))</f>
        <v/>
      </c>
      <c r="R363" s="8">
        <f>R362*Pricing!$B$14*(1/12-1/(12+Assumptions!$B$60))</f>
        <v/>
      </c>
      <c r="S363" s="8">
        <f>S362*Pricing!$B$14*(1/12-1/(12+Assumptions!$B$60))</f>
        <v/>
      </c>
      <c r="T363" s="8">
        <f>T362*Pricing!$B$14*(1/12-1/(12+Assumptions!$B$60))</f>
        <v/>
      </c>
      <c r="U363" s="8">
        <f>U362*Pricing!$B$14*(1/12-1/(12+Assumptions!$B$60))</f>
        <v/>
      </c>
      <c r="V363" s="8">
        <f>V362*Pricing!$B$14*(1/12-1/(12+Assumptions!$B$60))</f>
        <v/>
      </c>
      <c r="W363" s="8">
        <f>W362*Pricing!$B$14*(1/12-1/(12+Assumptions!$B$60))</f>
        <v/>
      </c>
      <c r="X363" s="8">
        <f>X362*Pricing!$B$14*(1/12-1/(12+Assumptions!$B$60))</f>
        <v/>
      </c>
      <c r="Y363" s="8">
        <f>Y362*Pricing!$B$14*(1/12-1/(12+Assumptions!$B$60))</f>
        <v/>
      </c>
      <c r="Z363" s="8">
        <f>Z362*Pricing!$B$14*(1/12-1/(12+Assumptions!$B$60))</f>
        <v/>
      </c>
      <c r="AA363" s="8">
        <f>AA362*Pricing!$B$14*(1/12-1/(12+Assumptions!$B$60))</f>
        <v/>
      </c>
      <c r="AB363" s="8">
        <f>AB362*Pricing!$B$14*(1/12-1/(12+Assumptions!$B$60))</f>
        <v/>
      </c>
      <c r="AC363" s="8">
        <f>AC362*Pricing!$B$14*(1/12-1/(12+Assumptions!$B$60))</f>
        <v/>
      </c>
      <c r="AD363" s="8">
        <f>AD362*Pricing!$B$14*(1/12-1/(12+Assumptions!$B$60))</f>
        <v/>
      </c>
      <c r="AE363" s="8">
        <f>AE362*Pricing!$B$14*(1/12-1/(12+Assumptions!$B$60))</f>
        <v/>
      </c>
      <c r="AF363" s="8">
        <f>AF362*Pricing!$B$14*(1/12-1/(12+Assumptions!$B$60))</f>
        <v/>
      </c>
      <c r="AG363" s="8">
        <f>AG362*Pricing!$B$14*(1/12-1/(12+Assumptions!$B$60))</f>
        <v/>
      </c>
      <c r="AH363" s="8">
        <f>AH362*Pricing!$B$14*(1/12-1/(12+Assumptions!$B$60))</f>
        <v/>
      </c>
      <c r="AI363" s="8">
        <f>AI362*Pricing!$B$14*(1/12-1/(12+Assumptions!$B$60))</f>
        <v/>
      </c>
      <c r="AJ363" s="8">
        <f>AJ362*Pricing!$B$14*(1/12-1/(12+Assumptions!$B$60))</f>
        <v/>
      </c>
      <c r="AK363" s="8">
        <f>AK362*Pricing!$B$14*(1/12-1/(12+Assumptions!$B$60))</f>
        <v/>
      </c>
      <c r="AL363" s="8">
        <f>AL362*Pricing!$B$14*(1/12-1/(12+Assumptions!$B$60))</f>
        <v/>
      </c>
      <c r="AM363" s="8">
        <f>AM362*Pricing!$B$14*(1/12-1/(12+Assumptions!$B$60))</f>
        <v/>
      </c>
      <c r="AN363" s="8">
        <f>AN362*Pricing!$B$14*(1/12-1/(12+Assumptions!$B$60))</f>
        <v/>
      </c>
      <c r="AO363" s="8">
        <f>AO362*Pricing!$B$14*(1/12-1/(12+Assumptions!$B$60))</f>
        <v/>
      </c>
      <c r="AP363" s="8">
        <f>AP362*Pricing!$B$14*(1/12-1/(12+Assumptions!$B$60))</f>
        <v/>
      </c>
      <c r="AQ363" s="8">
        <f>AQ362*Pricing!$B$14*(1/12-1/(12+Assumptions!$B$60))</f>
        <v/>
      </c>
      <c r="AR363" s="8">
        <f>AR362*Pricing!$B$14*(1/12-1/(12+Assumptions!$B$60))</f>
        <v/>
      </c>
      <c r="AS363" s="8">
        <f>AS362*Pricing!$B$14*(1/12-1/(12+Assumptions!$B$60))</f>
        <v/>
      </c>
      <c r="AT363" s="8">
        <f>AT362*Pricing!$B$14*(1/12-1/(12+Assumptions!$B$60))</f>
        <v/>
      </c>
      <c r="AU363" s="8">
        <f>AU362*Pricing!$B$14*(1/12-1/(12+Assumptions!$B$60))</f>
        <v/>
      </c>
      <c r="AV363" s="8">
        <f>AV362*Pricing!$B$14*(1/12-1/(12+Assumptions!$B$60))</f>
        <v/>
      </c>
      <c r="AW363" s="8">
        <f>AW362*Pricing!$B$14*(1/12-1/(12+Assumptions!$B$60))</f>
        <v/>
      </c>
      <c r="AX363" s="8">
        <f>AX362*Pricing!$B$14*(1/12-1/(12+Assumptions!$B$60))</f>
        <v/>
      </c>
      <c r="AY363" s="8">
        <f>AY362*Pricing!$B$14*(1/12-1/(12+Assumptions!$B$60))</f>
        <v/>
      </c>
      <c r="AZ363" s="8">
        <f>AZ362*Pricing!$B$14*(1/12-1/(12+Assumptions!$B$60))</f>
        <v/>
      </c>
      <c r="BA363" s="8">
        <f>BA362*Pricing!$B$14*(1/12-1/(12+Assumptions!$B$60))</f>
        <v/>
      </c>
      <c r="BB363" s="8">
        <f>BB362*Pricing!$B$14*(1/12-1/(12+Assumptions!$B$60))</f>
        <v/>
      </c>
      <c r="BC363" s="8">
        <f>BC362*Pricing!$B$14*(1/12-1/(12+Assumptions!$B$60))</f>
        <v/>
      </c>
      <c r="BD363" s="8">
        <f>BD362*Pricing!$B$14*(1/12-1/(12+Assumptions!$B$60))</f>
        <v/>
      </c>
      <c r="BE363" s="8">
        <f>BE362*Pricing!$B$14*(1/12-1/(12+Assumptions!$B$60))</f>
        <v/>
      </c>
      <c r="BF363" s="8">
        <f>BF362*Pricing!$B$14*(1/12-1/(12+Assumptions!$B$60))</f>
        <v/>
      </c>
      <c r="BG363" s="8">
        <f>BG362*Pricing!$B$14*(1/12-1/(12+Assumptions!$B$60))</f>
        <v/>
      </c>
      <c r="BH363" s="8">
        <f>BH362*Pricing!$B$14*(1/12-1/(12+Assumptions!$B$60))</f>
        <v/>
      </c>
      <c r="BI363" s="8">
        <f>BI362*Pricing!$B$14*(1/12-1/(12+Assumptions!$B$60))</f>
        <v/>
      </c>
      <c r="BJ363" s="8">
        <f>BJ362*Pricing!$B$14*(1/12-1/(12+Assumptions!$B$60))</f>
        <v/>
      </c>
    </row>
    <row r="364">
      <c r="A364" s="3" t="inlineStr">
        <is>
          <t>Founding Member discount: Nigeria</t>
        </is>
      </c>
      <c r="B364" s="17" t="inlineStr">
        <is>
          <t>R</t>
        </is>
      </c>
      <c r="C364" s="42">
        <f>C361+C363</f>
        <v/>
      </c>
      <c r="D364" s="42">
        <f>D361+D363</f>
        <v/>
      </c>
      <c r="E364" s="42">
        <f>E361+E363</f>
        <v/>
      </c>
      <c r="F364" s="42">
        <f>F361+F363</f>
        <v/>
      </c>
      <c r="G364" s="42">
        <f>G361+G363</f>
        <v/>
      </c>
      <c r="H364" s="42">
        <f>H361+H363</f>
        <v/>
      </c>
      <c r="I364" s="42">
        <f>I361+I363</f>
        <v/>
      </c>
      <c r="J364" s="42">
        <f>J361+J363</f>
        <v/>
      </c>
      <c r="K364" s="42">
        <f>K361+K363</f>
        <v/>
      </c>
      <c r="L364" s="42">
        <f>L361+L363</f>
        <v/>
      </c>
      <c r="M364" s="42">
        <f>M361+M363</f>
        <v/>
      </c>
      <c r="N364" s="42">
        <f>N361+N363</f>
        <v/>
      </c>
      <c r="O364" s="42">
        <f>O361+O363</f>
        <v/>
      </c>
      <c r="P364" s="42">
        <f>P361+P363</f>
        <v/>
      </c>
      <c r="Q364" s="42">
        <f>Q361+Q363</f>
        <v/>
      </c>
      <c r="R364" s="42">
        <f>R361+R363</f>
        <v/>
      </c>
      <c r="S364" s="42">
        <f>S361+S363</f>
        <v/>
      </c>
      <c r="T364" s="42">
        <f>T361+T363</f>
        <v/>
      </c>
      <c r="U364" s="42">
        <f>U361+U363</f>
        <v/>
      </c>
      <c r="V364" s="42">
        <f>V361+V363</f>
        <v/>
      </c>
      <c r="W364" s="42">
        <f>W361+W363</f>
        <v/>
      </c>
      <c r="X364" s="42">
        <f>X361+X363</f>
        <v/>
      </c>
      <c r="Y364" s="42">
        <f>Y361+Y363</f>
        <v/>
      </c>
      <c r="Z364" s="42">
        <f>Z361+Z363</f>
        <v/>
      </c>
      <c r="AA364" s="42">
        <f>AA361+AA363</f>
        <v/>
      </c>
      <c r="AB364" s="42">
        <f>AB361+AB363</f>
        <v/>
      </c>
      <c r="AC364" s="42">
        <f>AC361+AC363</f>
        <v/>
      </c>
      <c r="AD364" s="42">
        <f>AD361+AD363</f>
        <v/>
      </c>
      <c r="AE364" s="42">
        <f>AE361+AE363</f>
        <v/>
      </c>
      <c r="AF364" s="42">
        <f>AF361+AF363</f>
        <v/>
      </c>
      <c r="AG364" s="42">
        <f>AG361+AG363</f>
        <v/>
      </c>
      <c r="AH364" s="42">
        <f>AH361+AH363</f>
        <v/>
      </c>
      <c r="AI364" s="42">
        <f>AI361+AI363</f>
        <v/>
      </c>
      <c r="AJ364" s="42">
        <f>AJ361+AJ363</f>
        <v/>
      </c>
      <c r="AK364" s="42">
        <f>AK361+AK363</f>
        <v/>
      </c>
      <c r="AL364" s="42">
        <f>AL361+AL363</f>
        <v/>
      </c>
      <c r="AM364" s="42">
        <f>AM361+AM363</f>
        <v/>
      </c>
      <c r="AN364" s="42">
        <f>AN361+AN363</f>
        <v/>
      </c>
      <c r="AO364" s="42">
        <f>AO361+AO363</f>
        <v/>
      </c>
      <c r="AP364" s="42">
        <f>AP361+AP363</f>
        <v/>
      </c>
      <c r="AQ364" s="42">
        <f>AQ361+AQ363</f>
        <v/>
      </c>
      <c r="AR364" s="42">
        <f>AR361+AR363</f>
        <v/>
      </c>
      <c r="AS364" s="42">
        <f>AS361+AS363</f>
        <v/>
      </c>
      <c r="AT364" s="42">
        <f>AT361+AT363</f>
        <v/>
      </c>
      <c r="AU364" s="42">
        <f>AU361+AU363</f>
        <v/>
      </c>
      <c r="AV364" s="42">
        <f>AV361+AV363</f>
        <v/>
      </c>
      <c r="AW364" s="42">
        <f>AW361+AW363</f>
        <v/>
      </c>
      <c r="AX364" s="42">
        <f>AX361+AX363</f>
        <v/>
      </c>
      <c r="AY364" s="42">
        <f>AY361+AY363</f>
        <v/>
      </c>
      <c r="AZ364" s="42">
        <f>AZ361+AZ363</f>
        <v/>
      </c>
      <c r="BA364" s="42">
        <f>BA361+BA363</f>
        <v/>
      </c>
      <c r="BB364" s="42">
        <f>BB361+BB363</f>
        <v/>
      </c>
      <c r="BC364" s="42">
        <f>BC361+BC363</f>
        <v/>
      </c>
      <c r="BD364" s="42">
        <f>BD361+BD363</f>
        <v/>
      </c>
      <c r="BE364" s="42">
        <f>BE361+BE363</f>
        <v/>
      </c>
      <c r="BF364" s="42">
        <f>BF361+BF363</f>
        <v/>
      </c>
      <c r="BG364" s="42">
        <f>BG361+BG363</f>
        <v/>
      </c>
      <c r="BH364" s="42">
        <f>BH361+BH363</f>
        <v/>
      </c>
      <c r="BI364" s="42">
        <f>BI361+BI363</f>
        <v/>
      </c>
      <c r="BJ364" s="42">
        <f>BJ361+BJ363</f>
        <v/>
      </c>
    </row>
    <row r="365">
      <c r="A365" s="4" t="inlineStr">
        <is>
          <t>List MRR of new Solo &amp; SME sign-ups inside the launch window: Kenya</t>
        </is>
      </c>
      <c r="B365" s="17" t="inlineStr">
        <is>
          <t>R</t>
        </is>
      </c>
      <c r="C365" s="8">
        <f>C32*C307*C41*(C117*((1-Assumptions!$B$125)*Pricing!$D$31+Assumptions!$B$125*Pricing!$D$32)+C118*((1-Assumptions!$B$126)*Pricing!$D$32+Assumptions!$B$126*Pricing!$D$33))</f>
        <v/>
      </c>
      <c r="D365" s="8">
        <f>D32*D307*D41*(D117*((1-Assumptions!$B$125)*Pricing!$D$31+Assumptions!$B$125*Pricing!$D$32)+D118*((1-Assumptions!$B$126)*Pricing!$D$32+Assumptions!$B$126*Pricing!$D$33))</f>
        <v/>
      </c>
      <c r="E365" s="8">
        <f>E32*E307*E41*(E117*((1-Assumptions!$B$125)*Pricing!$D$31+Assumptions!$B$125*Pricing!$D$32)+E118*((1-Assumptions!$B$126)*Pricing!$D$32+Assumptions!$B$126*Pricing!$D$33))</f>
        <v/>
      </c>
      <c r="F365" s="8">
        <f>F32*F307*F41*(F117*((1-Assumptions!$B$125)*Pricing!$D$31+Assumptions!$B$125*Pricing!$D$32)+F118*((1-Assumptions!$B$126)*Pricing!$D$32+Assumptions!$B$126*Pricing!$D$33))</f>
        <v/>
      </c>
      <c r="G365" s="8">
        <f>G32*G307*G41*(G117*((1-Assumptions!$B$125)*Pricing!$D$31+Assumptions!$B$125*Pricing!$D$32)+G118*((1-Assumptions!$B$126)*Pricing!$D$32+Assumptions!$B$126*Pricing!$D$33))</f>
        <v/>
      </c>
      <c r="H365" s="8">
        <f>H32*H307*H41*(H117*((1-Assumptions!$B$125)*Pricing!$D$31+Assumptions!$B$125*Pricing!$D$32)+H118*((1-Assumptions!$B$126)*Pricing!$D$32+Assumptions!$B$126*Pricing!$D$33))</f>
        <v/>
      </c>
      <c r="I365" s="8">
        <f>I32*I307*I41*(I117*((1-Assumptions!$B$125)*Pricing!$D$31+Assumptions!$B$125*Pricing!$D$32)+I118*((1-Assumptions!$B$126)*Pricing!$D$32+Assumptions!$B$126*Pricing!$D$33))</f>
        <v/>
      </c>
      <c r="J365" s="8">
        <f>J32*J307*J41*(J117*((1-Assumptions!$B$125)*Pricing!$D$31+Assumptions!$B$125*Pricing!$D$32)+J118*((1-Assumptions!$B$126)*Pricing!$D$32+Assumptions!$B$126*Pricing!$D$33))</f>
        <v/>
      </c>
      <c r="K365" s="8">
        <f>K32*K307*K41*(K117*((1-Assumptions!$B$125)*Pricing!$D$31+Assumptions!$B$125*Pricing!$D$32)+K118*((1-Assumptions!$B$126)*Pricing!$D$32+Assumptions!$B$126*Pricing!$D$33))</f>
        <v/>
      </c>
      <c r="L365" s="8">
        <f>L32*L307*L41*(L117*((1-Assumptions!$B$125)*Pricing!$D$31+Assumptions!$B$125*Pricing!$D$32)+L118*((1-Assumptions!$B$126)*Pricing!$D$32+Assumptions!$B$126*Pricing!$D$33))</f>
        <v/>
      </c>
      <c r="M365" s="8">
        <f>M32*M307*M41*(M117*((1-Assumptions!$B$125)*Pricing!$D$31+Assumptions!$B$125*Pricing!$D$32)+M118*((1-Assumptions!$B$126)*Pricing!$D$32+Assumptions!$B$126*Pricing!$D$33))</f>
        <v/>
      </c>
      <c r="N365" s="8">
        <f>N32*N307*N41*(N117*((1-Assumptions!$B$125)*Pricing!$D$31+Assumptions!$B$125*Pricing!$D$32)+N118*((1-Assumptions!$B$126)*Pricing!$D$32+Assumptions!$B$126*Pricing!$D$33))</f>
        <v/>
      </c>
      <c r="O365" s="8">
        <f>O32*O307*O41*(O117*((1-Assumptions!$B$125)*Pricing!$D$31+Assumptions!$B$125*Pricing!$D$32)+O118*((1-Assumptions!$B$126)*Pricing!$D$32+Assumptions!$B$126*Pricing!$D$33))</f>
        <v/>
      </c>
      <c r="P365" s="8">
        <f>P32*P307*P41*(P117*((1-Assumptions!$B$125)*Pricing!$D$31+Assumptions!$B$125*Pricing!$D$32)+P118*((1-Assumptions!$B$126)*Pricing!$D$32+Assumptions!$B$126*Pricing!$D$33))</f>
        <v/>
      </c>
      <c r="Q365" s="8">
        <f>Q32*Q307*Q41*(Q117*((1-Assumptions!$B$125)*Pricing!$D$31+Assumptions!$B$125*Pricing!$D$32)+Q118*((1-Assumptions!$B$126)*Pricing!$D$32+Assumptions!$B$126*Pricing!$D$33))</f>
        <v/>
      </c>
      <c r="R365" s="8">
        <f>R32*R307*R41*(R117*((1-Assumptions!$B$125)*Pricing!$D$31+Assumptions!$B$125*Pricing!$D$32)+R118*((1-Assumptions!$B$126)*Pricing!$D$32+Assumptions!$B$126*Pricing!$D$33))</f>
        <v/>
      </c>
      <c r="S365" s="8">
        <f>S32*S307*S41*(S117*((1-Assumptions!$B$125)*Pricing!$D$31+Assumptions!$B$125*Pricing!$D$32)+S118*((1-Assumptions!$B$126)*Pricing!$D$32+Assumptions!$B$126*Pricing!$D$33))</f>
        <v/>
      </c>
      <c r="T365" s="8">
        <f>T32*T307*T41*(T117*((1-Assumptions!$B$125)*Pricing!$D$31+Assumptions!$B$125*Pricing!$D$32)+T118*((1-Assumptions!$B$126)*Pricing!$D$32+Assumptions!$B$126*Pricing!$D$33))</f>
        <v/>
      </c>
      <c r="U365" s="8">
        <f>U32*U307*U41*(U117*((1-Assumptions!$B$125)*Pricing!$D$31+Assumptions!$B$125*Pricing!$D$32)+U118*((1-Assumptions!$B$126)*Pricing!$D$32+Assumptions!$B$126*Pricing!$D$33))</f>
        <v/>
      </c>
      <c r="V365" s="8">
        <f>V32*V307*V41*(V117*((1-Assumptions!$B$125)*Pricing!$D$31+Assumptions!$B$125*Pricing!$D$32)+V118*((1-Assumptions!$B$126)*Pricing!$D$32+Assumptions!$B$126*Pricing!$D$33))</f>
        <v/>
      </c>
      <c r="W365" s="8">
        <f>W32*W307*W41*(W117*((1-Assumptions!$B$125)*Pricing!$D$31+Assumptions!$B$125*Pricing!$D$32)+W118*((1-Assumptions!$B$126)*Pricing!$D$32+Assumptions!$B$126*Pricing!$D$33))</f>
        <v/>
      </c>
      <c r="X365" s="8">
        <f>X32*X307*X41*(X117*((1-Assumptions!$B$125)*Pricing!$D$31+Assumptions!$B$125*Pricing!$D$32)+X118*((1-Assumptions!$B$126)*Pricing!$D$32+Assumptions!$B$126*Pricing!$D$33))</f>
        <v/>
      </c>
      <c r="Y365" s="8">
        <f>Y32*Y307*Y41*(Y117*((1-Assumptions!$B$125)*Pricing!$D$31+Assumptions!$B$125*Pricing!$D$32)+Y118*((1-Assumptions!$B$126)*Pricing!$D$32+Assumptions!$B$126*Pricing!$D$33))</f>
        <v/>
      </c>
      <c r="Z365" s="8">
        <f>Z32*Z307*Z41*(Z117*((1-Assumptions!$B$125)*Pricing!$D$31+Assumptions!$B$125*Pricing!$D$32)+Z118*((1-Assumptions!$B$126)*Pricing!$D$32+Assumptions!$B$126*Pricing!$D$33))</f>
        <v/>
      </c>
      <c r="AA365" s="8">
        <f>AA32*AA307*AA41*(AA117*((1-Assumptions!$B$125)*Pricing!$D$31+Assumptions!$B$125*Pricing!$D$32)+AA118*((1-Assumptions!$B$126)*Pricing!$D$32+Assumptions!$B$126*Pricing!$D$33))</f>
        <v/>
      </c>
      <c r="AB365" s="8">
        <f>AB32*AB307*AB41*(AB117*((1-Assumptions!$B$125)*Pricing!$D$31+Assumptions!$B$125*Pricing!$D$32)+AB118*((1-Assumptions!$B$126)*Pricing!$D$32+Assumptions!$B$126*Pricing!$D$33))</f>
        <v/>
      </c>
      <c r="AC365" s="8">
        <f>AC32*AC307*AC41*(AC117*((1-Assumptions!$B$125)*Pricing!$D$31+Assumptions!$B$125*Pricing!$D$32)+AC118*((1-Assumptions!$B$126)*Pricing!$D$32+Assumptions!$B$126*Pricing!$D$33))</f>
        <v/>
      </c>
      <c r="AD365" s="8">
        <f>AD32*AD307*AD41*(AD117*((1-Assumptions!$B$125)*Pricing!$D$31+Assumptions!$B$125*Pricing!$D$32)+AD118*((1-Assumptions!$B$126)*Pricing!$D$32+Assumptions!$B$126*Pricing!$D$33))</f>
        <v/>
      </c>
      <c r="AE365" s="8">
        <f>AE32*AE307*AE41*(AE117*((1-Assumptions!$B$125)*Pricing!$D$31+Assumptions!$B$125*Pricing!$D$32)+AE118*((1-Assumptions!$B$126)*Pricing!$D$32+Assumptions!$B$126*Pricing!$D$33))</f>
        <v/>
      </c>
      <c r="AF365" s="8">
        <f>AF32*AF307*AF41*(AF117*((1-Assumptions!$B$125)*Pricing!$D$31+Assumptions!$B$125*Pricing!$D$32)+AF118*((1-Assumptions!$B$126)*Pricing!$D$32+Assumptions!$B$126*Pricing!$D$33))</f>
        <v/>
      </c>
      <c r="AG365" s="8">
        <f>AG32*AG307*AG41*(AG117*((1-Assumptions!$B$125)*Pricing!$D$31+Assumptions!$B$125*Pricing!$D$32)+AG118*((1-Assumptions!$B$126)*Pricing!$D$32+Assumptions!$B$126*Pricing!$D$33))</f>
        <v/>
      </c>
      <c r="AH365" s="8">
        <f>AH32*AH307*AH41*(AH117*((1-Assumptions!$B$125)*Pricing!$D$31+Assumptions!$B$125*Pricing!$D$32)+AH118*((1-Assumptions!$B$126)*Pricing!$D$32+Assumptions!$B$126*Pricing!$D$33))</f>
        <v/>
      </c>
      <c r="AI365" s="8">
        <f>AI32*AI307*AI41*(AI117*((1-Assumptions!$B$125)*Pricing!$D$31+Assumptions!$B$125*Pricing!$D$32)+AI118*((1-Assumptions!$B$126)*Pricing!$D$32+Assumptions!$B$126*Pricing!$D$33))</f>
        <v/>
      </c>
      <c r="AJ365" s="8">
        <f>AJ32*AJ307*AJ41*(AJ117*((1-Assumptions!$B$125)*Pricing!$D$31+Assumptions!$B$125*Pricing!$D$32)+AJ118*((1-Assumptions!$B$126)*Pricing!$D$32+Assumptions!$B$126*Pricing!$D$33))</f>
        <v/>
      </c>
      <c r="AK365" s="8">
        <f>AK32*AK307*AK41*(AK117*((1-Assumptions!$B$125)*Pricing!$D$31+Assumptions!$B$125*Pricing!$D$32)+AK118*((1-Assumptions!$B$126)*Pricing!$D$32+Assumptions!$B$126*Pricing!$D$33))</f>
        <v/>
      </c>
      <c r="AL365" s="8">
        <f>AL32*AL307*AL41*(AL117*((1-Assumptions!$B$125)*Pricing!$D$31+Assumptions!$B$125*Pricing!$D$32)+AL118*((1-Assumptions!$B$126)*Pricing!$D$32+Assumptions!$B$126*Pricing!$D$33))</f>
        <v/>
      </c>
      <c r="AM365" s="8">
        <f>AM32*AM307*AM41*(AM117*((1-Assumptions!$B$125)*Pricing!$D$31+Assumptions!$B$125*Pricing!$D$32)+AM118*((1-Assumptions!$B$126)*Pricing!$D$32+Assumptions!$B$126*Pricing!$D$33))</f>
        <v/>
      </c>
      <c r="AN365" s="8">
        <f>AN32*AN307*AN41*(AN117*((1-Assumptions!$B$125)*Pricing!$D$31+Assumptions!$B$125*Pricing!$D$32)+AN118*((1-Assumptions!$B$126)*Pricing!$D$32+Assumptions!$B$126*Pricing!$D$33))</f>
        <v/>
      </c>
      <c r="AO365" s="8">
        <f>AO32*AO307*AO41*(AO117*((1-Assumptions!$B$125)*Pricing!$D$31+Assumptions!$B$125*Pricing!$D$32)+AO118*((1-Assumptions!$B$126)*Pricing!$D$32+Assumptions!$B$126*Pricing!$D$33))</f>
        <v/>
      </c>
      <c r="AP365" s="8">
        <f>AP32*AP307*AP41*(AP117*((1-Assumptions!$B$125)*Pricing!$D$31+Assumptions!$B$125*Pricing!$D$32)+AP118*((1-Assumptions!$B$126)*Pricing!$D$32+Assumptions!$B$126*Pricing!$D$33))</f>
        <v/>
      </c>
      <c r="AQ365" s="8">
        <f>AQ32*AQ307*AQ41*(AQ117*((1-Assumptions!$B$125)*Pricing!$D$31+Assumptions!$B$125*Pricing!$D$32)+AQ118*((1-Assumptions!$B$126)*Pricing!$D$32+Assumptions!$B$126*Pricing!$D$33))</f>
        <v/>
      </c>
      <c r="AR365" s="8">
        <f>AR32*AR307*AR41*(AR117*((1-Assumptions!$B$125)*Pricing!$D$31+Assumptions!$B$125*Pricing!$D$32)+AR118*((1-Assumptions!$B$126)*Pricing!$D$32+Assumptions!$B$126*Pricing!$D$33))</f>
        <v/>
      </c>
      <c r="AS365" s="8">
        <f>AS32*AS307*AS41*(AS117*((1-Assumptions!$B$125)*Pricing!$D$31+Assumptions!$B$125*Pricing!$D$32)+AS118*((1-Assumptions!$B$126)*Pricing!$D$32+Assumptions!$B$126*Pricing!$D$33))</f>
        <v/>
      </c>
      <c r="AT365" s="8">
        <f>AT32*AT307*AT41*(AT117*((1-Assumptions!$B$125)*Pricing!$D$31+Assumptions!$B$125*Pricing!$D$32)+AT118*((1-Assumptions!$B$126)*Pricing!$D$32+Assumptions!$B$126*Pricing!$D$33))</f>
        <v/>
      </c>
      <c r="AU365" s="8">
        <f>AU32*AU307*AU41*(AU117*((1-Assumptions!$B$125)*Pricing!$D$31+Assumptions!$B$125*Pricing!$D$32)+AU118*((1-Assumptions!$B$126)*Pricing!$D$32+Assumptions!$B$126*Pricing!$D$33))</f>
        <v/>
      </c>
      <c r="AV365" s="8">
        <f>AV32*AV307*AV41*(AV117*((1-Assumptions!$B$125)*Pricing!$D$31+Assumptions!$B$125*Pricing!$D$32)+AV118*((1-Assumptions!$B$126)*Pricing!$D$32+Assumptions!$B$126*Pricing!$D$33))</f>
        <v/>
      </c>
      <c r="AW365" s="8">
        <f>AW32*AW307*AW41*(AW117*((1-Assumptions!$B$125)*Pricing!$D$31+Assumptions!$B$125*Pricing!$D$32)+AW118*((1-Assumptions!$B$126)*Pricing!$D$32+Assumptions!$B$126*Pricing!$D$33))</f>
        <v/>
      </c>
      <c r="AX365" s="8">
        <f>AX32*AX307*AX41*(AX117*((1-Assumptions!$B$125)*Pricing!$D$31+Assumptions!$B$125*Pricing!$D$32)+AX118*((1-Assumptions!$B$126)*Pricing!$D$32+Assumptions!$B$126*Pricing!$D$33))</f>
        <v/>
      </c>
      <c r="AY365" s="8">
        <f>AY32*AY307*AY41*(AY117*((1-Assumptions!$B$125)*Pricing!$D$31+Assumptions!$B$125*Pricing!$D$32)+AY118*((1-Assumptions!$B$126)*Pricing!$D$32+Assumptions!$B$126*Pricing!$D$33))</f>
        <v/>
      </c>
      <c r="AZ365" s="8">
        <f>AZ32*AZ307*AZ41*(AZ117*((1-Assumptions!$B$125)*Pricing!$D$31+Assumptions!$B$125*Pricing!$D$32)+AZ118*((1-Assumptions!$B$126)*Pricing!$D$32+Assumptions!$B$126*Pricing!$D$33))</f>
        <v/>
      </c>
      <c r="BA365" s="8">
        <f>BA32*BA307*BA41*(BA117*((1-Assumptions!$B$125)*Pricing!$D$31+Assumptions!$B$125*Pricing!$D$32)+BA118*((1-Assumptions!$B$126)*Pricing!$D$32+Assumptions!$B$126*Pricing!$D$33))</f>
        <v/>
      </c>
      <c r="BB365" s="8">
        <f>BB32*BB307*BB41*(BB117*((1-Assumptions!$B$125)*Pricing!$D$31+Assumptions!$B$125*Pricing!$D$32)+BB118*((1-Assumptions!$B$126)*Pricing!$D$32+Assumptions!$B$126*Pricing!$D$33))</f>
        <v/>
      </c>
      <c r="BC365" s="8">
        <f>BC32*BC307*BC41*(BC117*((1-Assumptions!$B$125)*Pricing!$D$31+Assumptions!$B$125*Pricing!$D$32)+BC118*((1-Assumptions!$B$126)*Pricing!$D$32+Assumptions!$B$126*Pricing!$D$33))</f>
        <v/>
      </c>
      <c r="BD365" s="8">
        <f>BD32*BD307*BD41*(BD117*((1-Assumptions!$B$125)*Pricing!$D$31+Assumptions!$B$125*Pricing!$D$32)+BD118*((1-Assumptions!$B$126)*Pricing!$D$32+Assumptions!$B$126*Pricing!$D$33))</f>
        <v/>
      </c>
      <c r="BE365" s="8">
        <f>BE32*BE307*BE41*(BE117*((1-Assumptions!$B$125)*Pricing!$D$31+Assumptions!$B$125*Pricing!$D$32)+BE118*((1-Assumptions!$B$126)*Pricing!$D$32+Assumptions!$B$126*Pricing!$D$33))</f>
        <v/>
      </c>
      <c r="BF365" s="8">
        <f>BF32*BF307*BF41*(BF117*((1-Assumptions!$B$125)*Pricing!$D$31+Assumptions!$B$125*Pricing!$D$32)+BF118*((1-Assumptions!$B$126)*Pricing!$D$32+Assumptions!$B$126*Pricing!$D$33))</f>
        <v/>
      </c>
      <c r="BG365" s="8">
        <f>BG32*BG307*BG41*(BG117*((1-Assumptions!$B$125)*Pricing!$D$31+Assumptions!$B$125*Pricing!$D$32)+BG118*((1-Assumptions!$B$126)*Pricing!$D$32+Assumptions!$B$126*Pricing!$D$33))</f>
        <v/>
      </c>
      <c r="BH365" s="8">
        <f>BH32*BH307*BH41*(BH117*((1-Assumptions!$B$125)*Pricing!$D$31+Assumptions!$B$125*Pricing!$D$32)+BH118*((1-Assumptions!$B$126)*Pricing!$D$32+Assumptions!$B$126*Pricing!$D$33))</f>
        <v/>
      </c>
      <c r="BI365" s="8">
        <f>BI32*BI307*BI41*(BI117*((1-Assumptions!$B$125)*Pricing!$D$31+Assumptions!$B$125*Pricing!$D$32)+BI118*((1-Assumptions!$B$126)*Pricing!$D$32+Assumptions!$B$126*Pricing!$D$33))</f>
        <v/>
      </c>
      <c r="BJ365" s="8">
        <f>BJ32*BJ307*BJ41*(BJ117*((1-Assumptions!$B$125)*Pricing!$D$31+Assumptions!$B$125*Pricing!$D$32)+BJ118*((1-Assumptions!$B$126)*Pricing!$D$32+Assumptions!$B$126*Pricing!$D$33))</f>
        <v/>
      </c>
    </row>
    <row r="366">
      <c r="A366" s="4" t="inlineStr">
        <is>
          <t>Founding Member discount, monthly plans: Kenya</t>
        </is>
      </c>
      <c r="B366" s="17" t="inlineStr">
        <is>
          <t>R</t>
        </is>
      </c>
      <c r="C366" s="8">
        <f>(1-Pricing!$B$13)*Assumptions!$B$58*(IF(Assumptions!$B$59&gt;=1,C365,0)+IF(Assumptions!$B$59&gt;=2,0*(1-Assumptions!$B$40),0))</f>
        <v/>
      </c>
      <c r="D366" s="8">
        <f>(1-Pricing!$B$13)*Assumptions!$B$58*(IF(Assumptions!$B$59&gt;=1,D365,0)+IF(Assumptions!$B$59&gt;=2,C365*(1-Assumptions!$B$40),0))</f>
        <v/>
      </c>
      <c r="E366" s="8">
        <f>(1-Pricing!$B$13)*Assumptions!$B$58*(IF(Assumptions!$B$59&gt;=1,E365,0)+IF(Assumptions!$B$59&gt;=2,D365*(1-Assumptions!$B$40),0))</f>
        <v/>
      </c>
      <c r="F366" s="8">
        <f>(1-Pricing!$B$13)*Assumptions!$B$58*(IF(Assumptions!$B$59&gt;=1,F365,0)+IF(Assumptions!$B$59&gt;=2,E365*(1-Assumptions!$B$40),0))</f>
        <v/>
      </c>
      <c r="G366" s="8">
        <f>(1-Pricing!$B$13)*Assumptions!$B$58*(IF(Assumptions!$B$59&gt;=1,G365,0)+IF(Assumptions!$B$59&gt;=2,F365*(1-Assumptions!$B$40),0))</f>
        <v/>
      </c>
      <c r="H366" s="8">
        <f>(1-Pricing!$B$13)*Assumptions!$B$58*(IF(Assumptions!$B$59&gt;=1,H365,0)+IF(Assumptions!$B$59&gt;=2,G365*(1-Assumptions!$B$40),0))</f>
        <v/>
      </c>
      <c r="I366" s="8">
        <f>(1-Pricing!$B$13)*Assumptions!$B$58*(IF(Assumptions!$B$59&gt;=1,I365,0)+IF(Assumptions!$B$59&gt;=2,H365*(1-Assumptions!$B$40),0))</f>
        <v/>
      </c>
      <c r="J366" s="8">
        <f>(1-Pricing!$B$13)*Assumptions!$B$58*(IF(Assumptions!$B$59&gt;=1,J365,0)+IF(Assumptions!$B$59&gt;=2,I365*(1-Assumptions!$B$40),0))</f>
        <v/>
      </c>
      <c r="K366" s="8">
        <f>(1-Pricing!$B$13)*Assumptions!$B$58*(IF(Assumptions!$B$59&gt;=1,K365,0)+IF(Assumptions!$B$59&gt;=2,J365*(1-Assumptions!$B$40),0))</f>
        <v/>
      </c>
      <c r="L366" s="8">
        <f>(1-Pricing!$B$13)*Assumptions!$B$58*(IF(Assumptions!$B$59&gt;=1,L365,0)+IF(Assumptions!$B$59&gt;=2,K365*(1-Assumptions!$B$40),0))</f>
        <v/>
      </c>
      <c r="M366" s="8">
        <f>(1-Pricing!$B$13)*Assumptions!$B$58*(IF(Assumptions!$B$59&gt;=1,M365,0)+IF(Assumptions!$B$59&gt;=2,L365*(1-Assumptions!$B$40),0))</f>
        <v/>
      </c>
      <c r="N366" s="8">
        <f>(1-Pricing!$B$13)*Assumptions!$B$58*(IF(Assumptions!$B$59&gt;=1,N365,0)+IF(Assumptions!$B$59&gt;=2,M365*(1-Assumptions!$B$40),0))</f>
        <v/>
      </c>
      <c r="O366" s="8">
        <f>(1-Pricing!$B$13)*Assumptions!$B$58*(IF(Assumptions!$B$59&gt;=1,O365,0)+IF(Assumptions!$B$59&gt;=2,N365*(1-Assumptions!$B$40),0))</f>
        <v/>
      </c>
      <c r="P366" s="8">
        <f>(1-Pricing!$B$13)*Assumptions!$B$58*(IF(Assumptions!$B$59&gt;=1,P365,0)+IF(Assumptions!$B$59&gt;=2,O365*(1-Assumptions!$B$40),0))</f>
        <v/>
      </c>
      <c r="Q366" s="8">
        <f>(1-Pricing!$B$13)*Assumptions!$B$58*(IF(Assumptions!$B$59&gt;=1,Q365,0)+IF(Assumptions!$B$59&gt;=2,P365*(1-Assumptions!$B$40),0))</f>
        <v/>
      </c>
      <c r="R366" s="8">
        <f>(1-Pricing!$B$13)*Assumptions!$B$58*(IF(Assumptions!$B$59&gt;=1,R365,0)+IF(Assumptions!$B$59&gt;=2,Q365*(1-Assumptions!$B$40),0))</f>
        <v/>
      </c>
      <c r="S366" s="8">
        <f>(1-Pricing!$B$13)*Assumptions!$B$58*(IF(Assumptions!$B$59&gt;=1,S365,0)+IF(Assumptions!$B$59&gt;=2,R365*(1-Assumptions!$B$40),0))</f>
        <v/>
      </c>
      <c r="T366" s="8">
        <f>(1-Pricing!$B$13)*Assumptions!$B$58*(IF(Assumptions!$B$59&gt;=1,T365,0)+IF(Assumptions!$B$59&gt;=2,S365*(1-Assumptions!$B$40),0))</f>
        <v/>
      </c>
      <c r="U366" s="8">
        <f>(1-Pricing!$B$13)*Assumptions!$B$58*(IF(Assumptions!$B$59&gt;=1,U365,0)+IF(Assumptions!$B$59&gt;=2,T365*(1-Assumptions!$B$40),0))</f>
        <v/>
      </c>
      <c r="V366" s="8">
        <f>(1-Pricing!$B$13)*Assumptions!$B$58*(IF(Assumptions!$B$59&gt;=1,V365,0)+IF(Assumptions!$B$59&gt;=2,U365*(1-Assumptions!$B$40),0))</f>
        <v/>
      </c>
      <c r="W366" s="8">
        <f>(1-Pricing!$B$13)*Assumptions!$B$58*(IF(Assumptions!$B$59&gt;=1,W365,0)+IF(Assumptions!$B$59&gt;=2,V365*(1-Assumptions!$B$40),0))</f>
        <v/>
      </c>
      <c r="X366" s="8">
        <f>(1-Pricing!$B$13)*Assumptions!$B$58*(IF(Assumptions!$B$59&gt;=1,X365,0)+IF(Assumptions!$B$59&gt;=2,W365*(1-Assumptions!$B$40),0))</f>
        <v/>
      </c>
      <c r="Y366" s="8">
        <f>(1-Pricing!$B$13)*Assumptions!$B$58*(IF(Assumptions!$B$59&gt;=1,Y365,0)+IF(Assumptions!$B$59&gt;=2,X365*(1-Assumptions!$B$40),0))</f>
        <v/>
      </c>
      <c r="Z366" s="8">
        <f>(1-Pricing!$B$13)*Assumptions!$B$58*(IF(Assumptions!$B$59&gt;=1,Z365,0)+IF(Assumptions!$B$59&gt;=2,Y365*(1-Assumptions!$B$40),0))</f>
        <v/>
      </c>
      <c r="AA366" s="8">
        <f>(1-Pricing!$B$13)*Assumptions!$B$58*(IF(Assumptions!$B$59&gt;=1,AA365,0)+IF(Assumptions!$B$59&gt;=2,Z365*(1-Assumptions!$B$40),0))</f>
        <v/>
      </c>
      <c r="AB366" s="8">
        <f>(1-Pricing!$B$13)*Assumptions!$B$58*(IF(Assumptions!$B$59&gt;=1,AB365,0)+IF(Assumptions!$B$59&gt;=2,AA365*(1-Assumptions!$B$40),0))</f>
        <v/>
      </c>
      <c r="AC366" s="8">
        <f>(1-Pricing!$B$13)*Assumptions!$B$58*(IF(Assumptions!$B$59&gt;=1,AC365,0)+IF(Assumptions!$B$59&gt;=2,AB365*(1-Assumptions!$B$40),0))</f>
        <v/>
      </c>
      <c r="AD366" s="8">
        <f>(1-Pricing!$B$13)*Assumptions!$B$58*(IF(Assumptions!$B$59&gt;=1,AD365,0)+IF(Assumptions!$B$59&gt;=2,AC365*(1-Assumptions!$B$40),0))</f>
        <v/>
      </c>
      <c r="AE366" s="8">
        <f>(1-Pricing!$B$13)*Assumptions!$B$58*(IF(Assumptions!$B$59&gt;=1,AE365,0)+IF(Assumptions!$B$59&gt;=2,AD365*(1-Assumptions!$B$40),0))</f>
        <v/>
      </c>
      <c r="AF366" s="8">
        <f>(1-Pricing!$B$13)*Assumptions!$B$58*(IF(Assumptions!$B$59&gt;=1,AF365,0)+IF(Assumptions!$B$59&gt;=2,AE365*(1-Assumptions!$B$40),0))</f>
        <v/>
      </c>
      <c r="AG366" s="8">
        <f>(1-Pricing!$B$13)*Assumptions!$B$58*(IF(Assumptions!$B$59&gt;=1,AG365,0)+IF(Assumptions!$B$59&gt;=2,AF365*(1-Assumptions!$B$40),0))</f>
        <v/>
      </c>
      <c r="AH366" s="8">
        <f>(1-Pricing!$B$13)*Assumptions!$B$58*(IF(Assumptions!$B$59&gt;=1,AH365,0)+IF(Assumptions!$B$59&gt;=2,AG365*(1-Assumptions!$B$40),0))</f>
        <v/>
      </c>
      <c r="AI366" s="8">
        <f>(1-Pricing!$B$13)*Assumptions!$B$58*(IF(Assumptions!$B$59&gt;=1,AI365,0)+IF(Assumptions!$B$59&gt;=2,AH365*(1-Assumptions!$B$40),0))</f>
        <v/>
      </c>
      <c r="AJ366" s="8">
        <f>(1-Pricing!$B$13)*Assumptions!$B$58*(IF(Assumptions!$B$59&gt;=1,AJ365,0)+IF(Assumptions!$B$59&gt;=2,AI365*(1-Assumptions!$B$40),0))</f>
        <v/>
      </c>
      <c r="AK366" s="8">
        <f>(1-Pricing!$B$13)*Assumptions!$B$58*(IF(Assumptions!$B$59&gt;=1,AK365,0)+IF(Assumptions!$B$59&gt;=2,AJ365*(1-Assumptions!$B$40),0))</f>
        <v/>
      </c>
      <c r="AL366" s="8">
        <f>(1-Pricing!$B$13)*Assumptions!$B$58*(IF(Assumptions!$B$59&gt;=1,AL365,0)+IF(Assumptions!$B$59&gt;=2,AK365*(1-Assumptions!$B$40),0))</f>
        <v/>
      </c>
      <c r="AM366" s="8">
        <f>(1-Pricing!$B$13)*Assumptions!$B$58*(IF(Assumptions!$B$59&gt;=1,AM365,0)+IF(Assumptions!$B$59&gt;=2,AL365*(1-Assumptions!$B$40),0))</f>
        <v/>
      </c>
      <c r="AN366" s="8">
        <f>(1-Pricing!$B$13)*Assumptions!$B$58*(IF(Assumptions!$B$59&gt;=1,AN365,0)+IF(Assumptions!$B$59&gt;=2,AM365*(1-Assumptions!$B$40),0))</f>
        <v/>
      </c>
      <c r="AO366" s="8">
        <f>(1-Pricing!$B$13)*Assumptions!$B$58*(IF(Assumptions!$B$59&gt;=1,AO365,0)+IF(Assumptions!$B$59&gt;=2,AN365*(1-Assumptions!$B$40),0))</f>
        <v/>
      </c>
      <c r="AP366" s="8">
        <f>(1-Pricing!$B$13)*Assumptions!$B$58*(IF(Assumptions!$B$59&gt;=1,AP365,0)+IF(Assumptions!$B$59&gt;=2,AO365*(1-Assumptions!$B$40),0))</f>
        <v/>
      </c>
      <c r="AQ366" s="8">
        <f>(1-Pricing!$B$13)*Assumptions!$B$58*(IF(Assumptions!$B$59&gt;=1,AQ365,0)+IF(Assumptions!$B$59&gt;=2,AP365*(1-Assumptions!$B$40),0))</f>
        <v/>
      </c>
      <c r="AR366" s="8">
        <f>(1-Pricing!$B$13)*Assumptions!$B$58*(IF(Assumptions!$B$59&gt;=1,AR365,0)+IF(Assumptions!$B$59&gt;=2,AQ365*(1-Assumptions!$B$40),0))</f>
        <v/>
      </c>
      <c r="AS366" s="8">
        <f>(1-Pricing!$B$13)*Assumptions!$B$58*(IF(Assumptions!$B$59&gt;=1,AS365,0)+IF(Assumptions!$B$59&gt;=2,AR365*(1-Assumptions!$B$40),0))</f>
        <v/>
      </c>
      <c r="AT366" s="8">
        <f>(1-Pricing!$B$13)*Assumptions!$B$58*(IF(Assumptions!$B$59&gt;=1,AT365,0)+IF(Assumptions!$B$59&gt;=2,AS365*(1-Assumptions!$B$40),0))</f>
        <v/>
      </c>
      <c r="AU366" s="8">
        <f>(1-Pricing!$B$13)*Assumptions!$B$58*(IF(Assumptions!$B$59&gt;=1,AU365,0)+IF(Assumptions!$B$59&gt;=2,AT365*(1-Assumptions!$B$40),0))</f>
        <v/>
      </c>
      <c r="AV366" s="8">
        <f>(1-Pricing!$B$13)*Assumptions!$B$58*(IF(Assumptions!$B$59&gt;=1,AV365,0)+IF(Assumptions!$B$59&gt;=2,AU365*(1-Assumptions!$B$40),0))</f>
        <v/>
      </c>
      <c r="AW366" s="8">
        <f>(1-Pricing!$B$13)*Assumptions!$B$58*(IF(Assumptions!$B$59&gt;=1,AW365,0)+IF(Assumptions!$B$59&gt;=2,AV365*(1-Assumptions!$B$40),0))</f>
        <v/>
      </c>
      <c r="AX366" s="8">
        <f>(1-Pricing!$B$13)*Assumptions!$B$58*(IF(Assumptions!$B$59&gt;=1,AX365,0)+IF(Assumptions!$B$59&gt;=2,AW365*(1-Assumptions!$B$40),0))</f>
        <v/>
      </c>
      <c r="AY366" s="8">
        <f>(1-Pricing!$B$13)*Assumptions!$B$58*(IF(Assumptions!$B$59&gt;=1,AY365,0)+IF(Assumptions!$B$59&gt;=2,AX365*(1-Assumptions!$B$40),0))</f>
        <v/>
      </c>
      <c r="AZ366" s="8">
        <f>(1-Pricing!$B$13)*Assumptions!$B$58*(IF(Assumptions!$B$59&gt;=1,AZ365,0)+IF(Assumptions!$B$59&gt;=2,AY365*(1-Assumptions!$B$40),0))</f>
        <v/>
      </c>
      <c r="BA366" s="8">
        <f>(1-Pricing!$B$13)*Assumptions!$B$58*(IF(Assumptions!$B$59&gt;=1,BA365,0)+IF(Assumptions!$B$59&gt;=2,AZ365*(1-Assumptions!$B$40),0))</f>
        <v/>
      </c>
      <c r="BB366" s="8">
        <f>(1-Pricing!$B$13)*Assumptions!$B$58*(IF(Assumptions!$B$59&gt;=1,BB365,0)+IF(Assumptions!$B$59&gt;=2,BA365*(1-Assumptions!$B$40),0))</f>
        <v/>
      </c>
      <c r="BC366" s="8">
        <f>(1-Pricing!$B$13)*Assumptions!$B$58*(IF(Assumptions!$B$59&gt;=1,BC365,0)+IF(Assumptions!$B$59&gt;=2,BB365*(1-Assumptions!$B$40),0))</f>
        <v/>
      </c>
      <c r="BD366" s="8">
        <f>(1-Pricing!$B$13)*Assumptions!$B$58*(IF(Assumptions!$B$59&gt;=1,BD365,0)+IF(Assumptions!$B$59&gt;=2,BC365*(1-Assumptions!$B$40),0))</f>
        <v/>
      </c>
      <c r="BE366" s="8">
        <f>(1-Pricing!$B$13)*Assumptions!$B$58*(IF(Assumptions!$B$59&gt;=1,BE365,0)+IF(Assumptions!$B$59&gt;=2,BD365*(1-Assumptions!$B$40),0))</f>
        <v/>
      </c>
      <c r="BF366" s="8">
        <f>(1-Pricing!$B$13)*Assumptions!$B$58*(IF(Assumptions!$B$59&gt;=1,BF365,0)+IF(Assumptions!$B$59&gt;=2,BE365*(1-Assumptions!$B$40),0))</f>
        <v/>
      </c>
      <c r="BG366" s="8">
        <f>(1-Pricing!$B$13)*Assumptions!$B$58*(IF(Assumptions!$B$59&gt;=1,BG365,0)+IF(Assumptions!$B$59&gt;=2,BF365*(1-Assumptions!$B$40),0))</f>
        <v/>
      </c>
      <c r="BH366" s="8">
        <f>(1-Pricing!$B$13)*Assumptions!$B$58*(IF(Assumptions!$B$59&gt;=1,BH365,0)+IF(Assumptions!$B$59&gt;=2,BG365*(1-Assumptions!$B$40),0))</f>
        <v/>
      </c>
      <c r="BI366" s="8">
        <f>(1-Pricing!$B$13)*Assumptions!$B$58*(IF(Assumptions!$B$59&gt;=1,BI365,0)+IF(Assumptions!$B$59&gt;=2,BH365*(1-Assumptions!$B$40),0))</f>
        <v/>
      </c>
      <c r="BJ366" s="8">
        <f>(1-Pricing!$B$13)*Assumptions!$B$58*(IF(Assumptions!$B$59&gt;=1,BJ365,0)+IF(Assumptions!$B$59&gt;=2,BI365*(1-Assumptions!$B$40),0))</f>
        <v/>
      </c>
    </row>
    <row r="367">
      <c r="A367" s="4" t="inlineStr">
        <is>
          <t>Annual-plan Founding Members inside their 12 + bonus month term (list MRR): Kenya</t>
        </is>
      </c>
      <c r="B367" s="17" t="inlineStr">
        <is>
          <t>R</t>
        </is>
      </c>
      <c r="C367" s="8">
        <f>C365*Pricing!$B$13</f>
        <v/>
      </c>
      <c r="D367" s="8">
        <f>C367+(D365-IF(Assumptions!$B$60=2,0,IF(Assumptions!$B$60=1,0,0)))*Pricing!$B$13</f>
        <v/>
      </c>
      <c r="E367" s="8">
        <f>D367+(E365-IF(Assumptions!$B$60=2,0,IF(Assumptions!$B$60=1,0,0)))*Pricing!$B$13</f>
        <v/>
      </c>
      <c r="F367" s="8">
        <f>E367+(F365-IF(Assumptions!$B$60=2,0,IF(Assumptions!$B$60=1,0,0)))*Pricing!$B$13</f>
        <v/>
      </c>
      <c r="G367" s="8">
        <f>F367+(G365-IF(Assumptions!$B$60=2,0,IF(Assumptions!$B$60=1,0,0)))*Pricing!$B$13</f>
        <v/>
      </c>
      <c r="H367" s="8">
        <f>G367+(H365-IF(Assumptions!$B$60=2,0,IF(Assumptions!$B$60=1,0,0)))*Pricing!$B$13</f>
        <v/>
      </c>
      <c r="I367" s="8">
        <f>H367+(I365-IF(Assumptions!$B$60=2,0,IF(Assumptions!$B$60=1,0,0)))*Pricing!$B$13</f>
        <v/>
      </c>
      <c r="J367" s="8">
        <f>I367+(J365-IF(Assumptions!$B$60=2,0,IF(Assumptions!$B$60=1,0,0)))*Pricing!$B$13</f>
        <v/>
      </c>
      <c r="K367" s="8">
        <f>J367+(K365-IF(Assumptions!$B$60=2,0,IF(Assumptions!$B$60=1,0,0)))*Pricing!$B$13</f>
        <v/>
      </c>
      <c r="L367" s="8">
        <f>K367+(L365-IF(Assumptions!$B$60=2,0,IF(Assumptions!$B$60=1,0,0)))*Pricing!$B$13</f>
        <v/>
      </c>
      <c r="M367" s="8">
        <f>L367+(M365-IF(Assumptions!$B$60=2,0,IF(Assumptions!$B$60=1,0,0)))*Pricing!$B$13</f>
        <v/>
      </c>
      <c r="N367" s="8">
        <f>M367+(N365-IF(Assumptions!$B$60=2,0,IF(Assumptions!$B$60=1,0,0)))*Pricing!$B$13</f>
        <v/>
      </c>
      <c r="O367" s="8">
        <f>N367+(O365-IF(Assumptions!$B$60=2,0,IF(Assumptions!$B$60=1,0,C365)))*Pricing!$B$13</f>
        <v/>
      </c>
      <c r="P367" s="8">
        <f>O367+(P365-IF(Assumptions!$B$60=2,0,IF(Assumptions!$B$60=1,C365,D365)))*Pricing!$B$13</f>
        <v/>
      </c>
      <c r="Q367" s="8">
        <f>P367+(Q365-IF(Assumptions!$B$60=2,C365,IF(Assumptions!$B$60=1,D365,E365)))*Pricing!$B$13</f>
        <v/>
      </c>
      <c r="R367" s="8">
        <f>Q367+(R365-IF(Assumptions!$B$60=2,D365,IF(Assumptions!$B$60=1,E365,F365)))*Pricing!$B$13</f>
        <v/>
      </c>
      <c r="S367" s="8">
        <f>R367+(S365-IF(Assumptions!$B$60=2,E365,IF(Assumptions!$B$60=1,F365,G365)))*Pricing!$B$13</f>
        <v/>
      </c>
      <c r="T367" s="8">
        <f>S367+(T365-IF(Assumptions!$B$60=2,F365,IF(Assumptions!$B$60=1,G365,H365)))*Pricing!$B$13</f>
        <v/>
      </c>
      <c r="U367" s="8">
        <f>T367+(U365-IF(Assumptions!$B$60=2,G365,IF(Assumptions!$B$60=1,H365,I365)))*Pricing!$B$13</f>
        <v/>
      </c>
      <c r="V367" s="8">
        <f>U367+(V365-IF(Assumptions!$B$60=2,H365,IF(Assumptions!$B$60=1,I365,J365)))*Pricing!$B$13</f>
        <v/>
      </c>
      <c r="W367" s="8">
        <f>V367+(W365-IF(Assumptions!$B$60=2,I365,IF(Assumptions!$B$60=1,J365,K365)))*Pricing!$B$13</f>
        <v/>
      </c>
      <c r="X367" s="8">
        <f>W367+(X365-IF(Assumptions!$B$60=2,J365,IF(Assumptions!$B$60=1,K365,L365)))*Pricing!$B$13</f>
        <v/>
      </c>
      <c r="Y367" s="8">
        <f>X367+(Y365-IF(Assumptions!$B$60=2,K365,IF(Assumptions!$B$60=1,L365,M365)))*Pricing!$B$13</f>
        <v/>
      </c>
      <c r="Z367" s="8">
        <f>Y367+(Z365-IF(Assumptions!$B$60=2,L365,IF(Assumptions!$B$60=1,M365,N365)))*Pricing!$B$13</f>
        <v/>
      </c>
      <c r="AA367" s="8">
        <f>Z367+(AA365-IF(Assumptions!$B$60=2,M365,IF(Assumptions!$B$60=1,N365,O365)))*Pricing!$B$13</f>
        <v/>
      </c>
      <c r="AB367" s="8">
        <f>AA367+(AB365-IF(Assumptions!$B$60=2,N365,IF(Assumptions!$B$60=1,O365,P365)))*Pricing!$B$13</f>
        <v/>
      </c>
      <c r="AC367" s="8">
        <f>AB367+(AC365-IF(Assumptions!$B$60=2,O365,IF(Assumptions!$B$60=1,P365,Q365)))*Pricing!$B$13</f>
        <v/>
      </c>
      <c r="AD367" s="8">
        <f>AC367+(AD365-IF(Assumptions!$B$60=2,P365,IF(Assumptions!$B$60=1,Q365,R365)))*Pricing!$B$13</f>
        <v/>
      </c>
      <c r="AE367" s="8">
        <f>AD367+(AE365-IF(Assumptions!$B$60=2,Q365,IF(Assumptions!$B$60=1,R365,S365)))*Pricing!$B$13</f>
        <v/>
      </c>
      <c r="AF367" s="8">
        <f>AE367+(AF365-IF(Assumptions!$B$60=2,R365,IF(Assumptions!$B$60=1,S365,T365)))*Pricing!$B$13</f>
        <v/>
      </c>
      <c r="AG367" s="8">
        <f>AF367+(AG365-IF(Assumptions!$B$60=2,S365,IF(Assumptions!$B$60=1,T365,U365)))*Pricing!$B$13</f>
        <v/>
      </c>
      <c r="AH367" s="8">
        <f>AG367+(AH365-IF(Assumptions!$B$60=2,T365,IF(Assumptions!$B$60=1,U365,V365)))*Pricing!$B$13</f>
        <v/>
      </c>
      <c r="AI367" s="8">
        <f>AH367+(AI365-IF(Assumptions!$B$60=2,U365,IF(Assumptions!$B$60=1,V365,W365)))*Pricing!$B$13</f>
        <v/>
      </c>
      <c r="AJ367" s="8">
        <f>AI367+(AJ365-IF(Assumptions!$B$60=2,V365,IF(Assumptions!$B$60=1,W365,X365)))*Pricing!$B$13</f>
        <v/>
      </c>
      <c r="AK367" s="8">
        <f>AJ367+(AK365-IF(Assumptions!$B$60=2,W365,IF(Assumptions!$B$60=1,X365,Y365)))*Pricing!$B$13</f>
        <v/>
      </c>
      <c r="AL367" s="8">
        <f>AK367+(AL365-IF(Assumptions!$B$60=2,X365,IF(Assumptions!$B$60=1,Y365,Z365)))*Pricing!$B$13</f>
        <v/>
      </c>
      <c r="AM367" s="8">
        <f>AL367+(AM365-IF(Assumptions!$B$60=2,Y365,IF(Assumptions!$B$60=1,Z365,AA365)))*Pricing!$B$13</f>
        <v/>
      </c>
      <c r="AN367" s="8">
        <f>AM367+(AN365-IF(Assumptions!$B$60=2,Z365,IF(Assumptions!$B$60=1,AA365,AB365)))*Pricing!$B$13</f>
        <v/>
      </c>
      <c r="AO367" s="8">
        <f>AN367+(AO365-IF(Assumptions!$B$60=2,AA365,IF(Assumptions!$B$60=1,AB365,AC365)))*Pricing!$B$13</f>
        <v/>
      </c>
      <c r="AP367" s="8">
        <f>AO367+(AP365-IF(Assumptions!$B$60=2,AB365,IF(Assumptions!$B$60=1,AC365,AD365)))*Pricing!$B$13</f>
        <v/>
      </c>
      <c r="AQ367" s="8">
        <f>AP367+(AQ365-IF(Assumptions!$B$60=2,AC365,IF(Assumptions!$B$60=1,AD365,AE365)))*Pricing!$B$13</f>
        <v/>
      </c>
      <c r="AR367" s="8">
        <f>AQ367+(AR365-IF(Assumptions!$B$60=2,AD365,IF(Assumptions!$B$60=1,AE365,AF365)))*Pricing!$B$13</f>
        <v/>
      </c>
      <c r="AS367" s="8">
        <f>AR367+(AS365-IF(Assumptions!$B$60=2,AE365,IF(Assumptions!$B$60=1,AF365,AG365)))*Pricing!$B$13</f>
        <v/>
      </c>
      <c r="AT367" s="8">
        <f>AS367+(AT365-IF(Assumptions!$B$60=2,AF365,IF(Assumptions!$B$60=1,AG365,AH365)))*Pricing!$B$13</f>
        <v/>
      </c>
      <c r="AU367" s="8">
        <f>AT367+(AU365-IF(Assumptions!$B$60=2,AG365,IF(Assumptions!$B$60=1,AH365,AI365)))*Pricing!$B$13</f>
        <v/>
      </c>
      <c r="AV367" s="8">
        <f>AU367+(AV365-IF(Assumptions!$B$60=2,AH365,IF(Assumptions!$B$60=1,AI365,AJ365)))*Pricing!$B$13</f>
        <v/>
      </c>
      <c r="AW367" s="8">
        <f>AV367+(AW365-IF(Assumptions!$B$60=2,AI365,IF(Assumptions!$B$60=1,AJ365,AK365)))*Pricing!$B$13</f>
        <v/>
      </c>
      <c r="AX367" s="8">
        <f>AW367+(AX365-IF(Assumptions!$B$60=2,AJ365,IF(Assumptions!$B$60=1,AK365,AL365)))*Pricing!$B$13</f>
        <v/>
      </c>
      <c r="AY367" s="8">
        <f>AX367+(AY365-IF(Assumptions!$B$60=2,AK365,IF(Assumptions!$B$60=1,AL365,AM365)))*Pricing!$B$13</f>
        <v/>
      </c>
      <c r="AZ367" s="8">
        <f>AY367+(AZ365-IF(Assumptions!$B$60=2,AL365,IF(Assumptions!$B$60=1,AM365,AN365)))*Pricing!$B$13</f>
        <v/>
      </c>
      <c r="BA367" s="8">
        <f>AZ367+(BA365-IF(Assumptions!$B$60=2,AM365,IF(Assumptions!$B$60=1,AN365,AO365)))*Pricing!$B$13</f>
        <v/>
      </c>
      <c r="BB367" s="8">
        <f>BA367+(BB365-IF(Assumptions!$B$60=2,AN365,IF(Assumptions!$B$60=1,AO365,AP365)))*Pricing!$B$13</f>
        <v/>
      </c>
      <c r="BC367" s="8">
        <f>BB367+(BC365-IF(Assumptions!$B$60=2,AO365,IF(Assumptions!$B$60=1,AP365,AQ365)))*Pricing!$B$13</f>
        <v/>
      </c>
      <c r="BD367" s="8">
        <f>BC367+(BD365-IF(Assumptions!$B$60=2,AP365,IF(Assumptions!$B$60=1,AQ365,AR365)))*Pricing!$B$13</f>
        <v/>
      </c>
      <c r="BE367" s="8">
        <f>BD367+(BE365-IF(Assumptions!$B$60=2,AQ365,IF(Assumptions!$B$60=1,AR365,AS365)))*Pricing!$B$13</f>
        <v/>
      </c>
      <c r="BF367" s="8">
        <f>BE367+(BF365-IF(Assumptions!$B$60=2,AR365,IF(Assumptions!$B$60=1,AS365,AT365)))*Pricing!$B$13</f>
        <v/>
      </c>
      <c r="BG367" s="8">
        <f>BF367+(BG365-IF(Assumptions!$B$60=2,AS365,IF(Assumptions!$B$60=1,AT365,AU365)))*Pricing!$B$13</f>
        <v/>
      </c>
      <c r="BH367" s="8">
        <f>BG367+(BH365-IF(Assumptions!$B$60=2,AT365,IF(Assumptions!$B$60=1,AU365,AV365)))*Pricing!$B$13</f>
        <v/>
      </c>
      <c r="BI367" s="8">
        <f>BH367+(BI365-IF(Assumptions!$B$60=2,AU365,IF(Assumptions!$B$60=1,AV365,AW365)))*Pricing!$B$13</f>
        <v/>
      </c>
      <c r="BJ367" s="8">
        <f>BI367+(BJ365-IF(Assumptions!$B$60=2,AV365,IF(Assumptions!$B$60=1,AW365,AX365)))*Pricing!$B$13</f>
        <v/>
      </c>
    </row>
    <row r="368">
      <c r="A368" s="4" t="inlineStr">
        <is>
          <t>Founding Member discount, annual plans (bonus months): Kenya</t>
        </is>
      </c>
      <c r="B368" s="17" t="inlineStr">
        <is>
          <t>R</t>
        </is>
      </c>
      <c r="C368" s="8">
        <f>C367*Pricing!$B$14*(1/12-1/(12+Assumptions!$B$60))</f>
        <v/>
      </c>
      <c r="D368" s="8">
        <f>D367*Pricing!$B$14*(1/12-1/(12+Assumptions!$B$60))</f>
        <v/>
      </c>
      <c r="E368" s="8">
        <f>E367*Pricing!$B$14*(1/12-1/(12+Assumptions!$B$60))</f>
        <v/>
      </c>
      <c r="F368" s="8">
        <f>F367*Pricing!$B$14*(1/12-1/(12+Assumptions!$B$60))</f>
        <v/>
      </c>
      <c r="G368" s="8">
        <f>G367*Pricing!$B$14*(1/12-1/(12+Assumptions!$B$60))</f>
        <v/>
      </c>
      <c r="H368" s="8">
        <f>H367*Pricing!$B$14*(1/12-1/(12+Assumptions!$B$60))</f>
        <v/>
      </c>
      <c r="I368" s="8">
        <f>I367*Pricing!$B$14*(1/12-1/(12+Assumptions!$B$60))</f>
        <v/>
      </c>
      <c r="J368" s="8">
        <f>J367*Pricing!$B$14*(1/12-1/(12+Assumptions!$B$60))</f>
        <v/>
      </c>
      <c r="K368" s="8">
        <f>K367*Pricing!$B$14*(1/12-1/(12+Assumptions!$B$60))</f>
        <v/>
      </c>
      <c r="L368" s="8">
        <f>L367*Pricing!$B$14*(1/12-1/(12+Assumptions!$B$60))</f>
        <v/>
      </c>
      <c r="M368" s="8">
        <f>M367*Pricing!$B$14*(1/12-1/(12+Assumptions!$B$60))</f>
        <v/>
      </c>
      <c r="N368" s="8">
        <f>N367*Pricing!$B$14*(1/12-1/(12+Assumptions!$B$60))</f>
        <v/>
      </c>
      <c r="O368" s="8">
        <f>O367*Pricing!$B$14*(1/12-1/(12+Assumptions!$B$60))</f>
        <v/>
      </c>
      <c r="P368" s="8">
        <f>P367*Pricing!$B$14*(1/12-1/(12+Assumptions!$B$60))</f>
        <v/>
      </c>
      <c r="Q368" s="8">
        <f>Q367*Pricing!$B$14*(1/12-1/(12+Assumptions!$B$60))</f>
        <v/>
      </c>
      <c r="R368" s="8">
        <f>R367*Pricing!$B$14*(1/12-1/(12+Assumptions!$B$60))</f>
        <v/>
      </c>
      <c r="S368" s="8">
        <f>S367*Pricing!$B$14*(1/12-1/(12+Assumptions!$B$60))</f>
        <v/>
      </c>
      <c r="T368" s="8">
        <f>T367*Pricing!$B$14*(1/12-1/(12+Assumptions!$B$60))</f>
        <v/>
      </c>
      <c r="U368" s="8">
        <f>U367*Pricing!$B$14*(1/12-1/(12+Assumptions!$B$60))</f>
        <v/>
      </c>
      <c r="V368" s="8">
        <f>V367*Pricing!$B$14*(1/12-1/(12+Assumptions!$B$60))</f>
        <v/>
      </c>
      <c r="W368" s="8">
        <f>W367*Pricing!$B$14*(1/12-1/(12+Assumptions!$B$60))</f>
        <v/>
      </c>
      <c r="X368" s="8">
        <f>X367*Pricing!$B$14*(1/12-1/(12+Assumptions!$B$60))</f>
        <v/>
      </c>
      <c r="Y368" s="8">
        <f>Y367*Pricing!$B$14*(1/12-1/(12+Assumptions!$B$60))</f>
        <v/>
      </c>
      <c r="Z368" s="8">
        <f>Z367*Pricing!$B$14*(1/12-1/(12+Assumptions!$B$60))</f>
        <v/>
      </c>
      <c r="AA368" s="8">
        <f>AA367*Pricing!$B$14*(1/12-1/(12+Assumptions!$B$60))</f>
        <v/>
      </c>
      <c r="AB368" s="8">
        <f>AB367*Pricing!$B$14*(1/12-1/(12+Assumptions!$B$60))</f>
        <v/>
      </c>
      <c r="AC368" s="8">
        <f>AC367*Pricing!$B$14*(1/12-1/(12+Assumptions!$B$60))</f>
        <v/>
      </c>
      <c r="AD368" s="8">
        <f>AD367*Pricing!$B$14*(1/12-1/(12+Assumptions!$B$60))</f>
        <v/>
      </c>
      <c r="AE368" s="8">
        <f>AE367*Pricing!$B$14*(1/12-1/(12+Assumptions!$B$60))</f>
        <v/>
      </c>
      <c r="AF368" s="8">
        <f>AF367*Pricing!$B$14*(1/12-1/(12+Assumptions!$B$60))</f>
        <v/>
      </c>
      <c r="AG368" s="8">
        <f>AG367*Pricing!$B$14*(1/12-1/(12+Assumptions!$B$60))</f>
        <v/>
      </c>
      <c r="AH368" s="8">
        <f>AH367*Pricing!$B$14*(1/12-1/(12+Assumptions!$B$60))</f>
        <v/>
      </c>
      <c r="AI368" s="8">
        <f>AI367*Pricing!$B$14*(1/12-1/(12+Assumptions!$B$60))</f>
        <v/>
      </c>
      <c r="AJ368" s="8">
        <f>AJ367*Pricing!$B$14*(1/12-1/(12+Assumptions!$B$60))</f>
        <v/>
      </c>
      <c r="AK368" s="8">
        <f>AK367*Pricing!$B$14*(1/12-1/(12+Assumptions!$B$60))</f>
        <v/>
      </c>
      <c r="AL368" s="8">
        <f>AL367*Pricing!$B$14*(1/12-1/(12+Assumptions!$B$60))</f>
        <v/>
      </c>
      <c r="AM368" s="8">
        <f>AM367*Pricing!$B$14*(1/12-1/(12+Assumptions!$B$60))</f>
        <v/>
      </c>
      <c r="AN368" s="8">
        <f>AN367*Pricing!$B$14*(1/12-1/(12+Assumptions!$B$60))</f>
        <v/>
      </c>
      <c r="AO368" s="8">
        <f>AO367*Pricing!$B$14*(1/12-1/(12+Assumptions!$B$60))</f>
        <v/>
      </c>
      <c r="AP368" s="8">
        <f>AP367*Pricing!$B$14*(1/12-1/(12+Assumptions!$B$60))</f>
        <v/>
      </c>
      <c r="AQ368" s="8">
        <f>AQ367*Pricing!$B$14*(1/12-1/(12+Assumptions!$B$60))</f>
        <v/>
      </c>
      <c r="AR368" s="8">
        <f>AR367*Pricing!$B$14*(1/12-1/(12+Assumptions!$B$60))</f>
        <v/>
      </c>
      <c r="AS368" s="8">
        <f>AS367*Pricing!$B$14*(1/12-1/(12+Assumptions!$B$60))</f>
        <v/>
      </c>
      <c r="AT368" s="8">
        <f>AT367*Pricing!$B$14*(1/12-1/(12+Assumptions!$B$60))</f>
        <v/>
      </c>
      <c r="AU368" s="8">
        <f>AU367*Pricing!$B$14*(1/12-1/(12+Assumptions!$B$60))</f>
        <v/>
      </c>
      <c r="AV368" s="8">
        <f>AV367*Pricing!$B$14*(1/12-1/(12+Assumptions!$B$60))</f>
        <v/>
      </c>
      <c r="AW368" s="8">
        <f>AW367*Pricing!$B$14*(1/12-1/(12+Assumptions!$B$60))</f>
        <v/>
      </c>
      <c r="AX368" s="8">
        <f>AX367*Pricing!$B$14*(1/12-1/(12+Assumptions!$B$60))</f>
        <v/>
      </c>
      <c r="AY368" s="8">
        <f>AY367*Pricing!$B$14*(1/12-1/(12+Assumptions!$B$60))</f>
        <v/>
      </c>
      <c r="AZ368" s="8">
        <f>AZ367*Pricing!$B$14*(1/12-1/(12+Assumptions!$B$60))</f>
        <v/>
      </c>
      <c r="BA368" s="8">
        <f>BA367*Pricing!$B$14*(1/12-1/(12+Assumptions!$B$60))</f>
        <v/>
      </c>
      <c r="BB368" s="8">
        <f>BB367*Pricing!$B$14*(1/12-1/(12+Assumptions!$B$60))</f>
        <v/>
      </c>
      <c r="BC368" s="8">
        <f>BC367*Pricing!$B$14*(1/12-1/(12+Assumptions!$B$60))</f>
        <v/>
      </c>
      <c r="BD368" s="8">
        <f>BD367*Pricing!$B$14*(1/12-1/(12+Assumptions!$B$60))</f>
        <v/>
      </c>
      <c r="BE368" s="8">
        <f>BE367*Pricing!$B$14*(1/12-1/(12+Assumptions!$B$60))</f>
        <v/>
      </c>
      <c r="BF368" s="8">
        <f>BF367*Pricing!$B$14*(1/12-1/(12+Assumptions!$B$60))</f>
        <v/>
      </c>
      <c r="BG368" s="8">
        <f>BG367*Pricing!$B$14*(1/12-1/(12+Assumptions!$B$60))</f>
        <v/>
      </c>
      <c r="BH368" s="8">
        <f>BH367*Pricing!$B$14*(1/12-1/(12+Assumptions!$B$60))</f>
        <v/>
      </c>
      <c r="BI368" s="8">
        <f>BI367*Pricing!$B$14*(1/12-1/(12+Assumptions!$B$60))</f>
        <v/>
      </c>
      <c r="BJ368" s="8">
        <f>BJ367*Pricing!$B$14*(1/12-1/(12+Assumptions!$B$60))</f>
        <v/>
      </c>
    </row>
    <row r="369">
      <c r="A369" s="3" t="inlineStr">
        <is>
          <t>Founding Member discount: Kenya</t>
        </is>
      </c>
      <c r="B369" s="17" t="inlineStr">
        <is>
          <t>R</t>
        </is>
      </c>
      <c r="C369" s="42">
        <f>C366+C368</f>
        <v/>
      </c>
      <c r="D369" s="42">
        <f>D366+D368</f>
        <v/>
      </c>
      <c r="E369" s="42">
        <f>E366+E368</f>
        <v/>
      </c>
      <c r="F369" s="42">
        <f>F366+F368</f>
        <v/>
      </c>
      <c r="G369" s="42">
        <f>G366+G368</f>
        <v/>
      </c>
      <c r="H369" s="42">
        <f>H366+H368</f>
        <v/>
      </c>
      <c r="I369" s="42">
        <f>I366+I368</f>
        <v/>
      </c>
      <c r="J369" s="42">
        <f>J366+J368</f>
        <v/>
      </c>
      <c r="K369" s="42">
        <f>K366+K368</f>
        <v/>
      </c>
      <c r="L369" s="42">
        <f>L366+L368</f>
        <v/>
      </c>
      <c r="M369" s="42">
        <f>M366+M368</f>
        <v/>
      </c>
      <c r="N369" s="42">
        <f>N366+N368</f>
        <v/>
      </c>
      <c r="O369" s="42">
        <f>O366+O368</f>
        <v/>
      </c>
      <c r="P369" s="42">
        <f>P366+P368</f>
        <v/>
      </c>
      <c r="Q369" s="42">
        <f>Q366+Q368</f>
        <v/>
      </c>
      <c r="R369" s="42">
        <f>R366+R368</f>
        <v/>
      </c>
      <c r="S369" s="42">
        <f>S366+S368</f>
        <v/>
      </c>
      <c r="T369" s="42">
        <f>T366+T368</f>
        <v/>
      </c>
      <c r="U369" s="42">
        <f>U366+U368</f>
        <v/>
      </c>
      <c r="V369" s="42">
        <f>V366+V368</f>
        <v/>
      </c>
      <c r="W369" s="42">
        <f>W366+W368</f>
        <v/>
      </c>
      <c r="X369" s="42">
        <f>X366+X368</f>
        <v/>
      </c>
      <c r="Y369" s="42">
        <f>Y366+Y368</f>
        <v/>
      </c>
      <c r="Z369" s="42">
        <f>Z366+Z368</f>
        <v/>
      </c>
      <c r="AA369" s="42">
        <f>AA366+AA368</f>
        <v/>
      </c>
      <c r="AB369" s="42">
        <f>AB366+AB368</f>
        <v/>
      </c>
      <c r="AC369" s="42">
        <f>AC366+AC368</f>
        <v/>
      </c>
      <c r="AD369" s="42">
        <f>AD366+AD368</f>
        <v/>
      </c>
      <c r="AE369" s="42">
        <f>AE366+AE368</f>
        <v/>
      </c>
      <c r="AF369" s="42">
        <f>AF366+AF368</f>
        <v/>
      </c>
      <c r="AG369" s="42">
        <f>AG366+AG368</f>
        <v/>
      </c>
      <c r="AH369" s="42">
        <f>AH366+AH368</f>
        <v/>
      </c>
      <c r="AI369" s="42">
        <f>AI366+AI368</f>
        <v/>
      </c>
      <c r="AJ369" s="42">
        <f>AJ366+AJ368</f>
        <v/>
      </c>
      <c r="AK369" s="42">
        <f>AK366+AK368</f>
        <v/>
      </c>
      <c r="AL369" s="42">
        <f>AL366+AL368</f>
        <v/>
      </c>
      <c r="AM369" s="42">
        <f>AM366+AM368</f>
        <v/>
      </c>
      <c r="AN369" s="42">
        <f>AN366+AN368</f>
        <v/>
      </c>
      <c r="AO369" s="42">
        <f>AO366+AO368</f>
        <v/>
      </c>
      <c r="AP369" s="42">
        <f>AP366+AP368</f>
        <v/>
      </c>
      <c r="AQ369" s="42">
        <f>AQ366+AQ368</f>
        <v/>
      </c>
      <c r="AR369" s="42">
        <f>AR366+AR368</f>
        <v/>
      </c>
      <c r="AS369" s="42">
        <f>AS366+AS368</f>
        <v/>
      </c>
      <c r="AT369" s="42">
        <f>AT366+AT368</f>
        <v/>
      </c>
      <c r="AU369" s="42">
        <f>AU366+AU368</f>
        <v/>
      </c>
      <c r="AV369" s="42">
        <f>AV366+AV368</f>
        <v/>
      </c>
      <c r="AW369" s="42">
        <f>AW366+AW368</f>
        <v/>
      </c>
      <c r="AX369" s="42">
        <f>AX366+AX368</f>
        <v/>
      </c>
      <c r="AY369" s="42">
        <f>AY366+AY368</f>
        <v/>
      </c>
      <c r="AZ369" s="42">
        <f>AZ366+AZ368</f>
        <v/>
      </c>
      <c r="BA369" s="42">
        <f>BA366+BA368</f>
        <v/>
      </c>
      <c r="BB369" s="42">
        <f>BB366+BB368</f>
        <v/>
      </c>
      <c r="BC369" s="42">
        <f>BC366+BC368</f>
        <v/>
      </c>
      <c r="BD369" s="42">
        <f>BD366+BD368</f>
        <v/>
      </c>
      <c r="BE369" s="42">
        <f>BE366+BE368</f>
        <v/>
      </c>
      <c r="BF369" s="42">
        <f>BF366+BF368</f>
        <v/>
      </c>
      <c r="BG369" s="42">
        <f>BG366+BG368</f>
        <v/>
      </c>
      <c r="BH369" s="42">
        <f>BH366+BH368</f>
        <v/>
      </c>
      <c r="BI369" s="42">
        <f>BI366+BI368</f>
        <v/>
      </c>
      <c r="BJ369" s="42">
        <f>BJ366+BJ368</f>
        <v/>
      </c>
    </row>
    <row r="370">
      <c r="A370" s="4" t="inlineStr">
        <is>
          <t>List MRR of new Solo &amp; SME sign-ups inside the launch window: Ghana</t>
        </is>
      </c>
      <c r="B370" s="17" t="inlineStr">
        <is>
          <t>R</t>
        </is>
      </c>
      <c r="C370" s="8">
        <f>C33*C307*C44*(C119*((1-Assumptions!$B$125)*Pricing!$E$31+Assumptions!$B$125*Pricing!$E$32)+C120*((1-Assumptions!$B$126)*Pricing!$E$32+Assumptions!$B$126*Pricing!$E$33))</f>
        <v/>
      </c>
      <c r="D370" s="8">
        <f>D33*D307*D44*(D119*((1-Assumptions!$B$125)*Pricing!$E$31+Assumptions!$B$125*Pricing!$E$32)+D120*((1-Assumptions!$B$126)*Pricing!$E$32+Assumptions!$B$126*Pricing!$E$33))</f>
        <v/>
      </c>
      <c r="E370" s="8">
        <f>E33*E307*E44*(E119*((1-Assumptions!$B$125)*Pricing!$E$31+Assumptions!$B$125*Pricing!$E$32)+E120*((1-Assumptions!$B$126)*Pricing!$E$32+Assumptions!$B$126*Pricing!$E$33))</f>
        <v/>
      </c>
      <c r="F370" s="8">
        <f>F33*F307*F44*(F119*((1-Assumptions!$B$125)*Pricing!$E$31+Assumptions!$B$125*Pricing!$E$32)+F120*((1-Assumptions!$B$126)*Pricing!$E$32+Assumptions!$B$126*Pricing!$E$33))</f>
        <v/>
      </c>
      <c r="G370" s="8">
        <f>G33*G307*G44*(G119*((1-Assumptions!$B$125)*Pricing!$E$31+Assumptions!$B$125*Pricing!$E$32)+G120*((1-Assumptions!$B$126)*Pricing!$E$32+Assumptions!$B$126*Pricing!$E$33))</f>
        <v/>
      </c>
      <c r="H370" s="8">
        <f>H33*H307*H44*(H119*((1-Assumptions!$B$125)*Pricing!$E$31+Assumptions!$B$125*Pricing!$E$32)+H120*((1-Assumptions!$B$126)*Pricing!$E$32+Assumptions!$B$126*Pricing!$E$33))</f>
        <v/>
      </c>
      <c r="I370" s="8">
        <f>I33*I307*I44*(I119*((1-Assumptions!$B$125)*Pricing!$E$31+Assumptions!$B$125*Pricing!$E$32)+I120*((1-Assumptions!$B$126)*Pricing!$E$32+Assumptions!$B$126*Pricing!$E$33))</f>
        <v/>
      </c>
      <c r="J370" s="8">
        <f>J33*J307*J44*(J119*((1-Assumptions!$B$125)*Pricing!$E$31+Assumptions!$B$125*Pricing!$E$32)+J120*((1-Assumptions!$B$126)*Pricing!$E$32+Assumptions!$B$126*Pricing!$E$33))</f>
        <v/>
      </c>
      <c r="K370" s="8">
        <f>K33*K307*K44*(K119*((1-Assumptions!$B$125)*Pricing!$E$31+Assumptions!$B$125*Pricing!$E$32)+K120*((1-Assumptions!$B$126)*Pricing!$E$32+Assumptions!$B$126*Pricing!$E$33))</f>
        <v/>
      </c>
      <c r="L370" s="8">
        <f>L33*L307*L44*(L119*((1-Assumptions!$B$125)*Pricing!$E$31+Assumptions!$B$125*Pricing!$E$32)+L120*((1-Assumptions!$B$126)*Pricing!$E$32+Assumptions!$B$126*Pricing!$E$33))</f>
        <v/>
      </c>
      <c r="M370" s="8">
        <f>M33*M307*M44*(M119*((1-Assumptions!$B$125)*Pricing!$E$31+Assumptions!$B$125*Pricing!$E$32)+M120*((1-Assumptions!$B$126)*Pricing!$E$32+Assumptions!$B$126*Pricing!$E$33))</f>
        <v/>
      </c>
      <c r="N370" s="8">
        <f>N33*N307*N44*(N119*((1-Assumptions!$B$125)*Pricing!$E$31+Assumptions!$B$125*Pricing!$E$32)+N120*((1-Assumptions!$B$126)*Pricing!$E$32+Assumptions!$B$126*Pricing!$E$33))</f>
        <v/>
      </c>
      <c r="O370" s="8">
        <f>O33*O307*O44*(O119*((1-Assumptions!$B$125)*Pricing!$E$31+Assumptions!$B$125*Pricing!$E$32)+O120*((1-Assumptions!$B$126)*Pricing!$E$32+Assumptions!$B$126*Pricing!$E$33))</f>
        <v/>
      </c>
      <c r="P370" s="8">
        <f>P33*P307*P44*(P119*((1-Assumptions!$B$125)*Pricing!$E$31+Assumptions!$B$125*Pricing!$E$32)+P120*((1-Assumptions!$B$126)*Pricing!$E$32+Assumptions!$B$126*Pricing!$E$33))</f>
        <v/>
      </c>
      <c r="Q370" s="8">
        <f>Q33*Q307*Q44*(Q119*((1-Assumptions!$B$125)*Pricing!$E$31+Assumptions!$B$125*Pricing!$E$32)+Q120*((1-Assumptions!$B$126)*Pricing!$E$32+Assumptions!$B$126*Pricing!$E$33))</f>
        <v/>
      </c>
      <c r="R370" s="8">
        <f>R33*R307*R44*(R119*((1-Assumptions!$B$125)*Pricing!$E$31+Assumptions!$B$125*Pricing!$E$32)+R120*((1-Assumptions!$B$126)*Pricing!$E$32+Assumptions!$B$126*Pricing!$E$33))</f>
        <v/>
      </c>
      <c r="S370" s="8">
        <f>S33*S307*S44*(S119*((1-Assumptions!$B$125)*Pricing!$E$31+Assumptions!$B$125*Pricing!$E$32)+S120*((1-Assumptions!$B$126)*Pricing!$E$32+Assumptions!$B$126*Pricing!$E$33))</f>
        <v/>
      </c>
      <c r="T370" s="8">
        <f>T33*T307*T44*(T119*((1-Assumptions!$B$125)*Pricing!$E$31+Assumptions!$B$125*Pricing!$E$32)+T120*((1-Assumptions!$B$126)*Pricing!$E$32+Assumptions!$B$126*Pricing!$E$33))</f>
        <v/>
      </c>
      <c r="U370" s="8">
        <f>U33*U307*U44*(U119*((1-Assumptions!$B$125)*Pricing!$E$31+Assumptions!$B$125*Pricing!$E$32)+U120*((1-Assumptions!$B$126)*Pricing!$E$32+Assumptions!$B$126*Pricing!$E$33))</f>
        <v/>
      </c>
      <c r="V370" s="8">
        <f>V33*V307*V44*(V119*((1-Assumptions!$B$125)*Pricing!$E$31+Assumptions!$B$125*Pricing!$E$32)+V120*((1-Assumptions!$B$126)*Pricing!$E$32+Assumptions!$B$126*Pricing!$E$33))</f>
        <v/>
      </c>
      <c r="W370" s="8">
        <f>W33*W307*W44*(W119*((1-Assumptions!$B$125)*Pricing!$E$31+Assumptions!$B$125*Pricing!$E$32)+W120*((1-Assumptions!$B$126)*Pricing!$E$32+Assumptions!$B$126*Pricing!$E$33))</f>
        <v/>
      </c>
      <c r="X370" s="8">
        <f>X33*X307*X44*(X119*((1-Assumptions!$B$125)*Pricing!$E$31+Assumptions!$B$125*Pricing!$E$32)+X120*((1-Assumptions!$B$126)*Pricing!$E$32+Assumptions!$B$126*Pricing!$E$33))</f>
        <v/>
      </c>
      <c r="Y370" s="8">
        <f>Y33*Y307*Y44*(Y119*((1-Assumptions!$B$125)*Pricing!$E$31+Assumptions!$B$125*Pricing!$E$32)+Y120*((1-Assumptions!$B$126)*Pricing!$E$32+Assumptions!$B$126*Pricing!$E$33))</f>
        <v/>
      </c>
      <c r="Z370" s="8">
        <f>Z33*Z307*Z44*(Z119*((1-Assumptions!$B$125)*Pricing!$E$31+Assumptions!$B$125*Pricing!$E$32)+Z120*((1-Assumptions!$B$126)*Pricing!$E$32+Assumptions!$B$126*Pricing!$E$33))</f>
        <v/>
      </c>
      <c r="AA370" s="8">
        <f>AA33*AA307*AA44*(AA119*((1-Assumptions!$B$125)*Pricing!$E$31+Assumptions!$B$125*Pricing!$E$32)+AA120*((1-Assumptions!$B$126)*Pricing!$E$32+Assumptions!$B$126*Pricing!$E$33))</f>
        <v/>
      </c>
      <c r="AB370" s="8">
        <f>AB33*AB307*AB44*(AB119*((1-Assumptions!$B$125)*Pricing!$E$31+Assumptions!$B$125*Pricing!$E$32)+AB120*((1-Assumptions!$B$126)*Pricing!$E$32+Assumptions!$B$126*Pricing!$E$33))</f>
        <v/>
      </c>
      <c r="AC370" s="8">
        <f>AC33*AC307*AC44*(AC119*((1-Assumptions!$B$125)*Pricing!$E$31+Assumptions!$B$125*Pricing!$E$32)+AC120*((1-Assumptions!$B$126)*Pricing!$E$32+Assumptions!$B$126*Pricing!$E$33))</f>
        <v/>
      </c>
      <c r="AD370" s="8">
        <f>AD33*AD307*AD44*(AD119*((1-Assumptions!$B$125)*Pricing!$E$31+Assumptions!$B$125*Pricing!$E$32)+AD120*((1-Assumptions!$B$126)*Pricing!$E$32+Assumptions!$B$126*Pricing!$E$33))</f>
        <v/>
      </c>
      <c r="AE370" s="8">
        <f>AE33*AE307*AE44*(AE119*((1-Assumptions!$B$125)*Pricing!$E$31+Assumptions!$B$125*Pricing!$E$32)+AE120*((1-Assumptions!$B$126)*Pricing!$E$32+Assumptions!$B$126*Pricing!$E$33))</f>
        <v/>
      </c>
      <c r="AF370" s="8">
        <f>AF33*AF307*AF44*(AF119*((1-Assumptions!$B$125)*Pricing!$E$31+Assumptions!$B$125*Pricing!$E$32)+AF120*((1-Assumptions!$B$126)*Pricing!$E$32+Assumptions!$B$126*Pricing!$E$33))</f>
        <v/>
      </c>
      <c r="AG370" s="8">
        <f>AG33*AG307*AG44*(AG119*((1-Assumptions!$B$125)*Pricing!$E$31+Assumptions!$B$125*Pricing!$E$32)+AG120*((1-Assumptions!$B$126)*Pricing!$E$32+Assumptions!$B$126*Pricing!$E$33))</f>
        <v/>
      </c>
      <c r="AH370" s="8">
        <f>AH33*AH307*AH44*(AH119*((1-Assumptions!$B$125)*Pricing!$E$31+Assumptions!$B$125*Pricing!$E$32)+AH120*((1-Assumptions!$B$126)*Pricing!$E$32+Assumptions!$B$126*Pricing!$E$33))</f>
        <v/>
      </c>
      <c r="AI370" s="8">
        <f>AI33*AI307*AI44*(AI119*((1-Assumptions!$B$125)*Pricing!$E$31+Assumptions!$B$125*Pricing!$E$32)+AI120*((1-Assumptions!$B$126)*Pricing!$E$32+Assumptions!$B$126*Pricing!$E$33))</f>
        <v/>
      </c>
      <c r="AJ370" s="8">
        <f>AJ33*AJ307*AJ44*(AJ119*((1-Assumptions!$B$125)*Pricing!$E$31+Assumptions!$B$125*Pricing!$E$32)+AJ120*((1-Assumptions!$B$126)*Pricing!$E$32+Assumptions!$B$126*Pricing!$E$33))</f>
        <v/>
      </c>
      <c r="AK370" s="8">
        <f>AK33*AK307*AK44*(AK119*((1-Assumptions!$B$125)*Pricing!$E$31+Assumptions!$B$125*Pricing!$E$32)+AK120*((1-Assumptions!$B$126)*Pricing!$E$32+Assumptions!$B$126*Pricing!$E$33))</f>
        <v/>
      </c>
      <c r="AL370" s="8">
        <f>AL33*AL307*AL44*(AL119*((1-Assumptions!$B$125)*Pricing!$E$31+Assumptions!$B$125*Pricing!$E$32)+AL120*((1-Assumptions!$B$126)*Pricing!$E$32+Assumptions!$B$126*Pricing!$E$33))</f>
        <v/>
      </c>
      <c r="AM370" s="8">
        <f>AM33*AM307*AM44*(AM119*((1-Assumptions!$B$125)*Pricing!$E$31+Assumptions!$B$125*Pricing!$E$32)+AM120*((1-Assumptions!$B$126)*Pricing!$E$32+Assumptions!$B$126*Pricing!$E$33))</f>
        <v/>
      </c>
      <c r="AN370" s="8">
        <f>AN33*AN307*AN44*(AN119*((1-Assumptions!$B$125)*Pricing!$E$31+Assumptions!$B$125*Pricing!$E$32)+AN120*((1-Assumptions!$B$126)*Pricing!$E$32+Assumptions!$B$126*Pricing!$E$33))</f>
        <v/>
      </c>
      <c r="AO370" s="8">
        <f>AO33*AO307*AO44*(AO119*((1-Assumptions!$B$125)*Pricing!$E$31+Assumptions!$B$125*Pricing!$E$32)+AO120*((1-Assumptions!$B$126)*Pricing!$E$32+Assumptions!$B$126*Pricing!$E$33))</f>
        <v/>
      </c>
      <c r="AP370" s="8">
        <f>AP33*AP307*AP44*(AP119*((1-Assumptions!$B$125)*Pricing!$E$31+Assumptions!$B$125*Pricing!$E$32)+AP120*((1-Assumptions!$B$126)*Pricing!$E$32+Assumptions!$B$126*Pricing!$E$33))</f>
        <v/>
      </c>
      <c r="AQ370" s="8">
        <f>AQ33*AQ307*AQ44*(AQ119*((1-Assumptions!$B$125)*Pricing!$E$31+Assumptions!$B$125*Pricing!$E$32)+AQ120*((1-Assumptions!$B$126)*Pricing!$E$32+Assumptions!$B$126*Pricing!$E$33))</f>
        <v/>
      </c>
      <c r="AR370" s="8">
        <f>AR33*AR307*AR44*(AR119*((1-Assumptions!$B$125)*Pricing!$E$31+Assumptions!$B$125*Pricing!$E$32)+AR120*((1-Assumptions!$B$126)*Pricing!$E$32+Assumptions!$B$126*Pricing!$E$33))</f>
        <v/>
      </c>
      <c r="AS370" s="8">
        <f>AS33*AS307*AS44*(AS119*((1-Assumptions!$B$125)*Pricing!$E$31+Assumptions!$B$125*Pricing!$E$32)+AS120*((1-Assumptions!$B$126)*Pricing!$E$32+Assumptions!$B$126*Pricing!$E$33))</f>
        <v/>
      </c>
      <c r="AT370" s="8">
        <f>AT33*AT307*AT44*(AT119*((1-Assumptions!$B$125)*Pricing!$E$31+Assumptions!$B$125*Pricing!$E$32)+AT120*((1-Assumptions!$B$126)*Pricing!$E$32+Assumptions!$B$126*Pricing!$E$33))</f>
        <v/>
      </c>
      <c r="AU370" s="8">
        <f>AU33*AU307*AU44*(AU119*((1-Assumptions!$B$125)*Pricing!$E$31+Assumptions!$B$125*Pricing!$E$32)+AU120*((1-Assumptions!$B$126)*Pricing!$E$32+Assumptions!$B$126*Pricing!$E$33))</f>
        <v/>
      </c>
      <c r="AV370" s="8">
        <f>AV33*AV307*AV44*(AV119*((1-Assumptions!$B$125)*Pricing!$E$31+Assumptions!$B$125*Pricing!$E$32)+AV120*((1-Assumptions!$B$126)*Pricing!$E$32+Assumptions!$B$126*Pricing!$E$33))</f>
        <v/>
      </c>
      <c r="AW370" s="8">
        <f>AW33*AW307*AW44*(AW119*((1-Assumptions!$B$125)*Pricing!$E$31+Assumptions!$B$125*Pricing!$E$32)+AW120*((1-Assumptions!$B$126)*Pricing!$E$32+Assumptions!$B$126*Pricing!$E$33))</f>
        <v/>
      </c>
      <c r="AX370" s="8">
        <f>AX33*AX307*AX44*(AX119*((1-Assumptions!$B$125)*Pricing!$E$31+Assumptions!$B$125*Pricing!$E$32)+AX120*((1-Assumptions!$B$126)*Pricing!$E$32+Assumptions!$B$126*Pricing!$E$33))</f>
        <v/>
      </c>
      <c r="AY370" s="8">
        <f>AY33*AY307*AY44*(AY119*((1-Assumptions!$B$125)*Pricing!$E$31+Assumptions!$B$125*Pricing!$E$32)+AY120*((1-Assumptions!$B$126)*Pricing!$E$32+Assumptions!$B$126*Pricing!$E$33))</f>
        <v/>
      </c>
      <c r="AZ370" s="8">
        <f>AZ33*AZ307*AZ44*(AZ119*((1-Assumptions!$B$125)*Pricing!$E$31+Assumptions!$B$125*Pricing!$E$32)+AZ120*((1-Assumptions!$B$126)*Pricing!$E$32+Assumptions!$B$126*Pricing!$E$33))</f>
        <v/>
      </c>
      <c r="BA370" s="8">
        <f>BA33*BA307*BA44*(BA119*((1-Assumptions!$B$125)*Pricing!$E$31+Assumptions!$B$125*Pricing!$E$32)+BA120*((1-Assumptions!$B$126)*Pricing!$E$32+Assumptions!$B$126*Pricing!$E$33))</f>
        <v/>
      </c>
      <c r="BB370" s="8">
        <f>BB33*BB307*BB44*(BB119*((1-Assumptions!$B$125)*Pricing!$E$31+Assumptions!$B$125*Pricing!$E$32)+BB120*((1-Assumptions!$B$126)*Pricing!$E$32+Assumptions!$B$126*Pricing!$E$33))</f>
        <v/>
      </c>
      <c r="BC370" s="8">
        <f>BC33*BC307*BC44*(BC119*((1-Assumptions!$B$125)*Pricing!$E$31+Assumptions!$B$125*Pricing!$E$32)+BC120*((1-Assumptions!$B$126)*Pricing!$E$32+Assumptions!$B$126*Pricing!$E$33))</f>
        <v/>
      </c>
      <c r="BD370" s="8">
        <f>BD33*BD307*BD44*(BD119*((1-Assumptions!$B$125)*Pricing!$E$31+Assumptions!$B$125*Pricing!$E$32)+BD120*((1-Assumptions!$B$126)*Pricing!$E$32+Assumptions!$B$126*Pricing!$E$33))</f>
        <v/>
      </c>
      <c r="BE370" s="8">
        <f>BE33*BE307*BE44*(BE119*((1-Assumptions!$B$125)*Pricing!$E$31+Assumptions!$B$125*Pricing!$E$32)+BE120*((1-Assumptions!$B$126)*Pricing!$E$32+Assumptions!$B$126*Pricing!$E$33))</f>
        <v/>
      </c>
      <c r="BF370" s="8">
        <f>BF33*BF307*BF44*(BF119*((1-Assumptions!$B$125)*Pricing!$E$31+Assumptions!$B$125*Pricing!$E$32)+BF120*((1-Assumptions!$B$126)*Pricing!$E$32+Assumptions!$B$126*Pricing!$E$33))</f>
        <v/>
      </c>
      <c r="BG370" s="8">
        <f>BG33*BG307*BG44*(BG119*((1-Assumptions!$B$125)*Pricing!$E$31+Assumptions!$B$125*Pricing!$E$32)+BG120*((1-Assumptions!$B$126)*Pricing!$E$32+Assumptions!$B$126*Pricing!$E$33))</f>
        <v/>
      </c>
      <c r="BH370" s="8">
        <f>BH33*BH307*BH44*(BH119*((1-Assumptions!$B$125)*Pricing!$E$31+Assumptions!$B$125*Pricing!$E$32)+BH120*((1-Assumptions!$B$126)*Pricing!$E$32+Assumptions!$B$126*Pricing!$E$33))</f>
        <v/>
      </c>
      <c r="BI370" s="8">
        <f>BI33*BI307*BI44*(BI119*((1-Assumptions!$B$125)*Pricing!$E$31+Assumptions!$B$125*Pricing!$E$32)+BI120*((1-Assumptions!$B$126)*Pricing!$E$32+Assumptions!$B$126*Pricing!$E$33))</f>
        <v/>
      </c>
      <c r="BJ370" s="8">
        <f>BJ33*BJ307*BJ44*(BJ119*((1-Assumptions!$B$125)*Pricing!$E$31+Assumptions!$B$125*Pricing!$E$32)+BJ120*((1-Assumptions!$B$126)*Pricing!$E$32+Assumptions!$B$126*Pricing!$E$33))</f>
        <v/>
      </c>
    </row>
    <row r="371">
      <c r="A371" s="4" t="inlineStr">
        <is>
          <t>Founding Member discount, monthly plans: Ghana</t>
        </is>
      </c>
      <c r="B371" s="17" t="inlineStr">
        <is>
          <t>R</t>
        </is>
      </c>
      <c r="C371" s="8">
        <f>(1-Pricing!$B$13)*Assumptions!$B$58*(IF(Assumptions!$B$59&gt;=1,C370,0)+IF(Assumptions!$B$59&gt;=2,0*(1-Assumptions!$B$40),0))</f>
        <v/>
      </c>
      <c r="D371" s="8">
        <f>(1-Pricing!$B$13)*Assumptions!$B$58*(IF(Assumptions!$B$59&gt;=1,D370,0)+IF(Assumptions!$B$59&gt;=2,C370*(1-Assumptions!$B$40),0))</f>
        <v/>
      </c>
      <c r="E371" s="8">
        <f>(1-Pricing!$B$13)*Assumptions!$B$58*(IF(Assumptions!$B$59&gt;=1,E370,0)+IF(Assumptions!$B$59&gt;=2,D370*(1-Assumptions!$B$40),0))</f>
        <v/>
      </c>
      <c r="F371" s="8">
        <f>(1-Pricing!$B$13)*Assumptions!$B$58*(IF(Assumptions!$B$59&gt;=1,F370,0)+IF(Assumptions!$B$59&gt;=2,E370*(1-Assumptions!$B$40),0))</f>
        <v/>
      </c>
      <c r="G371" s="8">
        <f>(1-Pricing!$B$13)*Assumptions!$B$58*(IF(Assumptions!$B$59&gt;=1,G370,0)+IF(Assumptions!$B$59&gt;=2,F370*(1-Assumptions!$B$40),0))</f>
        <v/>
      </c>
      <c r="H371" s="8">
        <f>(1-Pricing!$B$13)*Assumptions!$B$58*(IF(Assumptions!$B$59&gt;=1,H370,0)+IF(Assumptions!$B$59&gt;=2,G370*(1-Assumptions!$B$40),0))</f>
        <v/>
      </c>
      <c r="I371" s="8">
        <f>(1-Pricing!$B$13)*Assumptions!$B$58*(IF(Assumptions!$B$59&gt;=1,I370,0)+IF(Assumptions!$B$59&gt;=2,H370*(1-Assumptions!$B$40),0))</f>
        <v/>
      </c>
      <c r="J371" s="8">
        <f>(1-Pricing!$B$13)*Assumptions!$B$58*(IF(Assumptions!$B$59&gt;=1,J370,0)+IF(Assumptions!$B$59&gt;=2,I370*(1-Assumptions!$B$40),0))</f>
        <v/>
      </c>
      <c r="K371" s="8">
        <f>(1-Pricing!$B$13)*Assumptions!$B$58*(IF(Assumptions!$B$59&gt;=1,K370,0)+IF(Assumptions!$B$59&gt;=2,J370*(1-Assumptions!$B$40),0))</f>
        <v/>
      </c>
      <c r="L371" s="8">
        <f>(1-Pricing!$B$13)*Assumptions!$B$58*(IF(Assumptions!$B$59&gt;=1,L370,0)+IF(Assumptions!$B$59&gt;=2,K370*(1-Assumptions!$B$40),0))</f>
        <v/>
      </c>
      <c r="M371" s="8">
        <f>(1-Pricing!$B$13)*Assumptions!$B$58*(IF(Assumptions!$B$59&gt;=1,M370,0)+IF(Assumptions!$B$59&gt;=2,L370*(1-Assumptions!$B$40),0))</f>
        <v/>
      </c>
      <c r="N371" s="8">
        <f>(1-Pricing!$B$13)*Assumptions!$B$58*(IF(Assumptions!$B$59&gt;=1,N370,0)+IF(Assumptions!$B$59&gt;=2,M370*(1-Assumptions!$B$40),0))</f>
        <v/>
      </c>
      <c r="O371" s="8">
        <f>(1-Pricing!$B$13)*Assumptions!$B$58*(IF(Assumptions!$B$59&gt;=1,O370,0)+IF(Assumptions!$B$59&gt;=2,N370*(1-Assumptions!$B$40),0))</f>
        <v/>
      </c>
      <c r="P371" s="8">
        <f>(1-Pricing!$B$13)*Assumptions!$B$58*(IF(Assumptions!$B$59&gt;=1,P370,0)+IF(Assumptions!$B$59&gt;=2,O370*(1-Assumptions!$B$40),0))</f>
        <v/>
      </c>
      <c r="Q371" s="8">
        <f>(1-Pricing!$B$13)*Assumptions!$B$58*(IF(Assumptions!$B$59&gt;=1,Q370,0)+IF(Assumptions!$B$59&gt;=2,P370*(1-Assumptions!$B$40),0))</f>
        <v/>
      </c>
      <c r="R371" s="8">
        <f>(1-Pricing!$B$13)*Assumptions!$B$58*(IF(Assumptions!$B$59&gt;=1,R370,0)+IF(Assumptions!$B$59&gt;=2,Q370*(1-Assumptions!$B$40),0))</f>
        <v/>
      </c>
      <c r="S371" s="8">
        <f>(1-Pricing!$B$13)*Assumptions!$B$58*(IF(Assumptions!$B$59&gt;=1,S370,0)+IF(Assumptions!$B$59&gt;=2,R370*(1-Assumptions!$B$40),0))</f>
        <v/>
      </c>
      <c r="T371" s="8">
        <f>(1-Pricing!$B$13)*Assumptions!$B$58*(IF(Assumptions!$B$59&gt;=1,T370,0)+IF(Assumptions!$B$59&gt;=2,S370*(1-Assumptions!$B$40),0))</f>
        <v/>
      </c>
      <c r="U371" s="8">
        <f>(1-Pricing!$B$13)*Assumptions!$B$58*(IF(Assumptions!$B$59&gt;=1,U370,0)+IF(Assumptions!$B$59&gt;=2,T370*(1-Assumptions!$B$40),0))</f>
        <v/>
      </c>
      <c r="V371" s="8">
        <f>(1-Pricing!$B$13)*Assumptions!$B$58*(IF(Assumptions!$B$59&gt;=1,V370,0)+IF(Assumptions!$B$59&gt;=2,U370*(1-Assumptions!$B$40),0))</f>
        <v/>
      </c>
      <c r="W371" s="8">
        <f>(1-Pricing!$B$13)*Assumptions!$B$58*(IF(Assumptions!$B$59&gt;=1,W370,0)+IF(Assumptions!$B$59&gt;=2,V370*(1-Assumptions!$B$40),0))</f>
        <v/>
      </c>
      <c r="X371" s="8">
        <f>(1-Pricing!$B$13)*Assumptions!$B$58*(IF(Assumptions!$B$59&gt;=1,X370,0)+IF(Assumptions!$B$59&gt;=2,W370*(1-Assumptions!$B$40),0))</f>
        <v/>
      </c>
      <c r="Y371" s="8">
        <f>(1-Pricing!$B$13)*Assumptions!$B$58*(IF(Assumptions!$B$59&gt;=1,Y370,0)+IF(Assumptions!$B$59&gt;=2,X370*(1-Assumptions!$B$40),0))</f>
        <v/>
      </c>
      <c r="Z371" s="8">
        <f>(1-Pricing!$B$13)*Assumptions!$B$58*(IF(Assumptions!$B$59&gt;=1,Z370,0)+IF(Assumptions!$B$59&gt;=2,Y370*(1-Assumptions!$B$40),0))</f>
        <v/>
      </c>
      <c r="AA371" s="8">
        <f>(1-Pricing!$B$13)*Assumptions!$B$58*(IF(Assumptions!$B$59&gt;=1,AA370,0)+IF(Assumptions!$B$59&gt;=2,Z370*(1-Assumptions!$B$40),0))</f>
        <v/>
      </c>
      <c r="AB371" s="8">
        <f>(1-Pricing!$B$13)*Assumptions!$B$58*(IF(Assumptions!$B$59&gt;=1,AB370,0)+IF(Assumptions!$B$59&gt;=2,AA370*(1-Assumptions!$B$40),0))</f>
        <v/>
      </c>
      <c r="AC371" s="8">
        <f>(1-Pricing!$B$13)*Assumptions!$B$58*(IF(Assumptions!$B$59&gt;=1,AC370,0)+IF(Assumptions!$B$59&gt;=2,AB370*(1-Assumptions!$B$40),0))</f>
        <v/>
      </c>
      <c r="AD371" s="8">
        <f>(1-Pricing!$B$13)*Assumptions!$B$58*(IF(Assumptions!$B$59&gt;=1,AD370,0)+IF(Assumptions!$B$59&gt;=2,AC370*(1-Assumptions!$B$40),0))</f>
        <v/>
      </c>
      <c r="AE371" s="8">
        <f>(1-Pricing!$B$13)*Assumptions!$B$58*(IF(Assumptions!$B$59&gt;=1,AE370,0)+IF(Assumptions!$B$59&gt;=2,AD370*(1-Assumptions!$B$40),0))</f>
        <v/>
      </c>
      <c r="AF371" s="8">
        <f>(1-Pricing!$B$13)*Assumptions!$B$58*(IF(Assumptions!$B$59&gt;=1,AF370,0)+IF(Assumptions!$B$59&gt;=2,AE370*(1-Assumptions!$B$40),0))</f>
        <v/>
      </c>
      <c r="AG371" s="8">
        <f>(1-Pricing!$B$13)*Assumptions!$B$58*(IF(Assumptions!$B$59&gt;=1,AG370,0)+IF(Assumptions!$B$59&gt;=2,AF370*(1-Assumptions!$B$40),0))</f>
        <v/>
      </c>
      <c r="AH371" s="8">
        <f>(1-Pricing!$B$13)*Assumptions!$B$58*(IF(Assumptions!$B$59&gt;=1,AH370,0)+IF(Assumptions!$B$59&gt;=2,AG370*(1-Assumptions!$B$40),0))</f>
        <v/>
      </c>
      <c r="AI371" s="8">
        <f>(1-Pricing!$B$13)*Assumptions!$B$58*(IF(Assumptions!$B$59&gt;=1,AI370,0)+IF(Assumptions!$B$59&gt;=2,AH370*(1-Assumptions!$B$40),0))</f>
        <v/>
      </c>
      <c r="AJ371" s="8">
        <f>(1-Pricing!$B$13)*Assumptions!$B$58*(IF(Assumptions!$B$59&gt;=1,AJ370,0)+IF(Assumptions!$B$59&gt;=2,AI370*(1-Assumptions!$B$40),0))</f>
        <v/>
      </c>
      <c r="AK371" s="8">
        <f>(1-Pricing!$B$13)*Assumptions!$B$58*(IF(Assumptions!$B$59&gt;=1,AK370,0)+IF(Assumptions!$B$59&gt;=2,AJ370*(1-Assumptions!$B$40),0))</f>
        <v/>
      </c>
      <c r="AL371" s="8">
        <f>(1-Pricing!$B$13)*Assumptions!$B$58*(IF(Assumptions!$B$59&gt;=1,AL370,0)+IF(Assumptions!$B$59&gt;=2,AK370*(1-Assumptions!$B$40),0))</f>
        <v/>
      </c>
      <c r="AM371" s="8">
        <f>(1-Pricing!$B$13)*Assumptions!$B$58*(IF(Assumptions!$B$59&gt;=1,AM370,0)+IF(Assumptions!$B$59&gt;=2,AL370*(1-Assumptions!$B$40),0))</f>
        <v/>
      </c>
      <c r="AN371" s="8">
        <f>(1-Pricing!$B$13)*Assumptions!$B$58*(IF(Assumptions!$B$59&gt;=1,AN370,0)+IF(Assumptions!$B$59&gt;=2,AM370*(1-Assumptions!$B$40),0))</f>
        <v/>
      </c>
      <c r="AO371" s="8">
        <f>(1-Pricing!$B$13)*Assumptions!$B$58*(IF(Assumptions!$B$59&gt;=1,AO370,0)+IF(Assumptions!$B$59&gt;=2,AN370*(1-Assumptions!$B$40),0))</f>
        <v/>
      </c>
      <c r="AP371" s="8">
        <f>(1-Pricing!$B$13)*Assumptions!$B$58*(IF(Assumptions!$B$59&gt;=1,AP370,0)+IF(Assumptions!$B$59&gt;=2,AO370*(1-Assumptions!$B$40),0))</f>
        <v/>
      </c>
      <c r="AQ371" s="8">
        <f>(1-Pricing!$B$13)*Assumptions!$B$58*(IF(Assumptions!$B$59&gt;=1,AQ370,0)+IF(Assumptions!$B$59&gt;=2,AP370*(1-Assumptions!$B$40),0))</f>
        <v/>
      </c>
      <c r="AR371" s="8">
        <f>(1-Pricing!$B$13)*Assumptions!$B$58*(IF(Assumptions!$B$59&gt;=1,AR370,0)+IF(Assumptions!$B$59&gt;=2,AQ370*(1-Assumptions!$B$40),0))</f>
        <v/>
      </c>
      <c r="AS371" s="8">
        <f>(1-Pricing!$B$13)*Assumptions!$B$58*(IF(Assumptions!$B$59&gt;=1,AS370,0)+IF(Assumptions!$B$59&gt;=2,AR370*(1-Assumptions!$B$40),0))</f>
        <v/>
      </c>
      <c r="AT371" s="8">
        <f>(1-Pricing!$B$13)*Assumptions!$B$58*(IF(Assumptions!$B$59&gt;=1,AT370,0)+IF(Assumptions!$B$59&gt;=2,AS370*(1-Assumptions!$B$40),0))</f>
        <v/>
      </c>
      <c r="AU371" s="8">
        <f>(1-Pricing!$B$13)*Assumptions!$B$58*(IF(Assumptions!$B$59&gt;=1,AU370,0)+IF(Assumptions!$B$59&gt;=2,AT370*(1-Assumptions!$B$40),0))</f>
        <v/>
      </c>
      <c r="AV371" s="8">
        <f>(1-Pricing!$B$13)*Assumptions!$B$58*(IF(Assumptions!$B$59&gt;=1,AV370,0)+IF(Assumptions!$B$59&gt;=2,AU370*(1-Assumptions!$B$40),0))</f>
        <v/>
      </c>
      <c r="AW371" s="8">
        <f>(1-Pricing!$B$13)*Assumptions!$B$58*(IF(Assumptions!$B$59&gt;=1,AW370,0)+IF(Assumptions!$B$59&gt;=2,AV370*(1-Assumptions!$B$40),0))</f>
        <v/>
      </c>
      <c r="AX371" s="8">
        <f>(1-Pricing!$B$13)*Assumptions!$B$58*(IF(Assumptions!$B$59&gt;=1,AX370,0)+IF(Assumptions!$B$59&gt;=2,AW370*(1-Assumptions!$B$40),0))</f>
        <v/>
      </c>
      <c r="AY371" s="8">
        <f>(1-Pricing!$B$13)*Assumptions!$B$58*(IF(Assumptions!$B$59&gt;=1,AY370,0)+IF(Assumptions!$B$59&gt;=2,AX370*(1-Assumptions!$B$40),0))</f>
        <v/>
      </c>
      <c r="AZ371" s="8">
        <f>(1-Pricing!$B$13)*Assumptions!$B$58*(IF(Assumptions!$B$59&gt;=1,AZ370,0)+IF(Assumptions!$B$59&gt;=2,AY370*(1-Assumptions!$B$40),0))</f>
        <v/>
      </c>
      <c r="BA371" s="8">
        <f>(1-Pricing!$B$13)*Assumptions!$B$58*(IF(Assumptions!$B$59&gt;=1,BA370,0)+IF(Assumptions!$B$59&gt;=2,AZ370*(1-Assumptions!$B$40),0))</f>
        <v/>
      </c>
      <c r="BB371" s="8">
        <f>(1-Pricing!$B$13)*Assumptions!$B$58*(IF(Assumptions!$B$59&gt;=1,BB370,0)+IF(Assumptions!$B$59&gt;=2,BA370*(1-Assumptions!$B$40),0))</f>
        <v/>
      </c>
      <c r="BC371" s="8">
        <f>(1-Pricing!$B$13)*Assumptions!$B$58*(IF(Assumptions!$B$59&gt;=1,BC370,0)+IF(Assumptions!$B$59&gt;=2,BB370*(1-Assumptions!$B$40),0))</f>
        <v/>
      </c>
      <c r="BD371" s="8">
        <f>(1-Pricing!$B$13)*Assumptions!$B$58*(IF(Assumptions!$B$59&gt;=1,BD370,0)+IF(Assumptions!$B$59&gt;=2,BC370*(1-Assumptions!$B$40),0))</f>
        <v/>
      </c>
      <c r="BE371" s="8">
        <f>(1-Pricing!$B$13)*Assumptions!$B$58*(IF(Assumptions!$B$59&gt;=1,BE370,0)+IF(Assumptions!$B$59&gt;=2,BD370*(1-Assumptions!$B$40),0))</f>
        <v/>
      </c>
      <c r="BF371" s="8">
        <f>(1-Pricing!$B$13)*Assumptions!$B$58*(IF(Assumptions!$B$59&gt;=1,BF370,0)+IF(Assumptions!$B$59&gt;=2,BE370*(1-Assumptions!$B$40),0))</f>
        <v/>
      </c>
      <c r="BG371" s="8">
        <f>(1-Pricing!$B$13)*Assumptions!$B$58*(IF(Assumptions!$B$59&gt;=1,BG370,0)+IF(Assumptions!$B$59&gt;=2,BF370*(1-Assumptions!$B$40),0))</f>
        <v/>
      </c>
      <c r="BH371" s="8">
        <f>(1-Pricing!$B$13)*Assumptions!$B$58*(IF(Assumptions!$B$59&gt;=1,BH370,0)+IF(Assumptions!$B$59&gt;=2,BG370*(1-Assumptions!$B$40),0))</f>
        <v/>
      </c>
      <c r="BI371" s="8">
        <f>(1-Pricing!$B$13)*Assumptions!$B$58*(IF(Assumptions!$B$59&gt;=1,BI370,0)+IF(Assumptions!$B$59&gt;=2,BH370*(1-Assumptions!$B$40),0))</f>
        <v/>
      </c>
      <c r="BJ371" s="8">
        <f>(1-Pricing!$B$13)*Assumptions!$B$58*(IF(Assumptions!$B$59&gt;=1,BJ370,0)+IF(Assumptions!$B$59&gt;=2,BI370*(1-Assumptions!$B$40),0))</f>
        <v/>
      </c>
    </row>
    <row r="372">
      <c r="A372" s="4" t="inlineStr">
        <is>
          <t>Annual-plan Founding Members inside their 12 + bonus month term (list MRR): Ghana</t>
        </is>
      </c>
      <c r="B372" s="17" t="inlineStr">
        <is>
          <t>R</t>
        </is>
      </c>
      <c r="C372" s="8">
        <f>C370*Pricing!$B$13</f>
        <v/>
      </c>
      <c r="D372" s="8">
        <f>C372+(D370-IF(Assumptions!$B$60=2,0,IF(Assumptions!$B$60=1,0,0)))*Pricing!$B$13</f>
        <v/>
      </c>
      <c r="E372" s="8">
        <f>D372+(E370-IF(Assumptions!$B$60=2,0,IF(Assumptions!$B$60=1,0,0)))*Pricing!$B$13</f>
        <v/>
      </c>
      <c r="F372" s="8">
        <f>E372+(F370-IF(Assumptions!$B$60=2,0,IF(Assumptions!$B$60=1,0,0)))*Pricing!$B$13</f>
        <v/>
      </c>
      <c r="G372" s="8">
        <f>F372+(G370-IF(Assumptions!$B$60=2,0,IF(Assumptions!$B$60=1,0,0)))*Pricing!$B$13</f>
        <v/>
      </c>
      <c r="H372" s="8">
        <f>G372+(H370-IF(Assumptions!$B$60=2,0,IF(Assumptions!$B$60=1,0,0)))*Pricing!$B$13</f>
        <v/>
      </c>
      <c r="I372" s="8">
        <f>H372+(I370-IF(Assumptions!$B$60=2,0,IF(Assumptions!$B$60=1,0,0)))*Pricing!$B$13</f>
        <v/>
      </c>
      <c r="J372" s="8">
        <f>I372+(J370-IF(Assumptions!$B$60=2,0,IF(Assumptions!$B$60=1,0,0)))*Pricing!$B$13</f>
        <v/>
      </c>
      <c r="K372" s="8">
        <f>J372+(K370-IF(Assumptions!$B$60=2,0,IF(Assumptions!$B$60=1,0,0)))*Pricing!$B$13</f>
        <v/>
      </c>
      <c r="L372" s="8">
        <f>K372+(L370-IF(Assumptions!$B$60=2,0,IF(Assumptions!$B$60=1,0,0)))*Pricing!$B$13</f>
        <v/>
      </c>
      <c r="M372" s="8">
        <f>L372+(M370-IF(Assumptions!$B$60=2,0,IF(Assumptions!$B$60=1,0,0)))*Pricing!$B$13</f>
        <v/>
      </c>
      <c r="N372" s="8">
        <f>M372+(N370-IF(Assumptions!$B$60=2,0,IF(Assumptions!$B$60=1,0,0)))*Pricing!$B$13</f>
        <v/>
      </c>
      <c r="O372" s="8">
        <f>N372+(O370-IF(Assumptions!$B$60=2,0,IF(Assumptions!$B$60=1,0,C370)))*Pricing!$B$13</f>
        <v/>
      </c>
      <c r="P372" s="8">
        <f>O372+(P370-IF(Assumptions!$B$60=2,0,IF(Assumptions!$B$60=1,C370,D370)))*Pricing!$B$13</f>
        <v/>
      </c>
      <c r="Q372" s="8">
        <f>P372+(Q370-IF(Assumptions!$B$60=2,C370,IF(Assumptions!$B$60=1,D370,E370)))*Pricing!$B$13</f>
        <v/>
      </c>
      <c r="R372" s="8">
        <f>Q372+(R370-IF(Assumptions!$B$60=2,D370,IF(Assumptions!$B$60=1,E370,F370)))*Pricing!$B$13</f>
        <v/>
      </c>
      <c r="S372" s="8">
        <f>R372+(S370-IF(Assumptions!$B$60=2,E370,IF(Assumptions!$B$60=1,F370,G370)))*Pricing!$B$13</f>
        <v/>
      </c>
      <c r="T372" s="8">
        <f>S372+(T370-IF(Assumptions!$B$60=2,F370,IF(Assumptions!$B$60=1,G370,H370)))*Pricing!$B$13</f>
        <v/>
      </c>
      <c r="U372" s="8">
        <f>T372+(U370-IF(Assumptions!$B$60=2,G370,IF(Assumptions!$B$60=1,H370,I370)))*Pricing!$B$13</f>
        <v/>
      </c>
      <c r="V372" s="8">
        <f>U372+(V370-IF(Assumptions!$B$60=2,H370,IF(Assumptions!$B$60=1,I370,J370)))*Pricing!$B$13</f>
        <v/>
      </c>
      <c r="W372" s="8">
        <f>V372+(W370-IF(Assumptions!$B$60=2,I370,IF(Assumptions!$B$60=1,J370,K370)))*Pricing!$B$13</f>
        <v/>
      </c>
      <c r="X372" s="8">
        <f>W372+(X370-IF(Assumptions!$B$60=2,J370,IF(Assumptions!$B$60=1,K370,L370)))*Pricing!$B$13</f>
        <v/>
      </c>
      <c r="Y372" s="8">
        <f>X372+(Y370-IF(Assumptions!$B$60=2,K370,IF(Assumptions!$B$60=1,L370,M370)))*Pricing!$B$13</f>
        <v/>
      </c>
      <c r="Z372" s="8">
        <f>Y372+(Z370-IF(Assumptions!$B$60=2,L370,IF(Assumptions!$B$60=1,M370,N370)))*Pricing!$B$13</f>
        <v/>
      </c>
      <c r="AA372" s="8">
        <f>Z372+(AA370-IF(Assumptions!$B$60=2,M370,IF(Assumptions!$B$60=1,N370,O370)))*Pricing!$B$13</f>
        <v/>
      </c>
      <c r="AB372" s="8">
        <f>AA372+(AB370-IF(Assumptions!$B$60=2,N370,IF(Assumptions!$B$60=1,O370,P370)))*Pricing!$B$13</f>
        <v/>
      </c>
      <c r="AC372" s="8">
        <f>AB372+(AC370-IF(Assumptions!$B$60=2,O370,IF(Assumptions!$B$60=1,P370,Q370)))*Pricing!$B$13</f>
        <v/>
      </c>
      <c r="AD372" s="8">
        <f>AC372+(AD370-IF(Assumptions!$B$60=2,P370,IF(Assumptions!$B$60=1,Q370,R370)))*Pricing!$B$13</f>
        <v/>
      </c>
      <c r="AE372" s="8">
        <f>AD372+(AE370-IF(Assumptions!$B$60=2,Q370,IF(Assumptions!$B$60=1,R370,S370)))*Pricing!$B$13</f>
        <v/>
      </c>
      <c r="AF372" s="8">
        <f>AE372+(AF370-IF(Assumptions!$B$60=2,R370,IF(Assumptions!$B$60=1,S370,T370)))*Pricing!$B$13</f>
        <v/>
      </c>
      <c r="AG372" s="8">
        <f>AF372+(AG370-IF(Assumptions!$B$60=2,S370,IF(Assumptions!$B$60=1,T370,U370)))*Pricing!$B$13</f>
        <v/>
      </c>
      <c r="AH372" s="8">
        <f>AG372+(AH370-IF(Assumptions!$B$60=2,T370,IF(Assumptions!$B$60=1,U370,V370)))*Pricing!$B$13</f>
        <v/>
      </c>
      <c r="AI372" s="8">
        <f>AH372+(AI370-IF(Assumptions!$B$60=2,U370,IF(Assumptions!$B$60=1,V370,W370)))*Pricing!$B$13</f>
        <v/>
      </c>
      <c r="AJ372" s="8">
        <f>AI372+(AJ370-IF(Assumptions!$B$60=2,V370,IF(Assumptions!$B$60=1,W370,X370)))*Pricing!$B$13</f>
        <v/>
      </c>
      <c r="AK372" s="8">
        <f>AJ372+(AK370-IF(Assumptions!$B$60=2,W370,IF(Assumptions!$B$60=1,X370,Y370)))*Pricing!$B$13</f>
        <v/>
      </c>
      <c r="AL372" s="8">
        <f>AK372+(AL370-IF(Assumptions!$B$60=2,X370,IF(Assumptions!$B$60=1,Y370,Z370)))*Pricing!$B$13</f>
        <v/>
      </c>
      <c r="AM372" s="8">
        <f>AL372+(AM370-IF(Assumptions!$B$60=2,Y370,IF(Assumptions!$B$60=1,Z370,AA370)))*Pricing!$B$13</f>
        <v/>
      </c>
      <c r="AN372" s="8">
        <f>AM372+(AN370-IF(Assumptions!$B$60=2,Z370,IF(Assumptions!$B$60=1,AA370,AB370)))*Pricing!$B$13</f>
        <v/>
      </c>
      <c r="AO372" s="8">
        <f>AN372+(AO370-IF(Assumptions!$B$60=2,AA370,IF(Assumptions!$B$60=1,AB370,AC370)))*Pricing!$B$13</f>
        <v/>
      </c>
      <c r="AP372" s="8">
        <f>AO372+(AP370-IF(Assumptions!$B$60=2,AB370,IF(Assumptions!$B$60=1,AC370,AD370)))*Pricing!$B$13</f>
        <v/>
      </c>
      <c r="AQ372" s="8">
        <f>AP372+(AQ370-IF(Assumptions!$B$60=2,AC370,IF(Assumptions!$B$60=1,AD370,AE370)))*Pricing!$B$13</f>
        <v/>
      </c>
      <c r="AR372" s="8">
        <f>AQ372+(AR370-IF(Assumptions!$B$60=2,AD370,IF(Assumptions!$B$60=1,AE370,AF370)))*Pricing!$B$13</f>
        <v/>
      </c>
      <c r="AS372" s="8">
        <f>AR372+(AS370-IF(Assumptions!$B$60=2,AE370,IF(Assumptions!$B$60=1,AF370,AG370)))*Pricing!$B$13</f>
        <v/>
      </c>
      <c r="AT372" s="8">
        <f>AS372+(AT370-IF(Assumptions!$B$60=2,AF370,IF(Assumptions!$B$60=1,AG370,AH370)))*Pricing!$B$13</f>
        <v/>
      </c>
      <c r="AU372" s="8">
        <f>AT372+(AU370-IF(Assumptions!$B$60=2,AG370,IF(Assumptions!$B$60=1,AH370,AI370)))*Pricing!$B$13</f>
        <v/>
      </c>
      <c r="AV372" s="8">
        <f>AU372+(AV370-IF(Assumptions!$B$60=2,AH370,IF(Assumptions!$B$60=1,AI370,AJ370)))*Pricing!$B$13</f>
        <v/>
      </c>
      <c r="AW372" s="8">
        <f>AV372+(AW370-IF(Assumptions!$B$60=2,AI370,IF(Assumptions!$B$60=1,AJ370,AK370)))*Pricing!$B$13</f>
        <v/>
      </c>
      <c r="AX372" s="8">
        <f>AW372+(AX370-IF(Assumptions!$B$60=2,AJ370,IF(Assumptions!$B$60=1,AK370,AL370)))*Pricing!$B$13</f>
        <v/>
      </c>
      <c r="AY372" s="8">
        <f>AX372+(AY370-IF(Assumptions!$B$60=2,AK370,IF(Assumptions!$B$60=1,AL370,AM370)))*Pricing!$B$13</f>
        <v/>
      </c>
      <c r="AZ372" s="8">
        <f>AY372+(AZ370-IF(Assumptions!$B$60=2,AL370,IF(Assumptions!$B$60=1,AM370,AN370)))*Pricing!$B$13</f>
        <v/>
      </c>
      <c r="BA372" s="8">
        <f>AZ372+(BA370-IF(Assumptions!$B$60=2,AM370,IF(Assumptions!$B$60=1,AN370,AO370)))*Pricing!$B$13</f>
        <v/>
      </c>
      <c r="BB372" s="8">
        <f>BA372+(BB370-IF(Assumptions!$B$60=2,AN370,IF(Assumptions!$B$60=1,AO370,AP370)))*Pricing!$B$13</f>
        <v/>
      </c>
      <c r="BC372" s="8">
        <f>BB372+(BC370-IF(Assumptions!$B$60=2,AO370,IF(Assumptions!$B$60=1,AP370,AQ370)))*Pricing!$B$13</f>
        <v/>
      </c>
      <c r="BD372" s="8">
        <f>BC372+(BD370-IF(Assumptions!$B$60=2,AP370,IF(Assumptions!$B$60=1,AQ370,AR370)))*Pricing!$B$13</f>
        <v/>
      </c>
      <c r="BE372" s="8">
        <f>BD372+(BE370-IF(Assumptions!$B$60=2,AQ370,IF(Assumptions!$B$60=1,AR370,AS370)))*Pricing!$B$13</f>
        <v/>
      </c>
      <c r="BF372" s="8">
        <f>BE372+(BF370-IF(Assumptions!$B$60=2,AR370,IF(Assumptions!$B$60=1,AS370,AT370)))*Pricing!$B$13</f>
        <v/>
      </c>
      <c r="BG372" s="8">
        <f>BF372+(BG370-IF(Assumptions!$B$60=2,AS370,IF(Assumptions!$B$60=1,AT370,AU370)))*Pricing!$B$13</f>
        <v/>
      </c>
      <c r="BH372" s="8">
        <f>BG372+(BH370-IF(Assumptions!$B$60=2,AT370,IF(Assumptions!$B$60=1,AU370,AV370)))*Pricing!$B$13</f>
        <v/>
      </c>
      <c r="BI372" s="8">
        <f>BH372+(BI370-IF(Assumptions!$B$60=2,AU370,IF(Assumptions!$B$60=1,AV370,AW370)))*Pricing!$B$13</f>
        <v/>
      </c>
      <c r="BJ372" s="8">
        <f>BI372+(BJ370-IF(Assumptions!$B$60=2,AV370,IF(Assumptions!$B$60=1,AW370,AX370)))*Pricing!$B$13</f>
        <v/>
      </c>
    </row>
    <row r="373">
      <c r="A373" s="4" t="inlineStr">
        <is>
          <t>Founding Member discount, annual plans (bonus months): Ghana</t>
        </is>
      </c>
      <c r="B373" s="17" t="inlineStr">
        <is>
          <t>R</t>
        </is>
      </c>
      <c r="C373" s="8">
        <f>C372*Pricing!$B$14*(1/12-1/(12+Assumptions!$B$60))</f>
        <v/>
      </c>
      <c r="D373" s="8">
        <f>D372*Pricing!$B$14*(1/12-1/(12+Assumptions!$B$60))</f>
        <v/>
      </c>
      <c r="E373" s="8">
        <f>E372*Pricing!$B$14*(1/12-1/(12+Assumptions!$B$60))</f>
        <v/>
      </c>
      <c r="F373" s="8">
        <f>F372*Pricing!$B$14*(1/12-1/(12+Assumptions!$B$60))</f>
        <v/>
      </c>
      <c r="G373" s="8">
        <f>G372*Pricing!$B$14*(1/12-1/(12+Assumptions!$B$60))</f>
        <v/>
      </c>
      <c r="H373" s="8">
        <f>H372*Pricing!$B$14*(1/12-1/(12+Assumptions!$B$60))</f>
        <v/>
      </c>
      <c r="I373" s="8">
        <f>I372*Pricing!$B$14*(1/12-1/(12+Assumptions!$B$60))</f>
        <v/>
      </c>
      <c r="J373" s="8">
        <f>J372*Pricing!$B$14*(1/12-1/(12+Assumptions!$B$60))</f>
        <v/>
      </c>
      <c r="K373" s="8">
        <f>K372*Pricing!$B$14*(1/12-1/(12+Assumptions!$B$60))</f>
        <v/>
      </c>
      <c r="L373" s="8">
        <f>L372*Pricing!$B$14*(1/12-1/(12+Assumptions!$B$60))</f>
        <v/>
      </c>
      <c r="M373" s="8">
        <f>M372*Pricing!$B$14*(1/12-1/(12+Assumptions!$B$60))</f>
        <v/>
      </c>
      <c r="N373" s="8">
        <f>N372*Pricing!$B$14*(1/12-1/(12+Assumptions!$B$60))</f>
        <v/>
      </c>
      <c r="O373" s="8">
        <f>O372*Pricing!$B$14*(1/12-1/(12+Assumptions!$B$60))</f>
        <v/>
      </c>
      <c r="P373" s="8">
        <f>P372*Pricing!$B$14*(1/12-1/(12+Assumptions!$B$60))</f>
        <v/>
      </c>
      <c r="Q373" s="8">
        <f>Q372*Pricing!$B$14*(1/12-1/(12+Assumptions!$B$60))</f>
        <v/>
      </c>
      <c r="R373" s="8">
        <f>R372*Pricing!$B$14*(1/12-1/(12+Assumptions!$B$60))</f>
        <v/>
      </c>
      <c r="S373" s="8">
        <f>S372*Pricing!$B$14*(1/12-1/(12+Assumptions!$B$60))</f>
        <v/>
      </c>
      <c r="T373" s="8">
        <f>T372*Pricing!$B$14*(1/12-1/(12+Assumptions!$B$60))</f>
        <v/>
      </c>
      <c r="U373" s="8">
        <f>U372*Pricing!$B$14*(1/12-1/(12+Assumptions!$B$60))</f>
        <v/>
      </c>
      <c r="V373" s="8">
        <f>V372*Pricing!$B$14*(1/12-1/(12+Assumptions!$B$60))</f>
        <v/>
      </c>
      <c r="W373" s="8">
        <f>W372*Pricing!$B$14*(1/12-1/(12+Assumptions!$B$60))</f>
        <v/>
      </c>
      <c r="X373" s="8">
        <f>X372*Pricing!$B$14*(1/12-1/(12+Assumptions!$B$60))</f>
        <v/>
      </c>
      <c r="Y373" s="8">
        <f>Y372*Pricing!$B$14*(1/12-1/(12+Assumptions!$B$60))</f>
        <v/>
      </c>
      <c r="Z373" s="8">
        <f>Z372*Pricing!$B$14*(1/12-1/(12+Assumptions!$B$60))</f>
        <v/>
      </c>
      <c r="AA373" s="8">
        <f>AA372*Pricing!$B$14*(1/12-1/(12+Assumptions!$B$60))</f>
        <v/>
      </c>
      <c r="AB373" s="8">
        <f>AB372*Pricing!$B$14*(1/12-1/(12+Assumptions!$B$60))</f>
        <v/>
      </c>
      <c r="AC373" s="8">
        <f>AC372*Pricing!$B$14*(1/12-1/(12+Assumptions!$B$60))</f>
        <v/>
      </c>
      <c r="AD373" s="8">
        <f>AD372*Pricing!$B$14*(1/12-1/(12+Assumptions!$B$60))</f>
        <v/>
      </c>
      <c r="AE373" s="8">
        <f>AE372*Pricing!$B$14*(1/12-1/(12+Assumptions!$B$60))</f>
        <v/>
      </c>
      <c r="AF373" s="8">
        <f>AF372*Pricing!$B$14*(1/12-1/(12+Assumptions!$B$60))</f>
        <v/>
      </c>
      <c r="AG373" s="8">
        <f>AG372*Pricing!$B$14*(1/12-1/(12+Assumptions!$B$60))</f>
        <v/>
      </c>
      <c r="AH373" s="8">
        <f>AH372*Pricing!$B$14*(1/12-1/(12+Assumptions!$B$60))</f>
        <v/>
      </c>
      <c r="AI373" s="8">
        <f>AI372*Pricing!$B$14*(1/12-1/(12+Assumptions!$B$60))</f>
        <v/>
      </c>
      <c r="AJ373" s="8">
        <f>AJ372*Pricing!$B$14*(1/12-1/(12+Assumptions!$B$60))</f>
        <v/>
      </c>
      <c r="AK373" s="8">
        <f>AK372*Pricing!$B$14*(1/12-1/(12+Assumptions!$B$60))</f>
        <v/>
      </c>
      <c r="AL373" s="8">
        <f>AL372*Pricing!$B$14*(1/12-1/(12+Assumptions!$B$60))</f>
        <v/>
      </c>
      <c r="AM373" s="8">
        <f>AM372*Pricing!$B$14*(1/12-1/(12+Assumptions!$B$60))</f>
        <v/>
      </c>
      <c r="AN373" s="8">
        <f>AN372*Pricing!$B$14*(1/12-1/(12+Assumptions!$B$60))</f>
        <v/>
      </c>
      <c r="AO373" s="8">
        <f>AO372*Pricing!$B$14*(1/12-1/(12+Assumptions!$B$60))</f>
        <v/>
      </c>
      <c r="AP373" s="8">
        <f>AP372*Pricing!$B$14*(1/12-1/(12+Assumptions!$B$60))</f>
        <v/>
      </c>
      <c r="AQ373" s="8">
        <f>AQ372*Pricing!$B$14*(1/12-1/(12+Assumptions!$B$60))</f>
        <v/>
      </c>
      <c r="AR373" s="8">
        <f>AR372*Pricing!$B$14*(1/12-1/(12+Assumptions!$B$60))</f>
        <v/>
      </c>
      <c r="AS373" s="8">
        <f>AS372*Pricing!$B$14*(1/12-1/(12+Assumptions!$B$60))</f>
        <v/>
      </c>
      <c r="AT373" s="8">
        <f>AT372*Pricing!$B$14*(1/12-1/(12+Assumptions!$B$60))</f>
        <v/>
      </c>
      <c r="AU373" s="8">
        <f>AU372*Pricing!$B$14*(1/12-1/(12+Assumptions!$B$60))</f>
        <v/>
      </c>
      <c r="AV373" s="8">
        <f>AV372*Pricing!$B$14*(1/12-1/(12+Assumptions!$B$60))</f>
        <v/>
      </c>
      <c r="AW373" s="8">
        <f>AW372*Pricing!$B$14*(1/12-1/(12+Assumptions!$B$60))</f>
        <v/>
      </c>
      <c r="AX373" s="8">
        <f>AX372*Pricing!$B$14*(1/12-1/(12+Assumptions!$B$60))</f>
        <v/>
      </c>
      <c r="AY373" s="8">
        <f>AY372*Pricing!$B$14*(1/12-1/(12+Assumptions!$B$60))</f>
        <v/>
      </c>
      <c r="AZ373" s="8">
        <f>AZ372*Pricing!$B$14*(1/12-1/(12+Assumptions!$B$60))</f>
        <v/>
      </c>
      <c r="BA373" s="8">
        <f>BA372*Pricing!$B$14*(1/12-1/(12+Assumptions!$B$60))</f>
        <v/>
      </c>
      <c r="BB373" s="8">
        <f>BB372*Pricing!$B$14*(1/12-1/(12+Assumptions!$B$60))</f>
        <v/>
      </c>
      <c r="BC373" s="8">
        <f>BC372*Pricing!$B$14*(1/12-1/(12+Assumptions!$B$60))</f>
        <v/>
      </c>
      <c r="BD373" s="8">
        <f>BD372*Pricing!$B$14*(1/12-1/(12+Assumptions!$B$60))</f>
        <v/>
      </c>
      <c r="BE373" s="8">
        <f>BE372*Pricing!$B$14*(1/12-1/(12+Assumptions!$B$60))</f>
        <v/>
      </c>
      <c r="BF373" s="8">
        <f>BF372*Pricing!$B$14*(1/12-1/(12+Assumptions!$B$60))</f>
        <v/>
      </c>
      <c r="BG373" s="8">
        <f>BG372*Pricing!$B$14*(1/12-1/(12+Assumptions!$B$60))</f>
        <v/>
      </c>
      <c r="BH373" s="8">
        <f>BH372*Pricing!$B$14*(1/12-1/(12+Assumptions!$B$60))</f>
        <v/>
      </c>
      <c r="BI373" s="8">
        <f>BI372*Pricing!$B$14*(1/12-1/(12+Assumptions!$B$60))</f>
        <v/>
      </c>
      <c r="BJ373" s="8">
        <f>BJ372*Pricing!$B$14*(1/12-1/(12+Assumptions!$B$60))</f>
        <v/>
      </c>
    </row>
    <row r="374">
      <c r="A374" s="3" t="inlineStr">
        <is>
          <t>Founding Member discount: Ghana</t>
        </is>
      </c>
      <c r="B374" s="17" t="inlineStr">
        <is>
          <t>R</t>
        </is>
      </c>
      <c r="C374" s="42">
        <f>C371+C373</f>
        <v/>
      </c>
      <c r="D374" s="42">
        <f>D371+D373</f>
        <v/>
      </c>
      <c r="E374" s="42">
        <f>E371+E373</f>
        <v/>
      </c>
      <c r="F374" s="42">
        <f>F371+F373</f>
        <v/>
      </c>
      <c r="G374" s="42">
        <f>G371+G373</f>
        <v/>
      </c>
      <c r="H374" s="42">
        <f>H371+H373</f>
        <v/>
      </c>
      <c r="I374" s="42">
        <f>I371+I373</f>
        <v/>
      </c>
      <c r="J374" s="42">
        <f>J371+J373</f>
        <v/>
      </c>
      <c r="K374" s="42">
        <f>K371+K373</f>
        <v/>
      </c>
      <c r="L374" s="42">
        <f>L371+L373</f>
        <v/>
      </c>
      <c r="M374" s="42">
        <f>M371+M373</f>
        <v/>
      </c>
      <c r="N374" s="42">
        <f>N371+N373</f>
        <v/>
      </c>
      <c r="O374" s="42">
        <f>O371+O373</f>
        <v/>
      </c>
      <c r="P374" s="42">
        <f>P371+P373</f>
        <v/>
      </c>
      <c r="Q374" s="42">
        <f>Q371+Q373</f>
        <v/>
      </c>
      <c r="R374" s="42">
        <f>R371+R373</f>
        <v/>
      </c>
      <c r="S374" s="42">
        <f>S371+S373</f>
        <v/>
      </c>
      <c r="T374" s="42">
        <f>T371+T373</f>
        <v/>
      </c>
      <c r="U374" s="42">
        <f>U371+U373</f>
        <v/>
      </c>
      <c r="V374" s="42">
        <f>V371+V373</f>
        <v/>
      </c>
      <c r="W374" s="42">
        <f>W371+W373</f>
        <v/>
      </c>
      <c r="X374" s="42">
        <f>X371+X373</f>
        <v/>
      </c>
      <c r="Y374" s="42">
        <f>Y371+Y373</f>
        <v/>
      </c>
      <c r="Z374" s="42">
        <f>Z371+Z373</f>
        <v/>
      </c>
      <c r="AA374" s="42">
        <f>AA371+AA373</f>
        <v/>
      </c>
      <c r="AB374" s="42">
        <f>AB371+AB373</f>
        <v/>
      </c>
      <c r="AC374" s="42">
        <f>AC371+AC373</f>
        <v/>
      </c>
      <c r="AD374" s="42">
        <f>AD371+AD373</f>
        <v/>
      </c>
      <c r="AE374" s="42">
        <f>AE371+AE373</f>
        <v/>
      </c>
      <c r="AF374" s="42">
        <f>AF371+AF373</f>
        <v/>
      </c>
      <c r="AG374" s="42">
        <f>AG371+AG373</f>
        <v/>
      </c>
      <c r="AH374" s="42">
        <f>AH371+AH373</f>
        <v/>
      </c>
      <c r="AI374" s="42">
        <f>AI371+AI373</f>
        <v/>
      </c>
      <c r="AJ374" s="42">
        <f>AJ371+AJ373</f>
        <v/>
      </c>
      <c r="AK374" s="42">
        <f>AK371+AK373</f>
        <v/>
      </c>
      <c r="AL374" s="42">
        <f>AL371+AL373</f>
        <v/>
      </c>
      <c r="AM374" s="42">
        <f>AM371+AM373</f>
        <v/>
      </c>
      <c r="AN374" s="42">
        <f>AN371+AN373</f>
        <v/>
      </c>
      <c r="AO374" s="42">
        <f>AO371+AO373</f>
        <v/>
      </c>
      <c r="AP374" s="42">
        <f>AP371+AP373</f>
        <v/>
      </c>
      <c r="AQ374" s="42">
        <f>AQ371+AQ373</f>
        <v/>
      </c>
      <c r="AR374" s="42">
        <f>AR371+AR373</f>
        <v/>
      </c>
      <c r="AS374" s="42">
        <f>AS371+AS373</f>
        <v/>
      </c>
      <c r="AT374" s="42">
        <f>AT371+AT373</f>
        <v/>
      </c>
      <c r="AU374" s="42">
        <f>AU371+AU373</f>
        <v/>
      </c>
      <c r="AV374" s="42">
        <f>AV371+AV373</f>
        <v/>
      </c>
      <c r="AW374" s="42">
        <f>AW371+AW373</f>
        <v/>
      </c>
      <c r="AX374" s="42">
        <f>AX371+AX373</f>
        <v/>
      </c>
      <c r="AY374" s="42">
        <f>AY371+AY373</f>
        <v/>
      </c>
      <c r="AZ374" s="42">
        <f>AZ371+AZ373</f>
        <v/>
      </c>
      <c r="BA374" s="42">
        <f>BA371+BA373</f>
        <v/>
      </c>
      <c r="BB374" s="42">
        <f>BB371+BB373</f>
        <v/>
      </c>
      <c r="BC374" s="42">
        <f>BC371+BC373</f>
        <v/>
      </c>
      <c r="BD374" s="42">
        <f>BD371+BD373</f>
        <v/>
      </c>
      <c r="BE374" s="42">
        <f>BE371+BE373</f>
        <v/>
      </c>
      <c r="BF374" s="42">
        <f>BF371+BF373</f>
        <v/>
      </c>
      <c r="BG374" s="42">
        <f>BG371+BG373</f>
        <v/>
      </c>
      <c r="BH374" s="42">
        <f>BH371+BH373</f>
        <v/>
      </c>
      <c r="BI374" s="42">
        <f>BI371+BI373</f>
        <v/>
      </c>
      <c r="BJ374" s="42">
        <f>BJ371+BJ373</f>
        <v/>
      </c>
    </row>
    <row r="375">
      <c r="A375" s="3" t="inlineStr">
        <is>
          <t>Founding Member discount: all markets</t>
        </is>
      </c>
      <c r="B375" s="17" t="inlineStr">
        <is>
          <t>R</t>
        </is>
      </c>
      <c r="C375" s="42">
        <f>C359+C364+C369+C374</f>
        <v/>
      </c>
      <c r="D375" s="42">
        <f>D359+D364+D369+D374</f>
        <v/>
      </c>
      <c r="E375" s="42">
        <f>E359+E364+E369+E374</f>
        <v/>
      </c>
      <c r="F375" s="42">
        <f>F359+F364+F369+F374</f>
        <v/>
      </c>
      <c r="G375" s="42">
        <f>G359+G364+G369+G374</f>
        <v/>
      </c>
      <c r="H375" s="42">
        <f>H359+H364+H369+H374</f>
        <v/>
      </c>
      <c r="I375" s="42">
        <f>I359+I364+I369+I374</f>
        <v/>
      </c>
      <c r="J375" s="42">
        <f>J359+J364+J369+J374</f>
        <v/>
      </c>
      <c r="K375" s="42">
        <f>K359+K364+K369+K374</f>
        <v/>
      </c>
      <c r="L375" s="42">
        <f>L359+L364+L369+L374</f>
        <v/>
      </c>
      <c r="M375" s="42">
        <f>M359+M364+M369+M374</f>
        <v/>
      </c>
      <c r="N375" s="42">
        <f>N359+N364+N369+N374</f>
        <v/>
      </c>
      <c r="O375" s="42">
        <f>O359+O364+O369+O374</f>
        <v/>
      </c>
      <c r="P375" s="42">
        <f>P359+P364+P369+P374</f>
        <v/>
      </c>
      <c r="Q375" s="42">
        <f>Q359+Q364+Q369+Q374</f>
        <v/>
      </c>
      <c r="R375" s="42">
        <f>R359+R364+R369+R374</f>
        <v/>
      </c>
      <c r="S375" s="42">
        <f>S359+S364+S369+S374</f>
        <v/>
      </c>
      <c r="T375" s="42">
        <f>T359+T364+T369+T374</f>
        <v/>
      </c>
      <c r="U375" s="42">
        <f>U359+U364+U369+U374</f>
        <v/>
      </c>
      <c r="V375" s="42">
        <f>V359+V364+V369+V374</f>
        <v/>
      </c>
      <c r="W375" s="42">
        <f>W359+W364+W369+W374</f>
        <v/>
      </c>
      <c r="X375" s="42">
        <f>X359+X364+X369+X374</f>
        <v/>
      </c>
      <c r="Y375" s="42">
        <f>Y359+Y364+Y369+Y374</f>
        <v/>
      </c>
      <c r="Z375" s="42">
        <f>Z359+Z364+Z369+Z374</f>
        <v/>
      </c>
      <c r="AA375" s="42">
        <f>AA359+AA364+AA369+AA374</f>
        <v/>
      </c>
      <c r="AB375" s="42">
        <f>AB359+AB364+AB369+AB374</f>
        <v/>
      </c>
      <c r="AC375" s="42">
        <f>AC359+AC364+AC369+AC374</f>
        <v/>
      </c>
      <c r="AD375" s="42">
        <f>AD359+AD364+AD369+AD374</f>
        <v/>
      </c>
      <c r="AE375" s="42">
        <f>AE359+AE364+AE369+AE374</f>
        <v/>
      </c>
      <c r="AF375" s="42">
        <f>AF359+AF364+AF369+AF374</f>
        <v/>
      </c>
      <c r="AG375" s="42">
        <f>AG359+AG364+AG369+AG374</f>
        <v/>
      </c>
      <c r="AH375" s="42">
        <f>AH359+AH364+AH369+AH374</f>
        <v/>
      </c>
      <c r="AI375" s="42">
        <f>AI359+AI364+AI369+AI374</f>
        <v/>
      </c>
      <c r="AJ375" s="42">
        <f>AJ359+AJ364+AJ369+AJ374</f>
        <v/>
      </c>
      <c r="AK375" s="42">
        <f>AK359+AK364+AK369+AK374</f>
        <v/>
      </c>
      <c r="AL375" s="42">
        <f>AL359+AL364+AL369+AL374</f>
        <v/>
      </c>
      <c r="AM375" s="42">
        <f>AM359+AM364+AM369+AM374</f>
        <v/>
      </c>
      <c r="AN375" s="42">
        <f>AN359+AN364+AN369+AN374</f>
        <v/>
      </c>
      <c r="AO375" s="42">
        <f>AO359+AO364+AO369+AO374</f>
        <v/>
      </c>
      <c r="AP375" s="42">
        <f>AP359+AP364+AP369+AP374</f>
        <v/>
      </c>
      <c r="AQ375" s="42">
        <f>AQ359+AQ364+AQ369+AQ374</f>
        <v/>
      </c>
      <c r="AR375" s="42">
        <f>AR359+AR364+AR369+AR374</f>
        <v/>
      </c>
      <c r="AS375" s="42">
        <f>AS359+AS364+AS369+AS374</f>
        <v/>
      </c>
      <c r="AT375" s="42">
        <f>AT359+AT364+AT369+AT374</f>
        <v/>
      </c>
      <c r="AU375" s="42">
        <f>AU359+AU364+AU369+AU374</f>
        <v/>
      </c>
      <c r="AV375" s="42">
        <f>AV359+AV364+AV369+AV374</f>
        <v/>
      </c>
      <c r="AW375" s="42">
        <f>AW359+AW364+AW369+AW374</f>
        <v/>
      </c>
      <c r="AX375" s="42">
        <f>AX359+AX364+AX369+AX374</f>
        <v/>
      </c>
      <c r="AY375" s="42">
        <f>AY359+AY364+AY369+AY374</f>
        <v/>
      </c>
      <c r="AZ375" s="42">
        <f>AZ359+AZ364+AZ369+AZ374</f>
        <v/>
      </c>
      <c r="BA375" s="42">
        <f>BA359+BA364+BA369+BA374</f>
        <v/>
      </c>
      <c r="BB375" s="42">
        <f>BB359+BB364+BB369+BB374</f>
        <v/>
      </c>
      <c r="BC375" s="42">
        <f>BC359+BC364+BC369+BC374</f>
        <v/>
      </c>
      <c r="BD375" s="42">
        <f>BD359+BD364+BD369+BD374</f>
        <v/>
      </c>
      <c r="BE375" s="42">
        <f>BE359+BE364+BE369+BE374</f>
        <v/>
      </c>
      <c r="BF375" s="42">
        <f>BF359+BF364+BF369+BF374</f>
        <v/>
      </c>
      <c r="BG375" s="42">
        <f>BG359+BG364+BG369+BG374</f>
        <v/>
      </c>
      <c r="BH375" s="42">
        <f>BH359+BH364+BH369+BH374</f>
        <v/>
      </c>
      <c r="BI375" s="42">
        <f>BI359+BI364+BI369+BI374</f>
        <v/>
      </c>
      <c r="BJ375" s="42">
        <f>BJ359+BJ364+BJ369+BJ374</f>
        <v/>
      </c>
    </row>
    <row r="376">
      <c r="A376" s="4" t="inlineStr">
        <is>
          <t>Converting pilot brands: gross MRR as booked (Agency at partner wholesale blend)</t>
        </is>
      </c>
      <c r="B376" s="17" t="inlineStr">
        <is>
          <t>R</t>
        </is>
      </c>
      <c r="C376" s="8">
        <f>C125*C307*(Assumptions!$B$26*Pricing!$B$31+Assumptions!$B$27*Pricing!$B$32+Assumptions!$B$28*(Pricing!$B$16*Pricing!$B$36+(1-Pricing!$B$16)*Pricing!$B$34))</f>
        <v/>
      </c>
      <c r="D376" s="8">
        <f>D125*D307*(Assumptions!$B$26*Pricing!$B$31+Assumptions!$B$27*Pricing!$B$32+Assumptions!$B$28*(Pricing!$B$16*Pricing!$B$36+(1-Pricing!$B$16)*Pricing!$B$34))</f>
        <v/>
      </c>
      <c r="E376" s="8">
        <f>E125*E307*(Assumptions!$B$26*Pricing!$B$31+Assumptions!$B$27*Pricing!$B$32+Assumptions!$B$28*(Pricing!$B$16*Pricing!$B$36+(1-Pricing!$B$16)*Pricing!$B$34))</f>
        <v/>
      </c>
      <c r="F376" s="8">
        <f>F125*F307*(Assumptions!$B$26*Pricing!$B$31+Assumptions!$B$27*Pricing!$B$32+Assumptions!$B$28*(Pricing!$B$16*Pricing!$B$36+(1-Pricing!$B$16)*Pricing!$B$34))</f>
        <v/>
      </c>
      <c r="G376" s="8">
        <f>G125*G307*(Assumptions!$B$26*Pricing!$B$31+Assumptions!$B$27*Pricing!$B$32+Assumptions!$B$28*(Pricing!$B$16*Pricing!$B$36+(1-Pricing!$B$16)*Pricing!$B$34))</f>
        <v/>
      </c>
      <c r="H376" s="8">
        <f>H125*H307*(Assumptions!$B$26*Pricing!$B$31+Assumptions!$B$27*Pricing!$B$32+Assumptions!$B$28*(Pricing!$B$16*Pricing!$B$36+(1-Pricing!$B$16)*Pricing!$B$34))</f>
        <v/>
      </c>
      <c r="I376" s="8">
        <f>I125*I307*(Assumptions!$B$26*Pricing!$B$31+Assumptions!$B$27*Pricing!$B$32+Assumptions!$B$28*(Pricing!$B$16*Pricing!$B$36+(1-Pricing!$B$16)*Pricing!$B$34))</f>
        <v/>
      </c>
      <c r="J376" s="8">
        <f>J125*J307*(Assumptions!$B$26*Pricing!$B$31+Assumptions!$B$27*Pricing!$B$32+Assumptions!$B$28*(Pricing!$B$16*Pricing!$B$36+(1-Pricing!$B$16)*Pricing!$B$34))</f>
        <v/>
      </c>
      <c r="K376" s="8">
        <f>K125*K307*(Assumptions!$B$26*Pricing!$B$31+Assumptions!$B$27*Pricing!$B$32+Assumptions!$B$28*(Pricing!$B$16*Pricing!$B$36+(1-Pricing!$B$16)*Pricing!$B$34))</f>
        <v/>
      </c>
      <c r="L376" s="8">
        <f>L125*L307*(Assumptions!$B$26*Pricing!$B$31+Assumptions!$B$27*Pricing!$B$32+Assumptions!$B$28*(Pricing!$B$16*Pricing!$B$36+(1-Pricing!$B$16)*Pricing!$B$34))</f>
        <v/>
      </c>
      <c r="M376" s="8">
        <f>M125*M307*(Assumptions!$B$26*Pricing!$B$31+Assumptions!$B$27*Pricing!$B$32+Assumptions!$B$28*(Pricing!$B$16*Pricing!$B$36+(1-Pricing!$B$16)*Pricing!$B$34))</f>
        <v/>
      </c>
      <c r="N376" s="8">
        <f>N125*N307*(Assumptions!$B$26*Pricing!$B$31+Assumptions!$B$27*Pricing!$B$32+Assumptions!$B$28*(Pricing!$B$16*Pricing!$B$36+(1-Pricing!$B$16)*Pricing!$B$34))</f>
        <v/>
      </c>
      <c r="O376" s="8">
        <f>O125*O307*(Assumptions!$B$26*Pricing!$B$31+Assumptions!$B$27*Pricing!$B$32+Assumptions!$B$28*(Pricing!$B$16*Pricing!$B$36+(1-Pricing!$B$16)*Pricing!$B$34))</f>
        <v/>
      </c>
      <c r="P376" s="8">
        <f>P125*P307*(Assumptions!$B$26*Pricing!$B$31+Assumptions!$B$27*Pricing!$B$32+Assumptions!$B$28*(Pricing!$B$16*Pricing!$B$36+(1-Pricing!$B$16)*Pricing!$B$34))</f>
        <v/>
      </c>
      <c r="Q376" s="8">
        <f>Q125*Q307*(Assumptions!$B$26*Pricing!$B$31+Assumptions!$B$27*Pricing!$B$32+Assumptions!$B$28*(Pricing!$B$16*Pricing!$B$36+(1-Pricing!$B$16)*Pricing!$B$34))</f>
        <v/>
      </c>
      <c r="R376" s="8">
        <f>R125*R307*(Assumptions!$B$26*Pricing!$B$31+Assumptions!$B$27*Pricing!$B$32+Assumptions!$B$28*(Pricing!$B$16*Pricing!$B$36+(1-Pricing!$B$16)*Pricing!$B$34))</f>
        <v/>
      </c>
      <c r="S376" s="8">
        <f>S125*S307*(Assumptions!$B$26*Pricing!$B$31+Assumptions!$B$27*Pricing!$B$32+Assumptions!$B$28*(Pricing!$B$16*Pricing!$B$36+(1-Pricing!$B$16)*Pricing!$B$34))</f>
        <v/>
      </c>
      <c r="T376" s="8">
        <f>T125*T307*(Assumptions!$B$26*Pricing!$B$31+Assumptions!$B$27*Pricing!$B$32+Assumptions!$B$28*(Pricing!$B$16*Pricing!$B$36+(1-Pricing!$B$16)*Pricing!$B$34))</f>
        <v/>
      </c>
      <c r="U376" s="8">
        <f>U125*U307*(Assumptions!$B$26*Pricing!$B$31+Assumptions!$B$27*Pricing!$B$32+Assumptions!$B$28*(Pricing!$B$16*Pricing!$B$36+(1-Pricing!$B$16)*Pricing!$B$34))</f>
        <v/>
      </c>
      <c r="V376" s="8">
        <f>V125*V307*(Assumptions!$B$26*Pricing!$B$31+Assumptions!$B$27*Pricing!$B$32+Assumptions!$B$28*(Pricing!$B$16*Pricing!$B$36+(1-Pricing!$B$16)*Pricing!$B$34))</f>
        <v/>
      </c>
      <c r="W376" s="8">
        <f>W125*W307*(Assumptions!$B$26*Pricing!$B$31+Assumptions!$B$27*Pricing!$B$32+Assumptions!$B$28*(Pricing!$B$16*Pricing!$B$36+(1-Pricing!$B$16)*Pricing!$B$34))</f>
        <v/>
      </c>
      <c r="X376" s="8">
        <f>X125*X307*(Assumptions!$B$26*Pricing!$B$31+Assumptions!$B$27*Pricing!$B$32+Assumptions!$B$28*(Pricing!$B$16*Pricing!$B$36+(1-Pricing!$B$16)*Pricing!$B$34))</f>
        <v/>
      </c>
      <c r="Y376" s="8">
        <f>Y125*Y307*(Assumptions!$B$26*Pricing!$B$31+Assumptions!$B$27*Pricing!$B$32+Assumptions!$B$28*(Pricing!$B$16*Pricing!$B$36+(1-Pricing!$B$16)*Pricing!$B$34))</f>
        <v/>
      </c>
      <c r="Z376" s="8">
        <f>Z125*Z307*(Assumptions!$B$26*Pricing!$B$31+Assumptions!$B$27*Pricing!$B$32+Assumptions!$B$28*(Pricing!$B$16*Pricing!$B$36+(1-Pricing!$B$16)*Pricing!$B$34))</f>
        <v/>
      </c>
      <c r="AA376" s="8">
        <f>AA125*AA307*(Assumptions!$B$26*Pricing!$B$31+Assumptions!$B$27*Pricing!$B$32+Assumptions!$B$28*(Pricing!$B$16*Pricing!$B$36+(1-Pricing!$B$16)*Pricing!$B$34))</f>
        <v/>
      </c>
      <c r="AB376" s="8">
        <f>AB125*AB307*(Assumptions!$B$26*Pricing!$B$31+Assumptions!$B$27*Pricing!$B$32+Assumptions!$B$28*(Pricing!$B$16*Pricing!$B$36+(1-Pricing!$B$16)*Pricing!$B$34))</f>
        <v/>
      </c>
      <c r="AC376" s="8">
        <f>AC125*AC307*(Assumptions!$B$26*Pricing!$B$31+Assumptions!$B$27*Pricing!$B$32+Assumptions!$B$28*(Pricing!$B$16*Pricing!$B$36+(1-Pricing!$B$16)*Pricing!$B$34))</f>
        <v/>
      </c>
      <c r="AD376" s="8">
        <f>AD125*AD307*(Assumptions!$B$26*Pricing!$B$31+Assumptions!$B$27*Pricing!$B$32+Assumptions!$B$28*(Pricing!$B$16*Pricing!$B$36+(1-Pricing!$B$16)*Pricing!$B$34))</f>
        <v/>
      </c>
      <c r="AE376" s="8">
        <f>AE125*AE307*(Assumptions!$B$26*Pricing!$B$31+Assumptions!$B$27*Pricing!$B$32+Assumptions!$B$28*(Pricing!$B$16*Pricing!$B$36+(1-Pricing!$B$16)*Pricing!$B$34))</f>
        <v/>
      </c>
      <c r="AF376" s="8">
        <f>AF125*AF307*(Assumptions!$B$26*Pricing!$B$31+Assumptions!$B$27*Pricing!$B$32+Assumptions!$B$28*(Pricing!$B$16*Pricing!$B$36+(1-Pricing!$B$16)*Pricing!$B$34))</f>
        <v/>
      </c>
      <c r="AG376" s="8">
        <f>AG125*AG307*(Assumptions!$B$26*Pricing!$B$31+Assumptions!$B$27*Pricing!$B$32+Assumptions!$B$28*(Pricing!$B$16*Pricing!$B$36+(1-Pricing!$B$16)*Pricing!$B$34))</f>
        <v/>
      </c>
      <c r="AH376" s="8">
        <f>AH125*AH307*(Assumptions!$B$26*Pricing!$B$31+Assumptions!$B$27*Pricing!$B$32+Assumptions!$B$28*(Pricing!$B$16*Pricing!$B$36+(1-Pricing!$B$16)*Pricing!$B$34))</f>
        <v/>
      </c>
      <c r="AI376" s="8">
        <f>AI125*AI307*(Assumptions!$B$26*Pricing!$B$31+Assumptions!$B$27*Pricing!$B$32+Assumptions!$B$28*(Pricing!$B$16*Pricing!$B$36+(1-Pricing!$B$16)*Pricing!$B$34))</f>
        <v/>
      </c>
      <c r="AJ376" s="8">
        <f>AJ125*AJ307*(Assumptions!$B$26*Pricing!$B$31+Assumptions!$B$27*Pricing!$B$32+Assumptions!$B$28*(Pricing!$B$16*Pricing!$B$36+(1-Pricing!$B$16)*Pricing!$B$34))</f>
        <v/>
      </c>
      <c r="AK376" s="8">
        <f>AK125*AK307*(Assumptions!$B$26*Pricing!$B$31+Assumptions!$B$27*Pricing!$B$32+Assumptions!$B$28*(Pricing!$B$16*Pricing!$B$36+(1-Pricing!$B$16)*Pricing!$B$34))</f>
        <v/>
      </c>
      <c r="AL376" s="8">
        <f>AL125*AL307*(Assumptions!$B$26*Pricing!$B$31+Assumptions!$B$27*Pricing!$B$32+Assumptions!$B$28*(Pricing!$B$16*Pricing!$B$36+(1-Pricing!$B$16)*Pricing!$B$34))</f>
        <v/>
      </c>
      <c r="AM376" s="8">
        <f>AM125*AM307*(Assumptions!$B$26*Pricing!$B$31+Assumptions!$B$27*Pricing!$B$32+Assumptions!$B$28*(Pricing!$B$16*Pricing!$B$36+(1-Pricing!$B$16)*Pricing!$B$34))</f>
        <v/>
      </c>
      <c r="AN376" s="8">
        <f>AN125*AN307*(Assumptions!$B$26*Pricing!$B$31+Assumptions!$B$27*Pricing!$B$32+Assumptions!$B$28*(Pricing!$B$16*Pricing!$B$36+(1-Pricing!$B$16)*Pricing!$B$34))</f>
        <v/>
      </c>
      <c r="AO376" s="8">
        <f>AO125*AO307*(Assumptions!$B$26*Pricing!$B$31+Assumptions!$B$27*Pricing!$B$32+Assumptions!$B$28*(Pricing!$B$16*Pricing!$B$36+(1-Pricing!$B$16)*Pricing!$B$34))</f>
        <v/>
      </c>
      <c r="AP376" s="8">
        <f>AP125*AP307*(Assumptions!$B$26*Pricing!$B$31+Assumptions!$B$27*Pricing!$B$32+Assumptions!$B$28*(Pricing!$B$16*Pricing!$B$36+(1-Pricing!$B$16)*Pricing!$B$34))</f>
        <v/>
      </c>
      <c r="AQ376" s="8">
        <f>AQ125*AQ307*(Assumptions!$B$26*Pricing!$B$31+Assumptions!$B$27*Pricing!$B$32+Assumptions!$B$28*(Pricing!$B$16*Pricing!$B$36+(1-Pricing!$B$16)*Pricing!$B$34))</f>
        <v/>
      </c>
      <c r="AR376" s="8">
        <f>AR125*AR307*(Assumptions!$B$26*Pricing!$B$31+Assumptions!$B$27*Pricing!$B$32+Assumptions!$B$28*(Pricing!$B$16*Pricing!$B$36+(1-Pricing!$B$16)*Pricing!$B$34))</f>
        <v/>
      </c>
      <c r="AS376" s="8">
        <f>AS125*AS307*(Assumptions!$B$26*Pricing!$B$31+Assumptions!$B$27*Pricing!$B$32+Assumptions!$B$28*(Pricing!$B$16*Pricing!$B$36+(1-Pricing!$B$16)*Pricing!$B$34))</f>
        <v/>
      </c>
      <c r="AT376" s="8">
        <f>AT125*AT307*(Assumptions!$B$26*Pricing!$B$31+Assumptions!$B$27*Pricing!$B$32+Assumptions!$B$28*(Pricing!$B$16*Pricing!$B$36+(1-Pricing!$B$16)*Pricing!$B$34))</f>
        <v/>
      </c>
      <c r="AU376" s="8">
        <f>AU125*AU307*(Assumptions!$B$26*Pricing!$B$31+Assumptions!$B$27*Pricing!$B$32+Assumptions!$B$28*(Pricing!$B$16*Pricing!$B$36+(1-Pricing!$B$16)*Pricing!$B$34))</f>
        <v/>
      </c>
      <c r="AV376" s="8">
        <f>AV125*AV307*(Assumptions!$B$26*Pricing!$B$31+Assumptions!$B$27*Pricing!$B$32+Assumptions!$B$28*(Pricing!$B$16*Pricing!$B$36+(1-Pricing!$B$16)*Pricing!$B$34))</f>
        <v/>
      </c>
      <c r="AW376" s="8">
        <f>AW125*AW307*(Assumptions!$B$26*Pricing!$B$31+Assumptions!$B$27*Pricing!$B$32+Assumptions!$B$28*(Pricing!$B$16*Pricing!$B$36+(1-Pricing!$B$16)*Pricing!$B$34))</f>
        <v/>
      </c>
      <c r="AX376" s="8">
        <f>AX125*AX307*(Assumptions!$B$26*Pricing!$B$31+Assumptions!$B$27*Pricing!$B$32+Assumptions!$B$28*(Pricing!$B$16*Pricing!$B$36+(1-Pricing!$B$16)*Pricing!$B$34))</f>
        <v/>
      </c>
      <c r="AY376" s="8">
        <f>AY125*AY307*(Assumptions!$B$26*Pricing!$B$31+Assumptions!$B$27*Pricing!$B$32+Assumptions!$B$28*(Pricing!$B$16*Pricing!$B$36+(1-Pricing!$B$16)*Pricing!$B$34))</f>
        <v/>
      </c>
      <c r="AZ376" s="8">
        <f>AZ125*AZ307*(Assumptions!$B$26*Pricing!$B$31+Assumptions!$B$27*Pricing!$B$32+Assumptions!$B$28*(Pricing!$B$16*Pricing!$B$36+(1-Pricing!$B$16)*Pricing!$B$34))</f>
        <v/>
      </c>
      <c r="BA376" s="8">
        <f>BA125*BA307*(Assumptions!$B$26*Pricing!$B$31+Assumptions!$B$27*Pricing!$B$32+Assumptions!$B$28*(Pricing!$B$16*Pricing!$B$36+(1-Pricing!$B$16)*Pricing!$B$34))</f>
        <v/>
      </c>
      <c r="BB376" s="8">
        <f>BB125*BB307*(Assumptions!$B$26*Pricing!$B$31+Assumptions!$B$27*Pricing!$B$32+Assumptions!$B$28*(Pricing!$B$16*Pricing!$B$36+(1-Pricing!$B$16)*Pricing!$B$34))</f>
        <v/>
      </c>
      <c r="BC376" s="8">
        <f>BC125*BC307*(Assumptions!$B$26*Pricing!$B$31+Assumptions!$B$27*Pricing!$B$32+Assumptions!$B$28*(Pricing!$B$16*Pricing!$B$36+(1-Pricing!$B$16)*Pricing!$B$34))</f>
        <v/>
      </c>
      <c r="BD376" s="8">
        <f>BD125*BD307*(Assumptions!$B$26*Pricing!$B$31+Assumptions!$B$27*Pricing!$B$32+Assumptions!$B$28*(Pricing!$B$16*Pricing!$B$36+(1-Pricing!$B$16)*Pricing!$B$34))</f>
        <v/>
      </c>
      <c r="BE376" s="8">
        <f>BE125*BE307*(Assumptions!$B$26*Pricing!$B$31+Assumptions!$B$27*Pricing!$B$32+Assumptions!$B$28*(Pricing!$B$16*Pricing!$B$36+(1-Pricing!$B$16)*Pricing!$B$34))</f>
        <v/>
      </c>
      <c r="BF376" s="8">
        <f>BF125*BF307*(Assumptions!$B$26*Pricing!$B$31+Assumptions!$B$27*Pricing!$B$32+Assumptions!$B$28*(Pricing!$B$16*Pricing!$B$36+(1-Pricing!$B$16)*Pricing!$B$34))</f>
        <v/>
      </c>
      <c r="BG376" s="8">
        <f>BG125*BG307*(Assumptions!$B$26*Pricing!$B$31+Assumptions!$B$27*Pricing!$B$32+Assumptions!$B$28*(Pricing!$B$16*Pricing!$B$36+(1-Pricing!$B$16)*Pricing!$B$34))</f>
        <v/>
      </c>
      <c r="BH376" s="8">
        <f>BH125*BH307*(Assumptions!$B$26*Pricing!$B$31+Assumptions!$B$27*Pricing!$B$32+Assumptions!$B$28*(Pricing!$B$16*Pricing!$B$36+(1-Pricing!$B$16)*Pricing!$B$34))</f>
        <v/>
      </c>
      <c r="BI376" s="8">
        <f>BI125*BI307*(Assumptions!$B$26*Pricing!$B$31+Assumptions!$B$27*Pricing!$B$32+Assumptions!$B$28*(Pricing!$B$16*Pricing!$B$36+(1-Pricing!$B$16)*Pricing!$B$34))</f>
        <v/>
      </c>
      <c r="BJ376" s="8">
        <f>BJ125*BJ307*(Assumptions!$B$26*Pricing!$B$31+Assumptions!$B$27*Pricing!$B$32+Assumptions!$B$28*(Pricing!$B$16*Pricing!$B$36+(1-Pricing!$B$16)*Pricing!$B$34))</f>
        <v/>
      </c>
    </row>
    <row r="377">
      <c r="A377" s="4" t="inlineStr">
        <is>
          <t>Converting pilot brands: pilot price (list x (1 - pilot discount): R249 / R999 / R3,999)</t>
        </is>
      </c>
      <c r="B377" s="17" t="inlineStr">
        <is>
          <t>R</t>
        </is>
      </c>
      <c r="C377" s="8">
        <f>C125*C307*(1-Assumptions!$B$24)*(Assumptions!$B$26*Pricing!$B$31+Assumptions!$B$27*Pricing!$B$32+Assumptions!$B$28*Pricing!$B$34)</f>
        <v/>
      </c>
      <c r="D377" s="8">
        <f>D125*D307*(1-Assumptions!$B$24)*(Assumptions!$B$26*Pricing!$B$31+Assumptions!$B$27*Pricing!$B$32+Assumptions!$B$28*Pricing!$B$34)</f>
        <v/>
      </c>
      <c r="E377" s="8">
        <f>E125*E307*(1-Assumptions!$B$24)*(Assumptions!$B$26*Pricing!$B$31+Assumptions!$B$27*Pricing!$B$32+Assumptions!$B$28*Pricing!$B$34)</f>
        <v/>
      </c>
      <c r="F377" s="8">
        <f>F125*F307*(1-Assumptions!$B$24)*(Assumptions!$B$26*Pricing!$B$31+Assumptions!$B$27*Pricing!$B$32+Assumptions!$B$28*Pricing!$B$34)</f>
        <v/>
      </c>
      <c r="G377" s="8">
        <f>G125*G307*(1-Assumptions!$B$24)*(Assumptions!$B$26*Pricing!$B$31+Assumptions!$B$27*Pricing!$B$32+Assumptions!$B$28*Pricing!$B$34)</f>
        <v/>
      </c>
      <c r="H377" s="8">
        <f>H125*H307*(1-Assumptions!$B$24)*(Assumptions!$B$26*Pricing!$B$31+Assumptions!$B$27*Pricing!$B$32+Assumptions!$B$28*Pricing!$B$34)</f>
        <v/>
      </c>
      <c r="I377" s="8">
        <f>I125*I307*(1-Assumptions!$B$24)*(Assumptions!$B$26*Pricing!$B$31+Assumptions!$B$27*Pricing!$B$32+Assumptions!$B$28*Pricing!$B$34)</f>
        <v/>
      </c>
      <c r="J377" s="8">
        <f>J125*J307*(1-Assumptions!$B$24)*(Assumptions!$B$26*Pricing!$B$31+Assumptions!$B$27*Pricing!$B$32+Assumptions!$B$28*Pricing!$B$34)</f>
        <v/>
      </c>
      <c r="K377" s="8">
        <f>K125*K307*(1-Assumptions!$B$24)*(Assumptions!$B$26*Pricing!$B$31+Assumptions!$B$27*Pricing!$B$32+Assumptions!$B$28*Pricing!$B$34)</f>
        <v/>
      </c>
      <c r="L377" s="8">
        <f>L125*L307*(1-Assumptions!$B$24)*(Assumptions!$B$26*Pricing!$B$31+Assumptions!$B$27*Pricing!$B$32+Assumptions!$B$28*Pricing!$B$34)</f>
        <v/>
      </c>
      <c r="M377" s="8">
        <f>M125*M307*(1-Assumptions!$B$24)*(Assumptions!$B$26*Pricing!$B$31+Assumptions!$B$27*Pricing!$B$32+Assumptions!$B$28*Pricing!$B$34)</f>
        <v/>
      </c>
      <c r="N377" s="8">
        <f>N125*N307*(1-Assumptions!$B$24)*(Assumptions!$B$26*Pricing!$B$31+Assumptions!$B$27*Pricing!$B$32+Assumptions!$B$28*Pricing!$B$34)</f>
        <v/>
      </c>
      <c r="O377" s="8">
        <f>O125*O307*(1-Assumptions!$B$24)*(Assumptions!$B$26*Pricing!$B$31+Assumptions!$B$27*Pricing!$B$32+Assumptions!$B$28*Pricing!$B$34)</f>
        <v/>
      </c>
      <c r="P377" s="8">
        <f>P125*P307*(1-Assumptions!$B$24)*(Assumptions!$B$26*Pricing!$B$31+Assumptions!$B$27*Pricing!$B$32+Assumptions!$B$28*Pricing!$B$34)</f>
        <v/>
      </c>
      <c r="Q377" s="8">
        <f>Q125*Q307*(1-Assumptions!$B$24)*(Assumptions!$B$26*Pricing!$B$31+Assumptions!$B$27*Pricing!$B$32+Assumptions!$B$28*Pricing!$B$34)</f>
        <v/>
      </c>
      <c r="R377" s="8">
        <f>R125*R307*(1-Assumptions!$B$24)*(Assumptions!$B$26*Pricing!$B$31+Assumptions!$B$27*Pricing!$B$32+Assumptions!$B$28*Pricing!$B$34)</f>
        <v/>
      </c>
      <c r="S377" s="8">
        <f>S125*S307*(1-Assumptions!$B$24)*(Assumptions!$B$26*Pricing!$B$31+Assumptions!$B$27*Pricing!$B$32+Assumptions!$B$28*Pricing!$B$34)</f>
        <v/>
      </c>
      <c r="T377" s="8">
        <f>T125*T307*(1-Assumptions!$B$24)*(Assumptions!$B$26*Pricing!$B$31+Assumptions!$B$27*Pricing!$B$32+Assumptions!$B$28*Pricing!$B$34)</f>
        <v/>
      </c>
      <c r="U377" s="8">
        <f>U125*U307*(1-Assumptions!$B$24)*(Assumptions!$B$26*Pricing!$B$31+Assumptions!$B$27*Pricing!$B$32+Assumptions!$B$28*Pricing!$B$34)</f>
        <v/>
      </c>
      <c r="V377" s="8">
        <f>V125*V307*(1-Assumptions!$B$24)*(Assumptions!$B$26*Pricing!$B$31+Assumptions!$B$27*Pricing!$B$32+Assumptions!$B$28*Pricing!$B$34)</f>
        <v/>
      </c>
      <c r="W377" s="8">
        <f>W125*W307*(1-Assumptions!$B$24)*(Assumptions!$B$26*Pricing!$B$31+Assumptions!$B$27*Pricing!$B$32+Assumptions!$B$28*Pricing!$B$34)</f>
        <v/>
      </c>
      <c r="X377" s="8">
        <f>X125*X307*(1-Assumptions!$B$24)*(Assumptions!$B$26*Pricing!$B$31+Assumptions!$B$27*Pricing!$B$32+Assumptions!$B$28*Pricing!$B$34)</f>
        <v/>
      </c>
      <c r="Y377" s="8">
        <f>Y125*Y307*(1-Assumptions!$B$24)*(Assumptions!$B$26*Pricing!$B$31+Assumptions!$B$27*Pricing!$B$32+Assumptions!$B$28*Pricing!$B$34)</f>
        <v/>
      </c>
      <c r="Z377" s="8">
        <f>Z125*Z307*(1-Assumptions!$B$24)*(Assumptions!$B$26*Pricing!$B$31+Assumptions!$B$27*Pricing!$B$32+Assumptions!$B$28*Pricing!$B$34)</f>
        <v/>
      </c>
      <c r="AA377" s="8">
        <f>AA125*AA307*(1-Assumptions!$B$24)*(Assumptions!$B$26*Pricing!$B$31+Assumptions!$B$27*Pricing!$B$32+Assumptions!$B$28*Pricing!$B$34)</f>
        <v/>
      </c>
      <c r="AB377" s="8">
        <f>AB125*AB307*(1-Assumptions!$B$24)*(Assumptions!$B$26*Pricing!$B$31+Assumptions!$B$27*Pricing!$B$32+Assumptions!$B$28*Pricing!$B$34)</f>
        <v/>
      </c>
      <c r="AC377" s="8">
        <f>AC125*AC307*(1-Assumptions!$B$24)*(Assumptions!$B$26*Pricing!$B$31+Assumptions!$B$27*Pricing!$B$32+Assumptions!$B$28*Pricing!$B$34)</f>
        <v/>
      </c>
      <c r="AD377" s="8">
        <f>AD125*AD307*(1-Assumptions!$B$24)*(Assumptions!$B$26*Pricing!$B$31+Assumptions!$B$27*Pricing!$B$32+Assumptions!$B$28*Pricing!$B$34)</f>
        <v/>
      </c>
      <c r="AE377" s="8">
        <f>AE125*AE307*(1-Assumptions!$B$24)*(Assumptions!$B$26*Pricing!$B$31+Assumptions!$B$27*Pricing!$B$32+Assumptions!$B$28*Pricing!$B$34)</f>
        <v/>
      </c>
      <c r="AF377" s="8">
        <f>AF125*AF307*(1-Assumptions!$B$24)*(Assumptions!$B$26*Pricing!$B$31+Assumptions!$B$27*Pricing!$B$32+Assumptions!$B$28*Pricing!$B$34)</f>
        <v/>
      </c>
      <c r="AG377" s="8">
        <f>AG125*AG307*(1-Assumptions!$B$24)*(Assumptions!$B$26*Pricing!$B$31+Assumptions!$B$27*Pricing!$B$32+Assumptions!$B$28*Pricing!$B$34)</f>
        <v/>
      </c>
      <c r="AH377" s="8">
        <f>AH125*AH307*(1-Assumptions!$B$24)*(Assumptions!$B$26*Pricing!$B$31+Assumptions!$B$27*Pricing!$B$32+Assumptions!$B$28*Pricing!$B$34)</f>
        <v/>
      </c>
      <c r="AI377" s="8">
        <f>AI125*AI307*(1-Assumptions!$B$24)*(Assumptions!$B$26*Pricing!$B$31+Assumptions!$B$27*Pricing!$B$32+Assumptions!$B$28*Pricing!$B$34)</f>
        <v/>
      </c>
      <c r="AJ377" s="8">
        <f>AJ125*AJ307*(1-Assumptions!$B$24)*(Assumptions!$B$26*Pricing!$B$31+Assumptions!$B$27*Pricing!$B$32+Assumptions!$B$28*Pricing!$B$34)</f>
        <v/>
      </c>
      <c r="AK377" s="8">
        <f>AK125*AK307*(1-Assumptions!$B$24)*(Assumptions!$B$26*Pricing!$B$31+Assumptions!$B$27*Pricing!$B$32+Assumptions!$B$28*Pricing!$B$34)</f>
        <v/>
      </c>
      <c r="AL377" s="8">
        <f>AL125*AL307*(1-Assumptions!$B$24)*(Assumptions!$B$26*Pricing!$B$31+Assumptions!$B$27*Pricing!$B$32+Assumptions!$B$28*Pricing!$B$34)</f>
        <v/>
      </c>
      <c r="AM377" s="8">
        <f>AM125*AM307*(1-Assumptions!$B$24)*(Assumptions!$B$26*Pricing!$B$31+Assumptions!$B$27*Pricing!$B$32+Assumptions!$B$28*Pricing!$B$34)</f>
        <v/>
      </c>
      <c r="AN377" s="8">
        <f>AN125*AN307*(1-Assumptions!$B$24)*(Assumptions!$B$26*Pricing!$B$31+Assumptions!$B$27*Pricing!$B$32+Assumptions!$B$28*Pricing!$B$34)</f>
        <v/>
      </c>
      <c r="AO377" s="8">
        <f>AO125*AO307*(1-Assumptions!$B$24)*(Assumptions!$B$26*Pricing!$B$31+Assumptions!$B$27*Pricing!$B$32+Assumptions!$B$28*Pricing!$B$34)</f>
        <v/>
      </c>
      <c r="AP377" s="8">
        <f>AP125*AP307*(1-Assumptions!$B$24)*(Assumptions!$B$26*Pricing!$B$31+Assumptions!$B$27*Pricing!$B$32+Assumptions!$B$28*Pricing!$B$34)</f>
        <v/>
      </c>
      <c r="AQ377" s="8">
        <f>AQ125*AQ307*(1-Assumptions!$B$24)*(Assumptions!$B$26*Pricing!$B$31+Assumptions!$B$27*Pricing!$B$32+Assumptions!$B$28*Pricing!$B$34)</f>
        <v/>
      </c>
      <c r="AR377" s="8">
        <f>AR125*AR307*(1-Assumptions!$B$24)*(Assumptions!$B$26*Pricing!$B$31+Assumptions!$B$27*Pricing!$B$32+Assumptions!$B$28*Pricing!$B$34)</f>
        <v/>
      </c>
      <c r="AS377" s="8">
        <f>AS125*AS307*(1-Assumptions!$B$24)*(Assumptions!$B$26*Pricing!$B$31+Assumptions!$B$27*Pricing!$B$32+Assumptions!$B$28*Pricing!$B$34)</f>
        <v/>
      </c>
      <c r="AT377" s="8">
        <f>AT125*AT307*(1-Assumptions!$B$24)*(Assumptions!$B$26*Pricing!$B$31+Assumptions!$B$27*Pricing!$B$32+Assumptions!$B$28*Pricing!$B$34)</f>
        <v/>
      </c>
      <c r="AU377" s="8">
        <f>AU125*AU307*(1-Assumptions!$B$24)*(Assumptions!$B$26*Pricing!$B$31+Assumptions!$B$27*Pricing!$B$32+Assumptions!$B$28*Pricing!$B$34)</f>
        <v/>
      </c>
      <c r="AV377" s="8">
        <f>AV125*AV307*(1-Assumptions!$B$24)*(Assumptions!$B$26*Pricing!$B$31+Assumptions!$B$27*Pricing!$B$32+Assumptions!$B$28*Pricing!$B$34)</f>
        <v/>
      </c>
      <c r="AW377" s="8">
        <f>AW125*AW307*(1-Assumptions!$B$24)*(Assumptions!$B$26*Pricing!$B$31+Assumptions!$B$27*Pricing!$B$32+Assumptions!$B$28*Pricing!$B$34)</f>
        <v/>
      </c>
      <c r="AX377" s="8">
        <f>AX125*AX307*(1-Assumptions!$B$24)*(Assumptions!$B$26*Pricing!$B$31+Assumptions!$B$27*Pricing!$B$32+Assumptions!$B$28*Pricing!$B$34)</f>
        <v/>
      </c>
      <c r="AY377" s="8">
        <f>AY125*AY307*(1-Assumptions!$B$24)*(Assumptions!$B$26*Pricing!$B$31+Assumptions!$B$27*Pricing!$B$32+Assumptions!$B$28*Pricing!$B$34)</f>
        <v/>
      </c>
      <c r="AZ377" s="8">
        <f>AZ125*AZ307*(1-Assumptions!$B$24)*(Assumptions!$B$26*Pricing!$B$31+Assumptions!$B$27*Pricing!$B$32+Assumptions!$B$28*Pricing!$B$34)</f>
        <v/>
      </c>
      <c r="BA377" s="8">
        <f>BA125*BA307*(1-Assumptions!$B$24)*(Assumptions!$B$26*Pricing!$B$31+Assumptions!$B$27*Pricing!$B$32+Assumptions!$B$28*Pricing!$B$34)</f>
        <v/>
      </c>
      <c r="BB377" s="8">
        <f>BB125*BB307*(1-Assumptions!$B$24)*(Assumptions!$B$26*Pricing!$B$31+Assumptions!$B$27*Pricing!$B$32+Assumptions!$B$28*Pricing!$B$34)</f>
        <v/>
      </c>
      <c r="BC377" s="8">
        <f>BC125*BC307*(1-Assumptions!$B$24)*(Assumptions!$B$26*Pricing!$B$31+Assumptions!$B$27*Pricing!$B$32+Assumptions!$B$28*Pricing!$B$34)</f>
        <v/>
      </c>
      <c r="BD377" s="8">
        <f>BD125*BD307*(1-Assumptions!$B$24)*(Assumptions!$B$26*Pricing!$B$31+Assumptions!$B$27*Pricing!$B$32+Assumptions!$B$28*Pricing!$B$34)</f>
        <v/>
      </c>
      <c r="BE377" s="8">
        <f>BE125*BE307*(1-Assumptions!$B$24)*(Assumptions!$B$26*Pricing!$B$31+Assumptions!$B$27*Pricing!$B$32+Assumptions!$B$28*Pricing!$B$34)</f>
        <v/>
      </c>
      <c r="BF377" s="8">
        <f>BF125*BF307*(1-Assumptions!$B$24)*(Assumptions!$B$26*Pricing!$B$31+Assumptions!$B$27*Pricing!$B$32+Assumptions!$B$28*Pricing!$B$34)</f>
        <v/>
      </c>
      <c r="BG377" s="8">
        <f>BG125*BG307*(1-Assumptions!$B$24)*(Assumptions!$B$26*Pricing!$B$31+Assumptions!$B$27*Pricing!$B$32+Assumptions!$B$28*Pricing!$B$34)</f>
        <v/>
      </c>
      <c r="BH377" s="8">
        <f>BH125*BH307*(1-Assumptions!$B$24)*(Assumptions!$B$26*Pricing!$B$31+Assumptions!$B$27*Pricing!$B$32+Assumptions!$B$28*Pricing!$B$34)</f>
        <v/>
      </c>
      <c r="BI377" s="8">
        <f>BI125*BI307*(1-Assumptions!$B$24)*(Assumptions!$B$26*Pricing!$B$31+Assumptions!$B$27*Pricing!$B$32+Assumptions!$B$28*Pricing!$B$34)</f>
        <v/>
      </c>
      <c r="BJ377" s="8">
        <f>BJ125*BJ307*(1-Assumptions!$B$24)*(Assumptions!$B$26*Pricing!$B$31+Assumptions!$B$27*Pricing!$B$32+Assumptions!$B$28*Pricing!$B$34)</f>
        <v/>
      </c>
    </row>
    <row r="378">
      <c r="A378" s="4" t="inlineStr">
        <is>
          <t>Pilot discount per bill (gross booked minus pilot price)</t>
        </is>
      </c>
      <c r="B378" s="17" t="inlineStr">
        <is>
          <t>R</t>
        </is>
      </c>
      <c r="C378" s="8">
        <f>MAX(0,C376-C377)</f>
        <v/>
      </c>
      <c r="D378" s="8">
        <f>MAX(0,D376-D377)</f>
        <v/>
      </c>
      <c r="E378" s="8">
        <f>MAX(0,E376-E377)</f>
        <v/>
      </c>
      <c r="F378" s="8">
        <f>MAX(0,F376-F377)</f>
        <v/>
      </c>
      <c r="G378" s="8">
        <f>MAX(0,G376-G377)</f>
        <v/>
      </c>
      <c r="H378" s="8">
        <f>MAX(0,H376-H377)</f>
        <v/>
      </c>
      <c r="I378" s="8">
        <f>MAX(0,I376-I377)</f>
        <v/>
      </c>
      <c r="J378" s="8">
        <f>MAX(0,J376-J377)</f>
        <v/>
      </c>
      <c r="K378" s="8">
        <f>MAX(0,K376-K377)</f>
        <v/>
      </c>
      <c r="L378" s="8">
        <f>MAX(0,L376-L377)</f>
        <v/>
      </c>
      <c r="M378" s="8">
        <f>MAX(0,M376-M377)</f>
        <v/>
      </c>
      <c r="N378" s="8">
        <f>MAX(0,N376-N377)</f>
        <v/>
      </c>
      <c r="O378" s="8">
        <f>MAX(0,O376-O377)</f>
        <v/>
      </c>
      <c r="P378" s="8">
        <f>MAX(0,P376-P377)</f>
        <v/>
      </c>
      <c r="Q378" s="8">
        <f>MAX(0,Q376-Q377)</f>
        <v/>
      </c>
      <c r="R378" s="8">
        <f>MAX(0,R376-R377)</f>
        <v/>
      </c>
      <c r="S378" s="8">
        <f>MAX(0,S376-S377)</f>
        <v/>
      </c>
      <c r="T378" s="8">
        <f>MAX(0,T376-T377)</f>
        <v/>
      </c>
      <c r="U378" s="8">
        <f>MAX(0,U376-U377)</f>
        <v/>
      </c>
      <c r="V378" s="8">
        <f>MAX(0,V376-V377)</f>
        <v/>
      </c>
      <c r="W378" s="8">
        <f>MAX(0,W376-W377)</f>
        <v/>
      </c>
      <c r="X378" s="8">
        <f>MAX(0,X376-X377)</f>
        <v/>
      </c>
      <c r="Y378" s="8">
        <f>MAX(0,Y376-Y377)</f>
        <v/>
      </c>
      <c r="Z378" s="8">
        <f>MAX(0,Z376-Z377)</f>
        <v/>
      </c>
      <c r="AA378" s="8">
        <f>MAX(0,AA376-AA377)</f>
        <v/>
      </c>
      <c r="AB378" s="8">
        <f>MAX(0,AB376-AB377)</f>
        <v/>
      </c>
      <c r="AC378" s="8">
        <f>MAX(0,AC376-AC377)</f>
        <v/>
      </c>
      <c r="AD378" s="8">
        <f>MAX(0,AD376-AD377)</f>
        <v/>
      </c>
      <c r="AE378" s="8">
        <f>MAX(0,AE376-AE377)</f>
        <v/>
      </c>
      <c r="AF378" s="8">
        <f>MAX(0,AF376-AF377)</f>
        <v/>
      </c>
      <c r="AG378" s="8">
        <f>MAX(0,AG376-AG377)</f>
        <v/>
      </c>
      <c r="AH378" s="8">
        <f>MAX(0,AH376-AH377)</f>
        <v/>
      </c>
      <c r="AI378" s="8">
        <f>MAX(0,AI376-AI377)</f>
        <v/>
      </c>
      <c r="AJ378" s="8">
        <f>MAX(0,AJ376-AJ377)</f>
        <v/>
      </c>
      <c r="AK378" s="8">
        <f>MAX(0,AK376-AK377)</f>
        <v/>
      </c>
      <c r="AL378" s="8">
        <f>MAX(0,AL376-AL377)</f>
        <v/>
      </c>
      <c r="AM378" s="8">
        <f>MAX(0,AM376-AM377)</f>
        <v/>
      </c>
      <c r="AN378" s="8">
        <f>MAX(0,AN376-AN377)</f>
        <v/>
      </c>
      <c r="AO378" s="8">
        <f>MAX(0,AO376-AO377)</f>
        <v/>
      </c>
      <c r="AP378" s="8">
        <f>MAX(0,AP376-AP377)</f>
        <v/>
      </c>
      <c r="AQ378" s="8">
        <f>MAX(0,AQ376-AQ377)</f>
        <v/>
      </c>
      <c r="AR378" s="8">
        <f>MAX(0,AR376-AR377)</f>
        <v/>
      </c>
      <c r="AS378" s="8">
        <f>MAX(0,AS376-AS377)</f>
        <v/>
      </c>
      <c r="AT378" s="8">
        <f>MAX(0,AT376-AT377)</f>
        <v/>
      </c>
      <c r="AU378" s="8">
        <f>MAX(0,AU376-AU377)</f>
        <v/>
      </c>
      <c r="AV378" s="8">
        <f>MAX(0,AV376-AV377)</f>
        <v/>
      </c>
      <c r="AW378" s="8">
        <f>MAX(0,AW376-AW377)</f>
        <v/>
      </c>
      <c r="AX378" s="8">
        <f>MAX(0,AX376-AX377)</f>
        <v/>
      </c>
      <c r="AY378" s="8">
        <f>MAX(0,AY376-AY377)</f>
        <v/>
      </c>
      <c r="AZ378" s="8">
        <f>MAX(0,AZ376-AZ377)</f>
        <v/>
      </c>
      <c r="BA378" s="8">
        <f>MAX(0,BA376-BA377)</f>
        <v/>
      </c>
      <c r="BB378" s="8">
        <f>MAX(0,BB376-BB377)</f>
        <v/>
      </c>
      <c r="BC378" s="8">
        <f>MAX(0,BC376-BC377)</f>
        <v/>
      </c>
      <c r="BD378" s="8">
        <f>MAX(0,BD376-BD377)</f>
        <v/>
      </c>
      <c r="BE378" s="8">
        <f>MAX(0,BE376-BE377)</f>
        <v/>
      </c>
      <c r="BF378" s="8">
        <f>MAX(0,BF376-BF377)</f>
        <v/>
      </c>
      <c r="BG378" s="8">
        <f>MAX(0,BG376-BG377)</f>
        <v/>
      </c>
      <c r="BH378" s="8">
        <f>MAX(0,BH376-BH377)</f>
        <v/>
      </c>
      <c r="BI378" s="8">
        <f>MAX(0,BI376-BI377)</f>
        <v/>
      </c>
      <c r="BJ378" s="8">
        <f>MAX(0,BJ376-BJ377)</f>
        <v/>
      </c>
    </row>
    <row r="379">
      <c r="A379" s="3" t="inlineStr">
        <is>
          <t>Pilot Founding terms discount (50% off first 2 bills)</t>
        </is>
      </c>
      <c r="B379" s="17" t="inlineStr">
        <is>
          <t>R</t>
        </is>
      </c>
      <c r="C379" s="42">
        <f>IF(Assumptions!$B$25&gt;=1,C378,0)+IF(Assumptions!$B$25&gt;=2,0*(1-Assumptions!$B$40),0)</f>
        <v/>
      </c>
      <c r="D379" s="42">
        <f>IF(Assumptions!$B$25&gt;=1,D378,0)+IF(Assumptions!$B$25&gt;=2,C378*(1-Assumptions!$B$40),0)</f>
        <v/>
      </c>
      <c r="E379" s="42">
        <f>IF(Assumptions!$B$25&gt;=1,E378,0)+IF(Assumptions!$B$25&gt;=2,D378*(1-Assumptions!$B$40),0)</f>
        <v/>
      </c>
      <c r="F379" s="42">
        <f>IF(Assumptions!$B$25&gt;=1,F378,0)+IF(Assumptions!$B$25&gt;=2,E378*(1-Assumptions!$B$40),0)</f>
        <v/>
      </c>
      <c r="G379" s="42">
        <f>IF(Assumptions!$B$25&gt;=1,G378,0)+IF(Assumptions!$B$25&gt;=2,F378*(1-Assumptions!$B$40),0)</f>
        <v/>
      </c>
      <c r="H379" s="42">
        <f>IF(Assumptions!$B$25&gt;=1,H378,0)+IF(Assumptions!$B$25&gt;=2,G378*(1-Assumptions!$B$40),0)</f>
        <v/>
      </c>
      <c r="I379" s="42">
        <f>IF(Assumptions!$B$25&gt;=1,I378,0)+IF(Assumptions!$B$25&gt;=2,H378*(1-Assumptions!$B$40),0)</f>
        <v/>
      </c>
      <c r="J379" s="42">
        <f>IF(Assumptions!$B$25&gt;=1,J378,0)+IF(Assumptions!$B$25&gt;=2,I378*(1-Assumptions!$B$40),0)</f>
        <v/>
      </c>
      <c r="K379" s="42">
        <f>IF(Assumptions!$B$25&gt;=1,K378,0)+IF(Assumptions!$B$25&gt;=2,J378*(1-Assumptions!$B$40),0)</f>
        <v/>
      </c>
      <c r="L379" s="42">
        <f>IF(Assumptions!$B$25&gt;=1,L378,0)+IF(Assumptions!$B$25&gt;=2,K378*(1-Assumptions!$B$40),0)</f>
        <v/>
      </c>
      <c r="M379" s="42">
        <f>IF(Assumptions!$B$25&gt;=1,M378,0)+IF(Assumptions!$B$25&gt;=2,L378*(1-Assumptions!$B$40),0)</f>
        <v/>
      </c>
      <c r="N379" s="42">
        <f>IF(Assumptions!$B$25&gt;=1,N378,0)+IF(Assumptions!$B$25&gt;=2,M378*(1-Assumptions!$B$40),0)</f>
        <v/>
      </c>
      <c r="O379" s="42">
        <f>IF(Assumptions!$B$25&gt;=1,O378,0)+IF(Assumptions!$B$25&gt;=2,N378*(1-Assumptions!$B$40),0)</f>
        <v/>
      </c>
      <c r="P379" s="42">
        <f>IF(Assumptions!$B$25&gt;=1,P378,0)+IF(Assumptions!$B$25&gt;=2,O378*(1-Assumptions!$B$40),0)</f>
        <v/>
      </c>
      <c r="Q379" s="42">
        <f>IF(Assumptions!$B$25&gt;=1,Q378,0)+IF(Assumptions!$B$25&gt;=2,P378*(1-Assumptions!$B$40),0)</f>
        <v/>
      </c>
      <c r="R379" s="42">
        <f>IF(Assumptions!$B$25&gt;=1,R378,0)+IF(Assumptions!$B$25&gt;=2,Q378*(1-Assumptions!$B$40),0)</f>
        <v/>
      </c>
      <c r="S379" s="42">
        <f>IF(Assumptions!$B$25&gt;=1,S378,0)+IF(Assumptions!$B$25&gt;=2,R378*(1-Assumptions!$B$40),0)</f>
        <v/>
      </c>
      <c r="T379" s="42">
        <f>IF(Assumptions!$B$25&gt;=1,T378,0)+IF(Assumptions!$B$25&gt;=2,S378*(1-Assumptions!$B$40),0)</f>
        <v/>
      </c>
      <c r="U379" s="42">
        <f>IF(Assumptions!$B$25&gt;=1,U378,0)+IF(Assumptions!$B$25&gt;=2,T378*(1-Assumptions!$B$40),0)</f>
        <v/>
      </c>
      <c r="V379" s="42">
        <f>IF(Assumptions!$B$25&gt;=1,V378,0)+IF(Assumptions!$B$25&gt;=2,U378*(1-Assumptions!$B$40),0)</f>
        <v/>
      </c>
      <c r="W379" s="42">
        <f>IF(Assumptions!$B$25&gt;=1,W378,0)+IF(Assumptions!$B$25&gt;=2,V378*(1-Assumptions!$B$40),0)</f>
        <v/>
      </c>
      <c r="X379" s="42">
        <f>IF(Assumptions!$B$25&gt;=1,X378,0)+IF(Assumptions!$B$25&gt;=2,W378*(1-Assumptions!$B$40),0)</f>
        <v/>
      </c>
      <c r="Y379" s="42">
        <f>IF(Assumptions!$B$25&gt;=1,Y378,0)+IF(Assumptions!$B$25&gt;=2,X378*(1-Assumptions!$B$40),0)</f>
        <v/>
      </c>
      <c r="Z379" s="42">
        <f>IF(Assumptions!$B$25&gt;=1,Z378,0)+IF(Assumptions!$B$25&gt;=2,Y378*(1-Assumptions!$B$40),0)</f>
        <v/>
      </c>
      <c r="AA379" s="42">
        <f>IF(Assumptions!$B$25&gt;=1,AA378,0)+IF(Assumptions!$B$25&gt;=2,Z378*(1-Assumptions!$B$40),0)</f>
        <v/>
      </c>
      <c r="AB379" s="42">
        <f>IF(Assumptions!$B$25&gt;=1,AB378,0)+IF(Assumptions!$B$25&gt;=2,AA378*(1-Assumptions!$B$40),0)</f>
        <v/>
      </c>
      <c r="AC379" s="42">
        <f>IF(Assumptions!$B$25&gt;=1,AC378,0)+IF(Assumptions!$B$25&gt;=2,AB378*(1-Assumptions!$B$40),0)</f>
        <v/>
      </c>
      <c r="AD379" s="42">
        <f>IF(Assumptions!$B$25&gt;=1,AD378,0)+IF(Assumptions!$B$25&gt;=2,AC378*(1-Assumptions!$B$40),0)</f>
        <v/>
      </c>
      <c r="AE379" s="42">
        <f>IF(Assumptions!$B$25&gt;=1,AE378,0)+IF(Assumptions!$B$25&gt;=2,AD378*(1-Assumptions!$B$40),0)</f>
        <v/>
      </c>
      <c r="AF379" s="42">
        <f>IF(Assumptions!$B$25&gt;=1,AF378,0)+IF(Assumptions!$B$25&gt;=2,AE378*(1-Assumptions!$B$40),0)</f>
        <v/>
      </c>
      <c r="AG379" s="42">
        <f>IF(Assumptions!$B$25&gt;=1,AG378,0)+IF(Assumptions!$B$25&gt;=2,AF378*(1-Assumptions!$B$40),0)</f>
        <v/>
      </c>
      <c r="AH379" s="42">
        <f>IF(Assumptions!$B$25&gt;=1,AH378,0)+IF(Assumptions!$B$25&gt;=2,AG378*(1-Assumptions!$B$40),0)</f>
        <v/>
      </c>
      <c r="AI379" s="42">
        <f>IF(Assumptions!$B$25&gt;=1,AI378,0)+IF(Assumptions!$B$25&gt;=2,AH378*(1-Assumptions!$B$40),0)</f>
        <v/>
      </c>
      <c r="AJ379" s="42">
        <f>IF(Assumptions!$B$25&gt;=1,AJ378,0)+IF(Assumptions!$B$25&gt;=2,AI378*(1-Assumptions!$B$40),0)</f>
        <v/>
      </c>
      <c r="AK379" s="42">
        <f>IF(Assumptions!$B$25&gt;=1,AK378,0)+IF(Assumptions!$B$25&gt;=2,AJ378*(1-Assumptions!$B$40),0)</f>
        <v/>
      </c>
      <c r="AL379" s="42">
        <f>IF(Assumptions!$B$25&gt;=1,AL378,0)+IF(Assumptions!$B$25&gt;=2,AK378*(1-Assumptions!$B$40),0)</f>
        <v/>
      </c>
      <c r="AM379" s="42">
        <f>IF(Assumptions!$B$25&gt;=1,AM378,0)+IF(Assumptions!$B$25&gt;=2,AL378*(1-Assumptions!$B$40),0)</f>
        <v/>
      </c>
      <c r="AN379" s="42">
        <f>IF(Assumptions!$B$25&gt;=1,AN378,0)+IF(Assumptions!$B$25&gt;=2,AM378*(1-Assumptions!$B$40),0)</f>
        <v/>
      </c>
      <c r="AO379" s="42">
        <f>IF(Assumptions!$B$25&gt;=1,AO378,0)+IF(Assumptions!$B$25&gt;=2,AN378*(1-Assumptions!$B$40),0)</f>
        <v/>
      </c>
      <c r="AP379" s="42">
        <f>IF(Assumptions!$B$25&gt;=1,AP378,0)+IF(Assumptions!$B$25&gt;=2,AO378*(1-Assumptions!$B$40),0)</f>
        <v/>
      </c>
      <c r="AQ379" s="42">
        <f>IF(Assumptions!$B$25&gt;=1,AQ378,0)+IF(Assumptions!$B$25&gt;=2,AP378*(1-Assumptions!$B$40),0)</f>
        <v/>
      </c>
      <c r="AR379" s="42">
        <f>IF(Assumptions!$B$25&gt;=1,AR378,0)+IF(Assumptions!$B$25&gt;=2,AQ378*(1-Assumptions!$B$40),0)</f>
        <v/>
      </c>
      <c r="AS379" s="42">
        <f>IF(Assumptions!$B$25&gt;=1,AS378,0)+IF(Assumptions!$B$25&gt;=2,AR378*(1-Assumptions!$B$40),0)</f>
        <v/>
      </c>
      <c r="AT379" s="42">
        <f>IF(Assumptions!$B$25&gt;=1,AT378,0)+IF(Assumptions!$B$25&gt;=2,AS378*(1-Assumptions!$B$40),0)</f>
        <v/>
      </c>
      <c r="AU379" s="42">
        <f>IF(Assumptions!$B$25&gt;=1,AU378,0)+IF(Assumptions!$B$25&gt;=2,AT378*(1-Assumptions!$B$40),0)</f>
        <v/>
      </c>
      <c r="AV379" s="42">
        <f>IF(Assumptions!$B$25&gt;=1,AV378,0)+IF(Assumptions!$B$25&gt;=2,AU378*(1-Assumptions!$B$40),0)</f>
        <v/>
      </c>
      <c r="AW379" s="42">
        <f>IF(Assumptions!$B$25&gt;=1,AW378,0)+IF(Assumptions!$B$25&gt;=2,AV378*(1-Assumptions!$B$40),0)</f>
        <v/>
      </c>
      <c r="AX379" s="42">
        <f>IF(Assumptions!$B$25&gt;=1,AX378,0)+IF(Assumptions!$B$25&gt;=2,AW378*(1-Assumptions!$B$40),0)</f>
        <v/>
      </c>
      <c r="AY379" s="42">
        <f>IF(Assumptions!$B$25&gt;=1,AY378,0)+IF(Assumptions!$B$25&gt;=2,AX378*(1-Assumptions!$B$40),0)</f>
        <v/>
      </c>
      <c r="AZ379" s="42">
        <f>IF(Assumptions!$B$25&gt;=1,AZ378,0)+IF(Assumptions!$B$25&gt;=2,AY378*(1-Assumptions!$B$40),0)</f>
        <v/>
      </c>
      <c r="BA379" s="42">
        <f>IF(Assumptions!$B$25&gt;=1,BA378,0)+IF(Assumptions!$B$25&gt;=2,AZ378*(1-Assumptions!$B$40),0)</f>
        <v/>
      </c>
      <c r="BB379" s="42">
        <f>IF(Assumptions!$B$25&gt;=1,BB378,0)+IF(Assumptions!$B$25&gt;=2,BA378*(1-Assumptions!$B$40),0)</f>
        <v/>
      </c>
      <c r="BC379" s="42">
        <f>IF(Assumptions!$B$25&gt;=1,BC378,0)+IF(Assumptions!$B$25&gt;=2,BB378*(1-Assumptions!$B$40),0)</f>
        <v/>
      </c>
      <c r="BD379" s="42">
        <f>IF(Assumptions!$B$25&gt;=1,BD378,0)+IF(Assumptions!$B$25&gt;=2,BC378*(1-Assumptions!$B$40),0)</f>
        <v/>
      </c>
      <c r="BE379" s="42">
        <f>IF(Assumptions!$B$25&gt;=1,BE378,0)+IF(Assumptions!$B$25&gt;=2,BD378*(1-Assumptions!$B$40),0)</f>
        <v/>
      </c>
      <c r="BF379" s="42">
        <f>IF(Assumptions!$B$25&gt;=1,BF378,0)+IF(Assumptions!$B$25&gt;=2,BE378*(1-Assumptions!$B$40),0)</f>
        <v/>
      </c>
      <c r="BG379" s="42">
        <f>IF(Assumptions!$B$25&gt;=1,BG378,0)+IF(Assumptions!$B$25&gt;=2,BF378*(1-Assumptions!$B$40),0)</f>
        <v/>
      </c>
      <c r="BH379" s="42">
        <f>IF(Assumptions!$B$25&gt;=1,BH378,0)+IF(Assumptions!$B$25&gt;=2,BG378*(1-Assumptions!$B$40),0)</f>
        <v/>
      </c>
      <c r="BI379" s="42">
        <f>IF(Assumptions!$B$25&gt;=1,BI378,0)+IF(Assumptions!$B$25&gt;=2,BH378*(1-Assumptions!$B$40),0)</f>
        <v/>
      </c>
      <c r="BJ379" s="42">
        <f>IF(Assumptions!$B$25&gt;=1,BJ378,0)+IF(Assumptions!$B$25&gt;=2,BI378*(1-Assumptions!$B$40),0)</f>
        <v/>
      </c>
    </row>
    <row r="380">
      <c r="A380" s="3" t="inlineStr">
        <is>
          <t>Total launch discounts</t>
        </is>
      </c>
      <c r="B380" s="17" t="inlineStr">
        <is>
          <t>R</t>
        </is>
      </c>
      <c r="C380" s="42">
        <f>C375+C379</f>
        <v/>
      </c>
      <c r="D380" s="42">
        <f>D375+D379</f>
        <v/>
      </c>
      <c r="E380" s="42">
        <f>E375+E379</f>
        <v/>
      </c>
      <c r="F380" s="42">
        <f>F375+F379</f>
        <v/>
      </c>
      <c r="G380" s="42">
        <f>G375+G379</f>
        <v/>
      </c>
      <c r="H380" s="42">
        <f>H375+H379</f>
        <v/>
      </c>
      <c r="I380" s="42">
        <f>I375+I379</f>
        <v/>
      </c>
      <c r="J380" s="42">
        <f>J375+J379</f>
        <v/>
      </c>
      <c r="K380" s="42">
        <f>K375+K379</f>
        <v/>
      </c>
      <c r="L380" s="42">
        <f>L375+L379</f>
        <v/>
      </c>
      <c r="M380" s="42">
        <f>M375+M379</f>
        <v/>
      </c>
      <c r="N380" s="42">
        <f>N375+N379</f>
        <v/>
      </c>
      <c r="O380" s="42">
        <f>O375+O379</f>
        <v/>
      </c>
      <c r="P380" s="42">
        <f>P375+P379</f>
        <v/>
      </c>
      <c r="Q380" s="42">
        <f>Q375+Q379</f>
        <v/>
      </c>
      <c r="R380" s="42">
        <f>R375+R379</f>
        <v/>
      </c>
      <c r="S380" s="42">
        <f>S375+S379</f>
        <v/>
      </c>
      <c r="T380" s="42">
        <f>T375+T379</f>
        <v/>
      </c>
      <c r="U380" s="42">
        <f>U375+U379</f>
        <v/>
      </c>
      <c r="V380" s="42">
        <f>V375+V379</f>
        <v/>
      </c>
      <c r="W380" s="42">
        <f>W375+W379</f>
        <v/>
      </c>
      <c r="X380" s="42">
        <f>X375+X379</f>
        <v/>
      </c>
      <c r="Y380" s="42">
        <f>Y375+Y379</f>
        <v/>
      </c>
      <c r="Z380" s="42">
        <f>Z375+Z379</f>
        <v/>
      </c>
      <c r="AA380" s="42">
        <f>AA375+AA379</f>
        <v/>
      </c>
      <c r="AB380" s="42">
        <f>AB375+AB379</f>
        <v/>
      </c>
      <c r="AC380" s="42">
        <f>AC375+AC379</f>
        <v/>
      </c>
      <c r="AD380" s="42">
        <f>AD375+AD379</f>
        <v/>
      </c>
      <c r="AE380" s="42">
        <f>AE375+AE379</f>
        <v/>
      </c>
      <c r="AF380" s="42">
        <f>AF375+AF379</f>
        <v/>
      </c>
      <c r="AG380" s="42">
        <f>AG375+AG379</f>
        <v/>
      </c>
      <c r="AH380" s="42">
        <f>AH375+AH379</f>
        <v/>
      </c>
      <c r="AI380" s="42">
        <f>AI375+AI379</f>
        <v/>
      </c>
      <c r="AJ380" s="42">
        <f>AJ375+AJ379</f>
        <v/>
      </c>
      <c r="AK380" s="42">
        <f>AK375+AK379</f>
        <v/>
      </c>
      <c r="AL380" s="42">
        <f>AL375+AL379</f>
        <v/>
      </c>
      <c r="AM380" s="42">
        <f>AM375+AM379</f>
        <v/>
      </c>
      <c r="AN380" s="42">
        <f>AN375+AN379</f>
        <v/>
      </c>
      <c r="AO380" s="42">
        <f>AO375+AO379</f>
        <v/>
      </c>
      <c r="AP380" s="42">
        <f>AP375+AP379</f>
        <v/>
      </c>
      <c r="AQ380" s="42">
        <f>AQ375+AQ379</f>
        <v/>
      </c>
      <c r="AR380" s="42">
        <f>AR375+AR379</f>
        <v/>
      </c>
      <c r="AS380" s="42">
        <f>AS375+AS379</f>
        <v/>
      </c>
      <c r="AT380" s="42">
        <f>AT375+AT379</f>
        <v/>
      </c>
      <c r="AU380" s="42">
        <f>AU375+AU379</f>
        <v/>
      </c>
      <c r="AV380" s="42">
        <f>AV375+AV379</f>
        <v/>
      </c>
      <c r="AW380" s="42">
        <f>AW375+AW379</f>
        <v/>
      </c>
      <c r="AX380" s="42">
        <f>AX375+AX379</f>
        <v/>
      </c>
      <c r="AY380" s="42">
        <f>AY375+AY379</f>
        <v/>
      </c>
      <c r="AZ380" s="42">
        <f>AZ375+AZ379</f>
        <v/>
      </c>
      <c r="BA380" s="42">
        <f>BA375+BA379</f>
        <v/>
      </c>
      <c r="BB380" s="42">
        <f>BB375+BB379</f>
        <v/>
      </c>
      <c r="BC380" s="42">
        <f>BC375+BC379</f>
        <v/>
      </c>
      <c r="BD380" s="42">
        <f>BD375+BD379</f>
        <v/>
      </c>
      <c r="BE380" s="42">
        <f>BE375+BE379</f>
        <v/>
      </c>
      <c r="BF380" s="42">
        <f>BF375+BF379</f>
        <v/>
      </c>
      <c r="BG380" s="42">
        <f>BG375+BG379</f>
        <v/>
      </c>
      <c r="BH380" s="42">
        <f>BH375+BH379</f>
        <v/>
      </c>
      <c r="BI380" s="42">
        <f>BI375+BI379</f>
        <v/>
      </c>
      <c r="BJ380" s="42">
        <f>BJ375+BJ379</f>
        <v/>
      </c>
    </row>
    <row r="381">
      <c r="A381" s="3" t="inlineStr">
        <is>
          <t>NET SUBSCRIPTION REVENUE (MRR after launch discounts)</t>
        </is>
      </c>
      <c r="B381" s="17" t="inlineStr">
        <is>
          <t>R</t>
        </is>
      </c>
      <c r="C381" s="42">
        <f>C352-C380</f>
        <v/>
      </c>
      <c r="D381" s="42">
        <f>D352-D380</f>
        <v/>
      </c>
      <c r="E381" s="42">
        <f>E352-E380</f>
        <v/>
      </c>
      <c r="F381" s="42">
        <f>F352-F380</f>
        <v/>
      </c>
      <c r="G381" s="42">
        <f>G352-G380</f>
        <v/>
      </c>
      <c r="H381" s="42">
        <f>H352-H380</f>
        <v/>
      </c>
      <c r="I381" s="42">
        <f>I352-I380</f>
        <v/>
      </c>
      <c r="J381" s="42">
        <f>J352-J380</f>
        <v/>
      </c>
      <c r="K381" s="42">
        <f>K352-K380</f>
        <v/>
      </c>
      <c r="L381" s="42">
        <f>L352-L380</f>
        <v/>
      </c>
      <c r="M381" s="42">
        <f>M352-M380</f>
        <v/>
      </c>
      <c r="N381" s="42">
        <f>N352-N380</f>
        <v/>
      </c>
      <c r="O381" s="42">
        <f>O352-O380</f>
        <v/>
      </c>
      <c r="P381" s="42">
        <f>P352-P380</f>
        <v/>
      </c>
      <c r="Q381" s="42">
        <f>Q352-Q380</f>
        <v/>
      </c>
      <c r="R381" s="42">
        <f>R352-R380</f>
        <v/>
      </c>
      <c r="S381" s="42">
        <f>S352-S380</f>
        <v/>
      </c>
      <c r="T381" s="42">
        <f>T352-T380</f>
        <v/>
      </c>
      <c r="U381" s="42">
        <f>U352-U380</f>
        <v/>
      </c>
      <c r="V381" s="42">
        <f>V352-V380</f>
        <v/>
      </c>
      <c r="W381" s="42">
        <f>W352-W380</f>
        <v/>
      </c>
      <c r="X381" s="42">
        <f>X352-X380</f>
        <v/>
      </c>
      <c r="Y381" s="42">
        <f>Y352-Y380</f>
        <v/>
      </c>
      <c r="Z381" s="42">
        <f>Z352-Z380</f>
        <v/>
      </c>
      <c r="AA381" s="42">
        <f>AA352-AA380</f>
        <v/>
      </c>
      <c r="AB381" s="42">
        <f>AB352-AB380</f>
        <v/>
      </c>
      <c r="AC381" s="42">
        <f>AC352-AC380</f>
        <v/>
      </c>
      <c r="AD381" s="42">
        <f>AD352-AD380</f>
        <v/>
      </c>
      <c r="AE381" s="42">
        <f>AE352-AE380</f>
        <v/>
      </c>
      <c r="AF381" s="42">
        <f>AF352-AF380</f>
        <v/>
      </c>
      <c r="AG381" s="42">
        <f>AG352-AG380</f>
        <v/>
      </c>
      <c r="AH381" s="42">
        <f>AH352-AH380</f>
        <v/>
      </c>
      <c r="AI381" s="42">
        <f>AI352-AI380</f>
        <v/>
      </c>
      <c r="AJ381" s="42">
        <f>AJ352-AJ380</f>
        <v/>
      </c>
      <c r="AK381" s="42">
        <f>AK352-AK380</f>
        <v/>
      </c>
      <c r="AL381" s="42">
        <f>AL352-AL380</f>
        <v/>
      </c>
      <c r="AM381" s="42">
        <f>AM352-AM380</f>
        <v/>
      </c>
      <c r="AN381" s="42">
        <f>AN352-AN380</f>
        <v/>
      </c>
      <c r="AO381" s="42">
        <f>AO352-AO380</f>
        <v/>
      </c>
      <c r="AP381" s="42">
        <f>AP352-AP380</f>
        <v/>
      </c>
      <c r="AQ381" s="42">
        <f>AQ352-AQ380</f>
        <v/>
      </c>
      <c r="AR381" s="42">
        <f>AR352-AR380</f>
        <v/>
      </c>
      <c r="AS381" s="42">
        <f>AS352-AS380</f>
        <v/>
      </c>
      <c r="AT381" s="42">
        <f>AT352-AT380</f>
        <v/>
      </c>
      <c r="AU381" s="42">
        <f>AU352-AU380</f>
        <v/>
      </c>
      <c r="AV381" s="42">
        <f>AV352-AV380</f>
        <v/>
      </c>
      <c r="AW381" s="42">
        <f>AW352-AW380</f>
        <v/>
      </c>
      <c r="AX381" s="42">
        <f>AX352-AX380</f>
        <v/>
      </c>
      <c r="AY381" s="42">
        <f>AY352-AY380</f>
        <v/>
      </c>
      <c r="AZ381" s="42">
        <f>AZ352-AZ380</f>
        <v/>
      </c>
      <c r="BA381" s="42">
        <f>BA352-BA380</f>
        <v/>
      </c>
      <c r="BB381" s="42">
        <f>BB352-BB380</f>
        <v/>
      </c>
      <c r="BC381" s="42">
        <f>BC352-BC380</f>
        <v/>
      </c>
      <c r="BD381" s="42">
        <f>BD352-BD380</f>
        <v/>
      </c>
      <c r="BE381" s="42">
        <f>BE352-BE380</f>
        <v/>
      </c>
      <c r="BF381" s="42">
        <f>BF352-BF380</f>
        <v/>
      </c>
      <c r="BG381" s="42">
        <f>BG352-BG380</f>
        <v/>
      </c>
      <c r="BH381" s="42">
        <f>BH352-BH380</f>
        <v/>
      </c>
      <c r="BI381" s="42">
        <f>BI352-BI380</f>
        <v/>
      </c>
      <c r="BJ381" s="42">
        <f>BJ352-BJ380</f>
        <v/>
      </c>
    </row>
    <row r="382">
      <c r="A382" s="4" t="inlineStr">
        <is>
          <t>Net subscription revenue: South Africa</t>
        </is>
      </c>
      <c r="B382" s="17" t="inlineStr">
        <is>
          <t>R</t>
        </is>
      </c>
      <c r="C382" s="8">
        <f>C337-C359-C379</f>
        <v/>
      </c>
      <c r="D382" s="8">
        <f>D337-D359-D379</f>
        <v/>
      </c>
      <c r="E382" s="8">
        <f>E337-E359-E379</f>
        <v/>
      </c>
      <c r="F382" s="8">
        <f>F337-F359-F379</f>
        <v/>
      </c>
      <c r="G382" s="8">
        <f>G337-G359-G379</f>
        <v/>
      </c>
      <c r="H382" s="8">
        <f>H337-H359-H379</f>
        <v/>
      </c>
      <c r="I382" s="8">
        <f>I337-I359-I379</f>
        <v/>
      </c>
      <c r="J382" s="8">
        <f>J337-J359-J379</f>
        <v/>
      </c>
      <c r="K382" s="8">
        <f>K337-K359-K379</f>
        <v/>
      </c>
      <c r="L382" s="8">
        <f>L337-L359-L379</f>
        <v/>
      </c>
      <c r="M382" s="8">
        <f>M337-M359-M379</f>
        <v/>
      </c>
      <c r="N382" s="8">
        <f>N337-N359-N379</f>
        <v/>
      </c>
      <c r="O382" s="8">
        <f>O337-O359-O379</f>
        <v/>
      </c>
      <c r="P382" s="8">
        <f>P337-P359-P379</f>
        <v/>
      </c>
      <c r="Q382" s="8">
        <f>Q337-Q359-Q379</f>
        <v/>
      </c>
      <c r="R382" s="8">
        <f>R337-R359-R379</f>
        <v/>
      </c>
      <c r="S382" s="8">
        <f>S337-S359-S379</f>
        <v/>
      </c>
      <c r="T382" s="8">
        <f>T337-T359-T379</f>
        <v/>
      </c>
      <c r="U382" s="8">
        <f>U337-U359-U379</f>
        <v/>
      </c>
      <c r="V382" s="8">
        <f>V337-V359-V379</f>
        <v/>
      </c>
      <c r="W382" s="8">
        <f>W337-W359-W379</f>
        <v/>
      </c>
      <c r="X382" s="8">
        <f>X337-X359-X379</f>
        <v/>
      </c>
      <c r="Y382" s="8">
        <f>Y337-Y359-Y379</f>
        <v/>
      </c>
      <c r="Z382" s="8">
        <f>Z337-Z359-Z379</f>
        <v/>
      </c>
      <c r="AA382" s="8">
        <f>AA337-AA359-AA379</f>
        <v/>
      </c>
      <c r="AB382" s="8">
        <f>AB337-AB359-AB379</f>
        <v/>
      </c>
      <c r="AC382" s="8">
        <f>AC337-AC359-AC379</f>
        <v/>
      </c>
      <c r="AD382" s="8">
        <f>AD337-AD359-AD379</f>
        <v/>
      </c>
      <c r="AE382" s="8">
        <f>AE337-AE359-AE379</f>
        <v/>
      </c>
      <c r="AF382" s="8">
        <f>AF337-AF359-AF379</f>
        <v/>
      </c>
      <c r="AG382" s="8">
        <f>AG337-AG359-AG379</f>
        <v/>
      </c>
      <c r="AH382" s="8">
        <f>AH337-AH359-AH379</f>
        <v/>
      </c>
      <c r="AI382" s="8">
        <f>AI337-AI359-AI379</f>
        <v/>
      </c>
      <c r="AJ382" s="8">
        <f>AJ337-AJ359-AJ379</f>
        <v/>
      </c>
      <c r="AK382" s="8">
        <f>AK337-AK359-AK379</f>
        <v/>
      </c>
      <c r="AL382" s="8">
        <f>AL337-AL359-AL379</f>
        <v/>
      </c>
      <c r="AM382" s="8">
        <f>AM337-AM359-AM379</f>
        <v/>
      </c>
      <c r="AN382" s="8">
        <f>AN337-AN359-AN379</f>
        <v/>
      </c>
      <c r="AO382" s="8">
        <f>AO337-AO359-AO379</f>
        <v/>
      </c>
      <c r="AP382" s="8">
        <f>AP337-AP359-AP379</f>
        <v/>
      </c>
      <c r="AQ382" s="8">
        <f>AQ337-AQ359-AQ379</f>
        <v/>
      </c>
      <c r="AR382" s="8">
        <f>AR337-AR359-AR379</f>
        <v/>
      </c>
      <c r="AS382" s="8">
        <f>AS337-AS359-AS379</f>
        <v/>
      </c>
      <c r="AT382" s="8">
        <f>AT337-AT359-AT379</f>
        <v/>
      </c>
      <c r="AU382" s="8">
        <f>AU337-AU359-AU379</f>
        <v/>
      </c>
      <c r="AV382" s="8">
        <f>AV337-AV359-AV379</f>
        <v/>
      </c>
      <c r="AW382" s="8">
        <f>AW337-AW359-AW379</f>
        <v/>
      </c>
      <c r="AX382" s="8">
        <f>AX337-AX359-AX379</f>
        <v/>
      </c>
      <c r="AY382" s="8">
        <f>AY337-AY359-AY379</f>
        <v/>
      </c>
      <c r="AZ382" s="8">
        <f>AZ337-AZ359-AZ379</f>
        <v/>
      </c>
      <c r="BA382" s="8">
        <f>BA337-BA359-BA379</f>
        <v/>
      </c>
      <c r="BB382" s="8">
        <f>BB337-BB359-BB379</f>
        <v/>
      </c>
      <c r="BC382" s="8">
        <f>BC337-BC359-BC379</f>
        <v/>
      </c>
      <c r="BD382" s="8">
        <f>BD337-BD359-BD379</f>
        <v/>
      </c>
      <c r="BE382" s="8">
        <f>BE337-BE359-BE379</f>
        <v/>
      </c>
      <c r="BF382" s="8">
        <f>BF337-BF359-BF379</f>
        <v/>
      </c>
      <c r="BG382" s="8">
        <f>BG337-BG359-BG379</f>
        <v/>
      </c>
      <c r="BH382" s="8">
        <f>BH337-BH359-BH379</f>
        <v/>
      </c>
      <c r="BI382" s="8">
        <f>BI337-BI359-BI379</f>
        <v/>
      </c>
      <c r="BJ382" s="8">
        <f>BJ337-BJ359-BJ379</f>
        <v/>
      </c>
    </row>
    <row r="383">
      <c r="A383" s="4" t="inlineStr">
        <is>
          <t>Net subscription revenue: Nigeria</t>
        </is>
      </c>
      <c r="B383" s="17" t="inlineStr">
        <is>
          <t>R</t>
        </is>
      </c>
      <c r="C383" s="8">
        <f>C338-C364</f>
        <v/>
      </c>
      <c r="D383" s="8">
        <f>D338-D364</f>
        <v/>
      </c>
      <c r="E383" s="8">
        <f>E338-E364</f>
        <v/>
      </c>
      <c r="F383" s="8">
        <f>F338-F364</f>
        <v/>
      </c>
      <c r="G383" s="8">
        <f>G338-G364</f>
        <v/>
      </c>
      <c r="H383" s="8">
        <f>H338-H364</f>
        <v/>
      </c>
      <c r="I383" s="8">
        <f>I338-I364</f>
        <v/>
      </c>
      <c r="J383" s="8">
        <f>J338-J364</f>
        <v/>
      </c>
      <c r="K383" s="8">
        <f>K338-K364</f>
        <v/>
      </c>
      <c r="L383" s="8">
        <f>L338-L364</f>
        <v/>
      </c>
      <c r="M383" s="8">
        <f>M338-M364</f>
        <v/>
      </c>
      <c r="N383" s="8">
        <f>N338-N364</f>
        <v/>
      </c>
      <c r="O383" s="8">
        <f>O338-O364</f>
        <v/>
      </c>
      <c r="P383" s="8">
        <f>P338-P364</f>
        <v/>
      </c>
      <c r="Q383" s="8">
        <f>Q338-Q364</f>
        <v/>
      </c>
      <c r="R383" s="8">
        <f>R338-R364</f>
        <v/>
      </c>
      <c r="S383" s="8">
        <f>S338-S364</f>
        <v/>
      </c>
      <c r="T383" s="8">
        <f>T338-T364</f>
        <v/>
      </c>
      <c r="U383" s="8">
        <f>U338-U364</f>
        <v/>
      </c>
      <c r="V383" s="8">
        <f>V338-V364</f>
        <v/>
      </c>
      <c r="W383" s="8">
        <f>W338-W364</f>
        <v/>
      </c>
      <c r="X383" s="8">
        <f>X338-X364</f>
        <v/>
      </c>
      <c r="Y383" s="8">
        <f>Y338-Y364</f>
        <v/>
      </c>
      <c r="Z383" s="8">
        <f>Z338-Z364</f>
        <v/>
      </c>
      <c r="AA383" s="8">
        <f>AA338-AA364</f>
        <v/>
      </c>
      <c r="AB383" s="8">
        <f>AB338-AB364</f>
        <v/>
      </c>
      <c r="AC383" s="8">
        <f>AC338-AC364</f>
        <v/>
      </c>
      <c r="AD383" s="8">
        <f>AD338-AD364</f>
        <v/>
      </c>
      <c r="AE383" s="8">
        <f>AE338-AE364</f>
        <v/>
      </c>
      <c r="AF383" s="8">
        <f>AF338-AF364</f>
        <v/>
      </c>
      <c r="AG383" s="8">
        <f>AG338-AG364</f>
        <v/>
      </c>
      <c r="AH383" s="8">
        <f>AH338-AH364</f>
        <v/>
      </c>
      <c r="AI383" s="8">
        <f>AI338-AI364</f>
        <v/>
      </c>
      <c r="AJ383" s="8">
        <f>AJ338-AJ364</f>
        <v/>
      </c>
      <c r="AK383" s="8">
        <f>AK338-AK364</f>
        <v/>
      </c>
      <c r="AL383" s="8">
        <f>AL338-AL364</f>
        <v/>
      </c>
      <c r="AM383" s="8">
        <f>AM338-AM364</f>
        <v/>
      </c>
      <c r="AN383" s="8">
        <f>AN338-AN364</f>
        <v/>
      </c>
      <c r="AO383" s="8">
        <f>AO338-AO364</f>
        <v/>
      </c>
      <c r="AP383" s="8">
        <f>AP338-AP364</f>
        <v/>
      </c>
      <c r="AQ383" s="8">
        <f>AQ338-AQ364</f>
        <v/>
      </c>
      <c r="AR383" s="8">
        <f>AR338-AR364</f>
        <v/>
      </c>
      <c r="AS383" s="8">
        <f>AS338-AS364</f>
        <v/>
      </c>
      <c r="AT383" s="8">
        <f>AT338-AT364</f>
        <v/>
      </c>
      <c r="AU383" s="8">
        <f>AU338-AU364</f>
        <v/>
      </c>
      <c r="AV383" s="8">
        <f>AV338-AV364</f>
        <v/>
      </c>
      <c r="AW383" s="8">
        <f>AW338-AW364</f>
        <v/>
      </c>
      <c r="AX383" s="8">
        <f>AX338-AX364</f>
        <v/>
      </c>
      <c r="AY383" s="8">
        <f>AY338-AY364</f>
        <v/>
      </c>
      <c r="AZ383" s="8">
        <f>AZ338-AZ364</f>
        <v/>
      </c>
      <c r="BA383" s="8">
        <f>BA338-BA364</f>
        <v/>
      </c>
      <c r="BB383" s="8">
        <f>BB338-BB364</f>
        <v/>
      </c>
      <c r="BC383" s="8">
        <f>BC338-BC364</f>
        <v/>
      </c>
      <c r="BD383" s="8">
        <f>BD338-BD364</f>
        <v/>
      </c>
      <c r="BE383" s="8">
        <f>BE338-BE364</f>
        <v/>
      </c>
      <c r="BF383" s="8">
        <f>BF338-BF364</f>
        <v/>
      </c>
      <c r="BG383" s="8">
        <f>BG338-BG364</f>
        <v/>
      </c>
      <c r="BH383" s="8">
        <f>BH338-BH364</f>
        <v/>
      </c>
      <c r="BI383" s="8">
        <f>BI338-BI364</f>
        <v/>
      </c>
      <c r="BJ383" s="8">
        <f>BJ338-BJ364</f>
        <v/>
      </c>
    </row>
    <row r="384">
      <c r="A384" s="4" t="inlineStr">
        <is>
          <t>Net subscription revenue: Kenya</t>
        </is>
      </c>
      <c r="B384" s="17" t="inlineStr">
        <is>
          <t>R</t>
        </is>
      </c>
      <c r="C384" s="8">
        <f>C339-C369</f>
        <v/>
      </c>
      <c r="D384" s="8">
        <f>D339-D369</f>
        <v/>
      </c>
      <c r="E384" s="8">
        <f>E339-E369</f>
        <v/>
      </c>
      <c r="F384" s="8">
        <f>F339-F369</f>
        <v/>
      </c>
      <c r="G384" s="8">
        <f>G339-G369</f>
        <v/>
      </c>
      <c r="H384" s="8">
        <f>H339-H369</f>
        <v/>
      </c>
      <c r="I384" s="8">
        <f>I339-I369</f>
        <v/>
      </c>
      <c r="J384" s="8">
        <f>J339-J369</f>
        <v/>
      </c>
      <c r="K384" s="8">
        <f>K339-K369</f>
        <v/>
      </c>
      <c r="L384" s="8">
        <f>L339-L369</f>
        <v/>
      </c>
      <c r="M384" s="8">
        <f>M339-M369</f>
        <v/>
      </c>
      <c r="N384" s="8">
        <f>N339-N369</f>
        <v/>
      </c>
      <c r="O384" s="8">
        <f>O339-O369</f>
        <v/>
      </c>
      <c r="P384" s="8">
        <f>P339-P369</f>
        <v/>
      </c>
      <c r="Q384" s="8">
        <f>Q339-Q369</f>
        <v/>
      </c>
      <c r="R384" s="8">
        <f>R339-R369</f>
        <v/>
      </c>
      <c r="S384" s="8">
        <f>S339-S369</f>
        <v/>
      </c>
      <c r="T384" s="8">
        <f>T339-T369</f>
        <v/>
      </c>
      <c r="U384" s="8">
        <f>U339-U369</f>
        <v/>
      </c>
      <c r="V384" s="8">
        <f>V339-V369</f>
        <v/>
      </c>
      <c r="W384" s="8">
        <f>W339-W369</f>
        <v/>
      </c>
      <c r="X384" s="8">
        <f>X339-X369</f>
        <v/>
      </c>
      <c r="Y384" s="8">
        <f>Y339-Y369</f>
        <v/>
      </c>
      <c r="Z384" s="8">
        <f>Z339-Z369</f>
        <v/>
      </c>
      <c r="AA384" s="8">
        <f>AA339-AA369</f>
        <v/>
      </c>
      <c r="AB384" s="8">
        <f>AB339-AB369</f>
        <v/>
      </c>
      <c r="AC384" s="8">
        <f>AC339-AC369</f>
        <v/>
      </c>
      <c r="AD384" s="8">
        <f>AD339-AD369</f>
        <v/>
      </c>
      <c r="AE384" s="8">
        <f>AE339-AE369</f>
        <v/>
      </c>
      <c r="AF384" s="8">
        <f>AF339-AF369</f>
        <v/>
      </c>
      <c r="AG384" s="8">
        <f>AG339-AG369</f>
        <v/>
      </c>
      <c r="AH384" s="8">
        <f>AH339-AH369</f>
        <v/>
      </c>
      <c r="AI384" s="8">
        <f>AI339-AI369</f>
        <v/>
      </c>
      <c r="AJ384" s="8">
        <f>AJ339-AJ369</f>
        <v/>
      </c>
      <c r="AK384" s="8">
        <f>AK339-AK369</f>
        <v/>
      </c>
      <c r="AL384" s="8">
        <f>AL339-AL369</f>
        <v/>
      </c>
      <c r="AM384" s="8">
        <f>AM339-AM369</f>
        <v/>
      </c>
      <c r="AN384" s="8">
        <f>AN339-AN369</f>
        <v/>
      </c>
      <c r="AO384" s="8">
        <f>AO339-AO369</f>
        <v/>
      </c>
      <c r="AP384" s="8">
        <f>AP339-AP369</f>
        <v/>
      </c>
      <c r="AQ384" s="8">
        <f>AQ339-AQ369</f>
        <v/>
      </c>
      <c r="AR384" s="8">
        <f>AR339-AR369</f>
        <v/>
      </c>
      <c r="AS384" s="8">
        <f>AS339-AS369</f>
        <v/>
      </c>
      <c r="AT384" s="8">
        <f>AT339-AT369</f>
        <v/>
      </c>
      <c r="AU384" s="8">
        <f>AU339-AU369</f>
        <v/>
      </c>
      <c r="AV384" s="8">
        <f>AV339-AV369</f>
        <v/>
      </c>
      <c r="AW384" s="8">
        <f>AW339-AW369</f>
        <v/>
      </c>
      <c r="AX384" s="8">
        <f>AX339-AX369</f>
        <v/>
      </c>
      <c r="AY384" s="8">
        <f>AY339-AY369</f>
        <v/>
      </c>
      <c r="AZ384" s="8">
        <f>AZ339-AZ369</f>
        <v/>
      </c>
      <c r="BA384" s="8">
        <f>BA339-BA369</f>
        <v/>
      </c>
      <c r="BB384" s="8">
        <f>BB339-BB369</f>
        <v/>
      </c>
      <c r="BC384" s="8">
        <f>BC339-BC369</f>
        <v/>
      </c>
      <c r="BD384" s="8">
        <f>BD339-BD369</f>
        <v/>
      </c>
      <c r="BE384" s="8">
        <f>BE339-BE369</f>
        <v/>
      </c>
      <c r="BF384" s="8">
        <f>BF339-BF369</f>
        <v/>
      </c>
      <c r="BG384" s="8">
        <f>BG339-BG369</f>
        <v/>
      </c>
      <c r="BH384" s="8">
        <f>BH339-BH369</f>
        <v/>
      </c>
      <c r="BI384" s="8">
        <f>BI339-BI369</f>
        <v/>
      </c>
      <c r="BJ384" s="8">
        <f>BJ339-BJ369</f>
        <v/>
      </c>
    </row>
    <row r="385">
      <c r="A385" s="4" t="inlineStr">
        <is>
          <t>Net subscription revenue: Ghana</t>
        </is>
      </c>
      <c r="B385" s="17" t="inlineStr">
        <is>
          <t>R</t>
        </is>
      </c>
      <c r="C385" s="8">
        <f>C340-C374</f>
        <v/>
      </c>
      <c r="D385" s="8">
        <f>D340-D374</f>
        <v/>
      </c>
      <c r="E385" s="8">
        <f>E340-E374</f>
        <v/>
      </c>
      <c r="F385" s="8">
        <f>F340-F374</f>
        <v/>
      </c>
      <c r="G385" s="8">
        <f>G340-G374</f>
        <v/>
      </c>
      <c r="H385" s="8">
        <f>H340-H374</f>
        <v/>
      </c>
      <c r="I385" s="8">
        <f>I340-I374</f>
        <v/>
      </c>
      <c r="J385" s="8">
        <f>J340-J374</f>
        <v/>
      </c>
      <c r="K385" s="8">
        <f>K340-K374</f>
        <v/>
      </c>
      <c r="L385" s="8">
        <f>L340-L374</f>
        <v/>
      </c>
      <c r="M385" s="8">
        <f>M340-M374</f>
        <v/>
      </c>
      <c r="N385" s="8">
        <f>N340-N374</f>
        <v/>
      </c>
      <c r="O385" s="8">
        <f>O340-O374</f>
        <v/>
      </c>
      <c r="P385" s="8">
        <f>P340-P374</f>
        <v/>
      </c>
      <c r="Q385" s="8">
        <f>Q340-Q374</f>
        <v/>
      </c>
      <c r="R385" s="8">
        <f>R340-R374</f>
        <v/>
      </c>
      <c r="S385" s="8">
        <f>S340-S374</f>
        <v/>
      </c>
      <c r="T385" s="8">
        <f>T340-T374</f>
        <v/>
      </c>
      <c r="U385" s="8">
        <f>U340-U374</f>
        <v/>
      </c>
      <c r="V385" s="8">
        <f>V340-V374</f>
        <v/>
      </c>
      <c r="W385" s="8">
        <f>W340-W374</f>
        <v/>
      </c>
      <c r="X385" s="8">
        <f>X340-X374</f>
        <v/>
      </c>
      <c r="Y385" s="8">
        <f>Y340-Y374</f>
        <v/>
      </c>
      <c r="Z385" s="8">
        <f>Z340-Z374</f>
        <v/>
      </c>
      <c r="AA385" s="8">
        <f>AA340-AA374</f>
        <v/>
      </c>
      <c r="AB385" s="8">
        <f>AB340-AB374</f>
        <v/>
      </c>
      <c r="AC385" s="8">
        <f>AC340-AC374</f>
        <v/>
      </c>
      <c r="AD385" s="8">
        <f>AD340-AD374</f>
        <v/>
      </c>
      <c r="AE385" s="8">
        <f>AE340-AE374</f>
        <v/>
      </c>
      <c r="AF385" s="8">
        <f>AF340-AF374</f>
        <v/>
      </c>
      <c r="AG385" s="8">
        <f>AG340-AG374</f>
        <v/>
      </c>
      <c r="AH385" s="8">
        <f>AH340-AH374</f>
        <v/>
      </c>
      <c r="AI385" s="8">
        <f>AI340-AI374</f>
        <v/>
      </c>
      <c r="AJ385" s="8">
        <f>AJ340-AJ374</f>
        <v/>
      </c>
      <c r="AK385" s="8">
        <f>AK340-AK374</f>
        <v/>
      </c>
      <c r="AL385" s="8">
        <f>AL340-AL374</f>
        <v/>
      </c>
      <c r="AM385" s="8">
        <f>AM340-AM374</f>
        <v/>
      </c>
      <c r="AN385" s="8">
        <f>AN340-AN374</f>
        <v/>
      </c>
      <c r="AO385" s="8">
        <f>AO340-AO374</f>
        <v/>
      </c>
      <c r="AP385" s="8">
        <f>AP340-AP374</f>
        <v/>
      </c>
      <c r="AQ385" s="8">
        <f>AQ340-AQ374</f>
        <v/>
      </c>
      <c r="AR385" s="8">
        <f>AR340-AR374</f>
        <v/>
      </c>
      <c r="AS385" s="8">
        <f>AS340-AS374</f>
        <v/>
      </c>
      <c r="AT385" s="8">
        <f>AT340-AT374</f>
        <v/>
      </c>
      <c r="AU385" s="8">
        <f>AU340-AU374</f>
        <v/>
      </c>
      <c r="AV385" s="8">
        <f>AV340-AV374</f>
        <v/>
      </c>
      <c r="AW385" s="8">
        <f>AW340-AW374</f>
        <v/>
      </c>
      <c r="AX385" s="8">
        <f>AX340-AX374</f>
        <v/>
      </c>
      <c r="AY385" s="8">
        <f>AY340-AY374</f>
        <v/>
      </c>
      <c r="AZ385" s="8">
        <f>AZ340-AZ374</f>
        <v/>
      </c>
      <c r="BA385" s="8">
        <f>BA340-BA374</f>
        <v/>
      </c>
      <c r="BB385" s="8">
        <f>BB340-BB374</f>
        <v/>
      </c>
      <c r="BC385" s="8">
        <f>BC340-BC374</f>
        <v/>
      </c>
      <c r="BD385" s="8">
        <f>BD340-BD374</f>
        <v/>
      </c>
      <c r="BE385" s="8">
        <f>BE340-BE374</f>
        <v/>
      </c>
      <c r="BF385" s="8">
        <f>BF340-BF374</f>
        <v/>
      </c>
      <c r="BG385" s="8">
        <f>BG340-BG374</f>
        <v/>
      </c>
      <c r="BH385" s="8">
        <f>BH340-BH374</f>
        <v/>
      </c>
      <c r="BI385" s="8">
        <f>BI340-BI374</f>
        <v/>
      </c>
      <c r="BJ385" s="8">
        <f>BJ340-BJ374</f>
        <v/>
      </c>
    </row>
    <row r="386">
      <c r="A386" s="4" t="inlineStr">
        <is>
          <t>Net subscription revenue: Rest of Africa (USD)</t>
        </is>
      </c>
      <c r="B386" s="17" t="inlineStr">
        <is>
          <t>R</t>
        </is>
      </c>
      <c r="C386" s="8">
        <f>C341</f>
        <v/>
      </c>
      <c r="D386" s="8">
        <f>D341</f>
        <v/>
      </c>
      <c r="E386" s="8">
        <f>E341</f>
        <v/>
      </c>
      <c r="F386" s="8">
        <f>F341</f>
        <v/>
      </c>
      <c r="G386" s="8">
        <f>G341</f>
        <v/>
      </c>
      <c r="H386" s="8">
        <f>H341</f>
        <v/>
      </c>
      <c r="I386" s="8">
        <f>I341</f>
        <v/>
      </c>
      <c r="J386" s="8">
        <f>J341</f>
        <v/>
      </c>
      <c r="K386" s="8">
        <f>K341</f>
        <v/>
      </c>
      <c r="L386" s="8">
        <f>L341</f>
        <v/>
      </c>
      <c r="M386" s="8">
        <f>M341</f>
        <v/>
      </c>
      <c r="N386" s="8">
        <f>N341</f>
        <v/>
      </c>
      <c r="O386" s="8">
        <f>O341</f>
        <v/>
      </c>
      <c r="P386" s="8">
        <f>P341</f>
        <v/>
      </c>
      <c r="Q386" s="8">
        <f>Q341</f>
        <v/>
      </c>
      <c r="R386" s="8">
        <f>R341</f>
        <v/>
      </c>
      <c r="S386" s="8">
        <f>S341</f>
        <v/>
      </c>
      <c r="T386" s="8">
        <f>T341</f>
        <v/>
      </c>
      <c r="U386" s="8">
        <f>U341</f>
        <v/>
      </c>
      <c r="V386" s="8">
        <f>V341</f>
        <v/>
      </c>
      <c r="W386" s="8">
        <f>W341</f>
        <v/>
      </c>
      <c r="X386" s="8">
        <f>X341</f>
        <v/>
      </c>
      <c r="Y386" s="8">
        <f>Y341</f>
        <v/>
      </c>
      <c r="Z386" s="8">
        <f>Z341</f>
        <v/>
      </c>
      <c r="AA386" s="8">
        <f>AA341</f>
        <v/>
      </c>
      <c r="AB386" s="8">
        <f>AB341</f>
        <v/>
      </c>
      <c r="AC386" s="8">
        <f>AC341</f>
        <v/>
      </c>
      <c r="AD386" s="8">
        <f>AD341</f>
        <v/>
      </c>
      <c r="AE386" s="8">
        <f>AE341</f>
        <v/>
      </c>
      <c r="AF386" s="8">
        <f>AF341</f>
        <v/>
      </c>
      <c r="AG386" s="8">
        <f>AG341</f>
        <v/>
      </c>
      <c r="AH386" s="8">
        <f>AH341</f>
        <v/>
      </c>
      <c r="AI386" s="8">
        <f>AI341</f>
        <v/>
      </c>
      <c r="AJ386" s="8">
        <f>AJ341</f>
        <v/>
      </c>
      <c r="AK386" s="8">
        <f>AK341</f>
        <v/>
      </c>
      <c r="AL386" s="8">
        <f>AL341</f>
        <v/>
      </c>
      <c r="AM386" s="8">
        <f>AM341</f>
        <v/>
      </c>
      <c r="AN386" s="8">
        <f>AN341</f>
        <v/>
      </c>
      <c r="AO386" s="8">
        <f>AO341</f>
        <v/>
      </c>
      <c r="AP386" s="8">
        <f>AP341</f>
        <v/>
      </c>
      <c r="AQ386" s="8">
        <f>AQ341</f>
        <v/>
      </c>
      <c r="AR386" s="8">
        <f>AR341</f>
        <v/>
      </c>
      <c r="AS386" s="8">
        <f>AS341</f>
        <v/>
      </c>
      <c r="AT386" s="8">
        <f>AT341</f>
        <v/>
      </c>
      <c r="AU386" s="8">
        <f>AU341</f>
        <v/>
      </c>
      <c r="AV386" s="8">
        <f>AV341</f>
        <v/>
      </c>
      <c r="AW386" s="8">
        <f>AW341</f>
        <v/>
      </c>
      <c r="AX386" s="8">
        <f>AX341</f>
        <v/>
      </c>
      <c r="AY386" s="8">
        <f>AY341</f>
        <v/>
      </c>
      <c r="AZ386" s="8">
        <f>AZ341</f>
        <v/>
      </c>
      <c r="BA386" s="8">
        <f>BA341</f>
        <v/>
      </c>
      <c r="BB386" s="8">
        <f>BB341</f>
        <v/>
      </c>
      <c r="BC386" s="8">
        <f>BC341</f>
        <v/>
      </c>
      <c r="BD386" s="8">
        <f>BD341</f>
        <v/>
      </c>
      <c r="BE386" s="8">
        <f>BE341</f>
        <v/>
      </c>
      <c r="BF386" s="8">
        <f>BF341</f>
        <v/>
      </c>
      <c r="BG386" s="8">
        <f>BG341</f>
        <v/>
      </c>
      <c r="BH386" s="8">
        <f>BH341</f>
        <v/>
      </c>
      <c r="BI386" s="8">
        <f>BI341</f>
        <v/>
      </c>
      <c r="BJ386" s="8">
        <f>BJ341</f>
        <v/>
      </c>
    </row>
    <row r="387">
      <c r="A387" s="4" t="inlineStr">
        <is>
          <t>Net subscription revenue: Botswana &amp; Namibia</t>
        </is>
      </c>
      <c r="B387" s="17" t="inlineStr">
        <is>
          <t>R</t>
        </is>
      </c>
      <c r="C387" s="8">
        <f>C342</f>
        <v/>
      </c>
      <c r="D387" s="8">
        <f>D342</f>
        <v/>
      </c>
      <c r="E387" s="8">
        <f>E342</f>
        <v/>
      </c>
      <c r="F387" s="8">
        <f>F342</f>
        <v/>
      </c>
      <c r="G387" s="8">
        <f>G342</f>
        <v/>
      </c>
      <c r="H387" s="8">
        <f>H342</f>
        <v/>
      </c>
      <c r="I387" s="8">
        <f>I342</f>
        <v/>
      </c>
      <c r="J387" s="8">
        <f>J342</f>
        <v/>
      </c>
      <c r="K387" s="8">
        <f>K342</f>
        <v/>
      </c>
      <c r="L387" s="8">
        <f>L342</f>
        <v/>
      </c>
      <c r="M387" s="8">
        <f>M342</f>
        <v/>
      </c>
      <c r="N387" s="8">
        <f>N342</f>
        <v/>
      </c>
      <c r="O387" s="8">
        <f>O342</f>
        <v/>
      </c>
      <c r="P387" s="8">
        <f>P342</f>
        <v/>
      </c>
      <c r="Q387" s="8">
        <f>Q342</f>
        <v/>
      </c>
      <c r="R387" s="8">
        <f>R342</f>
        <v/>
      </c>
      <c r="S387" s="8">
        <f>S342</f>
        <v/>
      </c>
      <c r="T387" s="8">
        <f>T342</f>
        <v/>
      </c>
      <c r="U387" s="8">
        <f>U342</f>
        <v/>
      </c>
      <c r="V387" s="8">
        <f>V342</f>
        <v/>
      </c>
      <c r="W387" s="8">
        <f>W342</f>
        <v/>
      </c>
      <c r="X387" s="8">
        <f>X342</f>
        <v/>
      </c>
      <c r="Y387" s="8">
        <f>Y342</f>
        <v/>
      </c>
      <c r="Z387" s="8">
        <f>Z342</f>
        <v/>
      </c>
      <c r="AA387" s="8">
        <f>AA342</f>
        <v/>
      </c>
      <c r="AB387" s="8">
        <f>AB342</f>
        <v/>
      </c>
      <c r="AC387" s="8">
        <f>AC342</f>
        <v/>
      </c>
      <c r="AD387" s="8">
        <f>AD342</f>
        <v/>
      </c>
      <c r="AE387" s="8">
        <f>AE342</f>
        <v/>
      </c>
      <c r="AF387" s="8">
        <f>AF342</f>
        <v/>
      </c>
      <c r="AG387" s="8">
        <f>AG342</f>
        <v/>
      </c>
      <c r="AH387" s="8">
        <f>AH342</f>
        <v/>
      </c>
      <c r="AI387" s="8">
        <f>AI342</f>
        <v/>
      </c>
      <c r="AJ387" s="8">
        <f>AJ342</f>
        <v/>
      </c>
      <c r="AK387" s="8">
        <f>AK342</f>
        <v/>
      </c>
      <c r="AL387" s="8">
        <f>AL342</f>
        <v/>
      </c>
      <c r="AM387" s="8">
        <f>AM342</f>
        <v/>
      </c>
      <c r="AN387" s="8">
        <f>AN342</f>
        <v/>
      </c>
      <c r="AO387" s="8">
        <f>AO342</f>
        <v/>
      </c>
      <c r="AP387" s="8">
        <f>AP342</f>
        <v/>
      </c>
      <c r="AQ387" s="8">
        <f>AQ342</f>
        <v/>
      </c>
      <c r="AR387" s="8">
        <f>AR342</f>
        <v/>
      </c>
      <c r="AS387" s="8">
        <f>AS342</f>
        <v/>
      </c>
      <c r="AT387" s="8">
        <f>AT342</f>
        <v/>
      </c>
      <c r="AU387" s="8">
        <f>AU342</f>
        <v/>
      </c>
      <c r="AV387" s="8">
        <f>AV342</f>
        <v/>
      </c>
      <c r="AW387" s="8">
        <f>AW342</f>
        <v/>
      </c>
      <c r="AX387" s="8">
        <f>AX342</f>
        <v/>
      </c>
      <c r="AY387" s="8">
        <f>AY342</f>
        <v/>
      </c>
      <c r="AZ387" s="8">
        <f>AZ342</f>
        <v/>
      </c>
      <c r="BA387" s="8">
        <f>BA342</f>
        <v/>
      </c>
      <c r="BB387" s="8">
        <f>BB342</f>
        <v/>
      </c>
      <c r="BC387" s="8">
        <f>BC342</f>
        <v/>
      </c>
      <c r="BD387" s="8">
        <f>BD342</f>
        <v/>
      </c>
      <c r="BE387" s="8">
        <f>BE342</f>
        <v/>
      </c>
      <c r="BF387" s="8">
        <f>BF342</f>
        <v/>
      </c>
      <c r="BG387" s="8">
        <f>BG342</f>
        <v/>
      </c>
      <c r="BH387" s="8">
        <f>BH342</f>
        <v/>
      </c>
      <c r="BI387" s="8">
        <f>BI342</f>
        <v/>
      </c>
      <c r="BJ387" s="8">
        <f>BJ342</f>
        <v/>
      </c>
    </row>
    <row r="388"/>
    <row r="389">
      <c r="A389" s="19" t="inlineStr">
        <is>
          <t>Usage &amp; transaction revenue</t>
        </is>
      </c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/>
      <c r="X389" s="19" t="n"/>
      <c r="Y389" s="19" t="n"/>
      <c r="Z389" s="19" t="n"/>
      <c r="AA389" s="19" t="n"/>
      <c r="AB389" s="19" t="n"/>
      <c r="AC389" s="19" t="n"/>
      <c r="AD389" s="19" t="n"/>
      <c r="AE389" s="19" t="n"/>
      <c r="AF389" s="19" t="n"/>
      <c r="AG389" s="19" t="n"/>
      <c r="AH389" s="19" t="n"/>
      <c r="AI389" s="19" t="n"/>
      <c r="AJ389" s="19" t="n"/>
      <c r="AK389" s="19" t="n"/>
      <c r="AL389" s="19" t="n"/>
      <c r="AM389" s="19" t="n"/>
      <c r="AN389" s="19" t="n"/>
      <c r="AO389" s="19" t="n"/>
      <c r="AP389" s="19" t="n"/>
      <c r="AQ389" s="19" t="n"/>
      <c r="AR389" s="19" t="n"/>
      <c r="AS389" s="19" t="n"/>
      <c r="AT389" s="19" t="n"/>
      <c r="AU389" s="19" t="n"/>
      <c r="AV389" s="19" t="n"/>
      <c r="AW389" s="19" t="n"/>
      <c r="AX389" s="19" t="n"/>
      <c r="AY389" s="19" t="n"/>
      <c r="AZ389" s="19" t="n"/>
      <c r="BA389" s="19" t="n"/>
      <c r="BB389" s="19" t="n"/>
      <c r="BC389" s="19" t="n"/>
      <c r="BD389" s="19" t="n"/>
      <c r="BE389" s="19" t="n"/>
      <c r="BF389" s="19" t="n"/>
      <c r="BG389" s="19" t="n"/>
      <c r="BH389" s="19" t="n"/>
      <c r="BI389" s="19" t="n"/>
      <c r="BJ389" s="19" t="n"/>
    </row>
    <row r="390">
      <c r="A390" s="4" t="inlineStr">
        <is>
          <t>AI-credit top-ups</t>
        </is>
      </c>
      <c r="B390" s="17" t="inlineStr">
        <is>
          <t>R</t>
        </is>
      </c>
      <c r="C390" s="8">
        <f>C301*Assumptions!$B$148*Assumptions!$B$149*C307</f>
        <v/>
      </c>
      <c r="D390" s="8">
        <f>D301*Assumptions!$B$148*Assumptions!$B$149*D307</f>
        <v/>
      </c>
      <c r="E390" s="8">
        <f>E301*Assumptions!$B$148*Assumptions!$B$149*E307</f>
        <v/>
      </c>
      <c r="F390" s="8">
        <f>F301*Assumptions!$B$148*Assumptions!$B$149*F307</f>
        <v/>
      </c>
      <c r="G390" s="8">
        <f>G301*Assumptions!$B$148*Assumptions!$B$149*G307</f>
        <v/>
      </c>
      <c r="H390" s="8">
        <f>H301*Assumptions!$B$148*Assumptions!$B$149*H307</f>
        <v/>
      </c>
      <c r="I390" s="8">
        <f>I301*Assumptions!$B$148*Assumptions!$B$149*I307</f>
        <v/>
      </c>
      <c r="J390" s="8">
        <f>J301*Assumptions!$B$148*Assumptions!$B$149*J307</f>
        <v/>
      </c>
      <c r="K390" s="8">
        <f>K301*Assumptions!$B$148*Assumptions!$B$149*K307</f>
        <v/>
      </c>
      <c r="L390" s="8">
        <f>L301*Assumptions!$B$148*Assumptions!$B$149*L307</f>
        <v/>
      </c>
      <c r="M390" s="8">
        <f>M301*Assumptions!$B$148*Assumptions!$B$149*M307</f>
        <v/>
      </c>
      <c r="N390" s="8">
        <f>N301*Assumptions!$B$148*Assumptions!$B$149*N307</f>
        <v/>
      </c>
      <c r="O390" s="8">
        <f>O301*Assumptions!$B$148*Assumptions!$B$149*O307</f>
        <v/>
      </c>
      <c r="P390" s="8">
        <f>P301*Assumptions!$B$148*Assumptions!$B$149*P307</f>
        <v/>
      </c>
      <c r="Q390" s="8">
        <f>Q301*Assumptions!$B$148*Assumptions!$B$149*Q307</f>
        <v/>
      </c>
      <c r="R390" s="8">
        <f>R301*Assumptions!$B$148*Assumptions!$B$149*R307</f>
        <v/>
      </c>
      <c r="S390" s="8">
        <f>S301*Assumptions!$B$148*Assumptions!$B$149*S307</f>
        <v/>
      </c>
      <c r="T390" s="8">
        <f>T301*Assumptions!$B$148*Assumptions!$B$149*T307</f>
        <v/>
      </c>
      <c r="U390" s="8">
        <f>U301*Assumptions!$B$148*Assumptions!$B$149*U307</f>
        <v/>
      </c>
      <c r="V390" s="8">
        <f>V301*Assumptions!$B$148*Assumptions!$B$149*V307</f>
        <v/>
      </c>
      <c r="W390" s="8">
        <f>W301*Assumptions!$B$148*Assumptions!$B$149*W307</f>
        <v/>
      </c>
      <c r="X390" s="8">
        <f>X301*Assumptions!$B$148*Assumptions!$B$149*X307</f>
        <v/>
      </c>
      <c r="Y390" s="8">
        <f>Y301*Assumptions!$B$148*Assumptions!$B$149*Y307</f>
        <v/>
      </c>
      <c r="Z390" s="8">
        <f>Z301*Assumptions!$B$148*Assumptions!$B$149*Z307</f>
        <v/>
      </c>
      <c r="AA390" s="8">
        <f>AA301*Assumptions!$B$148*Assumptions!$B$149*AA307</f>
        <v/>
      </c>
      <c r="AB390" s="8">
        <f>AB301*Assumptions!$B$148*Assumptions!$B$149*AB307</f>
        <v/>
      </c>
      <c r="AC390" s="8">
        <f>AC301*Assumptions!$B$148*Assumptions!$B$149*AC307</f>
        <v/>
      </c>
      <c r="AD390" s="8">
        <f>AD301*Assumptions!$B$148*Assumptions!$B$149*AD307</f>
        <v/>
      </c>
      <c r="AE390" s="8">
        <f>AE301*Assumptions!$B$148*Assumptions!$B$149*AE307</f>
        <v/>
      </c>
      <c r="AF390" s="8">
        <f>AF301*Assumptions!$B$148*Assumptions!$B$149*AF307</f>
        <v/>
      </c>
      <c r="AG390" s="8">
        <f>AG301*Assumptions!$B$148*Assumptions!$B$149*AG307</f>
        <v/>
      </c>
      <c r="AH390" s="8">
        <f>AH301*Assumptions!$B$148*Assumptions!$B$149*AH307</f>
        <v/>
      </c>
      <c r="AI390" s="8">
        <f>AI301*Assumptions!$B$148*Assumptions!$B$149*AI307</f>
        <v/>
      </c>
      <c r="AJ390" s="8">
        <f>AJ301*Assumptions!$B$148*Assumptions!$B$149*AJ307</f>
        <v/>
      </c>
      <c r="AK390" s="8">
        <f>AK301*Assumptions!$B$148*Assumptions!$B$149*AK307</f>
        <v/>
      </c>
      <c r="AL390" s="8">
        <f>AL301*Assumptions!$B$148*Assumptions!$B$149*AL307</f>
        <v/>
      </c>
      <c r="AM390" s="8">
        <f>AM301*Assumptions!$B$148*Assumptions!$B$149*AM307</f>
        <v/>
      </c>
      <c r="AN390" s="8">
        <f>AN301*Assumptions!$B$148*Assumptions!$B$149*AN307</f>
        <v/>
      </c>
      <c r="AO390" s="8">
        <f>AO301*Assumptions!$B$148*Assumptions!$B$149*AO307</f>
        <v/>
      </c>
      <c r="AP390" s="8">
        <f>AP301*Assumptions!$B$148*Assumptions!$B$149*AP307</f>
        <v/>
      </c>
      <c r="AQ390" s="8">
        <f>AQ301*Assumptions!$B$148*Assumptions!$B$149*AQ307</f>
        <v/>
      </c>
      <c r="AR390" s="8">
        <f>AR301*Assumptions!$B$148*Assumptions!$B$149*AR307</f>
        <v/>
      </c>
      <c r="AS390" s="8">
        <f>AS301*Assumptions!$B$148*Assumptions!$B$149*AS307</f>
        <v/>
      </c>
      <c r="AT390" s="8">
        <f>AT301*Assumptions!$B$148*Assumptions!$B$149*AT307</f>
        <v/>
      </c>
      <c r="AU390" s="8">
        <f>AU301*Assumptions!$B$148*Assumptions!$B$149*AU307</f>
        <v/>
      </c>
      <c r="AV390" s="8">
        <f>AV301*Assumptions!$B$148*Assumptions!$B$149*AV307</f>
        <v/>
      </c>
      <c r="AW390" s="8">
        <f>AW301*Assumptions!$B$148*Assumptions!$B$149*AW307</f>
        <v/>
      </c>
      <c r="AX390" s="8">
        <f>AX301*Assumptions!$B$148*Assumptions!$B$149*AX307</f>
        <v/>
      </c>
      <c r="AY390" s="8">
        <f>AY301*Assumptions!$B$148*Assumptions!$B$149*AY307</f>
        <v/>
      </c>
      <c r="AZ390" s="8">
        <f>AZ301*Assumptions!$B$148*Assumptions!$B$149*AZ307</f>
        <v/>
      </c>
      <c r="BA390" s="8">
        <f>BA301*Assumptions!$B$148*Assumptions!$B$149*BA307</f>
        <v/>
      </c>
      <c r="BB390" s="8">
        <f>BB301*Assumptions!$B$148*Assumptions!$B$149*BB307</f>
        <v/>
      </c>
      <c r="BC390" s="8">
        <f>BC301*Assumptions!$B$148*Assumptions!$B$149*BC307</f>
        <v/>
      </c>
      <c r="BD390" s="8">
        <f>BD301*Assumptions!$B$148*Assumptions!$B$149*BD307</f>
        <v/>
      </c>
      <c r="BE390" s="8">
        <f>BE301*Assumptions!$B$148*Assumptions!$B$149*BE307</f>
        <v/>
      </c>
      <c r="BF390" s="8">
        <f>BF301*Assumptions!$B$148*Assumptions!$B$149*BF307</f>
        <v/>
      </c>
      <c r="BG390" s="8">
        <f>BG301*Assumptions!$B$148*Assumptions!$B$149*BG307</f>
        <v/>
      </c>
      <c r="BH390" s="8">
        <f>BH301*Assumptions!$B$148*Assumptions!$B$149*BH307</f>
        <v/>
      </c>
      <c r="BI390" s="8">
        <f>BI301*Assumptions!$B$148*Assumptions!$B$149*BI307</f>
        <v/>
      </c>
      <c r="BJ390" s="8">
        <f>BJ301*Assumptions!$B$148*Assumptions!$B$149*BJ307</f>
        <v/>
      </c>
    </row>
    <row r="391">
      <c r="A391" s="4" t="inlineStr">
        <is>
          <t>Billable WhatsApp messages</t>
        </is>
      </c>
      <c r="B391" s="17" t="inlineStr">
        <is>
          <t>messages</t>
        </is>
      </c>
      <c r="C391" s="10">
        <f>C286*Assumptions!$B$151+C289*Assumptions!$B$152+C292*Assumptions!$B$153+C295*Assumptions!$B$154+C298*Assumptions!$B$155</f>
        <v/>
      </c>
      <c r="D391" s="10">
        <f>D286*Assumptions!$B$151+D289*Assumptions!$B$152+D292*Assumptions!$B$153+D295*Assumptions!$B$154+D298*Assumptions!$B$155</f>
        <v/>
      </c>
      <c r="E391" s="10">
        <f>E286*Assumptions!$B$151+E289*Assumptions!$B$152+E292*Assumptions!$B$153+E295*Assumptions!$B$154+E298*Assumptions!$B$155</f>
        <v/>
      </c>
      <c r="F391" s="10">
        <f>F286*Assumptions!$B$151+F289*Assumptions!$B$152+F292*Assumptions!$B$153+F295*Assumptions!$B$154+F298*Assumptions!$B$155</f>
        <v/>
      </c>
      <c r="G391" s="10">
        <f>G286*Assumptions!$B$151+G289*Assumptions!$B$152+G292*Assumptions!$B$153+G295*Assumptions!$B$154+G298*Assumptions!$B$155</f>
        <v/>
      </c>
      <c r="H391" s="10">
        <f>H286*Assumptions!$B$151+H289*Assumptions!$B$152+H292*Assumptions!$B$153+H295*Assumptions!$B$154+H298*Assumptions!$B$155</f>
        <v/>
      </c>
      <c r="I391" s="10">
        <f>I286*Assumptions!$B$151+I289*Assumptions!$B$152+I292*Assumptions!$B$153+I295*Assumptions!$B$154+I298*Assumptions!$B$155</f>
        <v/>
      </c>
      <c r="J391" s="10">
        <f>J286*Assumptions!$B$151+J289*Assumptions!$B$152+J292*Assumptions!$B$153+J295*Assumptions!$B$154+J298*Assumptions!$B$155</f>
        <v/>
      </c>
      <c r="K391" s="10">
        <f>K286*Assumptions!$B$151+K289*Assumptions!$B$152+K292*Assumptions!$B$153+K295*Assumptions!$B$154+K298*Assumptions!$B$155</f>
        <v/>
      </c>
      <c r="L391" s="10">
        <f>L286*Assumptions!$B$151+L289*Assumptions!$B$152+L292*Assumptions!$B$153+L295*Assumptions!$B$154+L298*Assumptions!$B$155</f>
        <v/>
      </c>
      <c r="M391" s="10">
        <f>M286*Assumptions!$B$151+M289*Assumptions!$B$152+M292*Assumptions!$B$153+M295*Assumptions!$B$154+M298*Assumptions!$B$155</f>
        <v/>
      </c>
      <c r="N391" s="10">
        <f>N286*Assumptions!$B$151+N289*Assumptions!$B$152+N292*Assumptions!$B$153+N295*Assumptions!$B$154+N298*Assumptions!$B$155</f>
        <v/>
      </c>
      <c r="O391" s="10">
        <f>O286*Assumptions!$B$151+O289*Assumptions!$B$152+O292*Assumptions!$B$153+O295*Assumptions!$B$154+O298*Assumptions!$B$155</f>
        <v/>
      </c>
      <c r="P391" s="10">
        <f>P286*Assumptions!$B$151+P289*Assumptions!$B$152+P292*Assumptions!$B$153+P295*Assumptions!$B$154+P298*Assumptions!$B$155</f>
        <v/>
      </c>
      <c r="Q391" s="10">
        <f>Q286*Assumptions!$B$151+Q289*Assumptions!$B$152+Q292*Assumptions!$B$153+Q295*Assumptions!$B$154+Q298*Assumptions!$B$155</f>
        <v/>
      </c>
      <c r="R391" s="10">
        <f>R286*Assumptions!$B$151+R289*Assumptions!$B$152+R292*Assumptions!$B$153+R295*Assumptions!$B$154+R298*Assumptions!$B$155</f>
        <v/>
      </c>
      <c r="S391" s="10">
        <f>S286*Assumptions!$B$151+S289*Assumptions!$B$152+S292*Assumptions!$B$153+S295*Assumptions!$B$154+S298*Assumptions!$B$155</f>
        <v/>
      </c>
      <c r="T391" s="10">
        <f>T286*Assumptions!$B$151+T289*Assumptions!$B$152+T292*Assumptions!$B$153+T295*Assumptions!$B$154+T298*Assumptions!$B$155</f>
        <v/>
      </c>
      <c r="U391" s="10">
        <f>U286*Assumptions!$B$151+U289*Assumptions!$B$152+U292*Assumptions!$B$153+U295*Assumptions!$B$154+U298*Assumptions!$B$155</f>
        <v/>
      </c>
      <c r="V391" s="10">
        <f>V286*Assumptions!$B$151+V289*Assumptions!$B$152+V292*Assumptions!$B$153+V295*Assumptions!$B$154+V298*Assumptions!$B$155</f>
        <v/>
      </c>
      <c r="W391" s="10">
        <f>W286*Assumptions!$B$151+W289*Assumptions!$B$152+W292*Assumptions!$B$153+W295*Assumptions!$B$154+W298*Assumptions!$B$155</f>
        <v/>
      </c>
      <c r="X391" s="10">
        <f>X286*Assumptions!$B$151+X289*Assumptions!$B$152+X292*Assumptions!$B$153+X295*Assumptions!$B$154+X298*Assumptions!$B$155</f>
        <v/>
      </c>
      <c r="Y391" s="10">
        <f>Y286*Assumptions!$B$151+Y289*Assumptions!$B$152+Y292*Assumptions!$B$153+Y295*Assumptions!$B$154+Y298*Assumptions!$B$155</f>
        <v/>
      </c>
      <c r="Z391" s="10">
        <f>Z286*Assumptions!$B$151+Z289*Assumptions!$B$152+Z292*Assumptions!$B$153+Z295*Assumptions!$B$154+Z298*Assumptions!$B$155</f>
        <v/>
      </c>
      <c r="AA391" s="10">
        <f>AA286*Assumptions!$B$151+AA289*Assumptions!$B$152+AA292*Assumptions!$B$153+AA295*Assumptions!$B$154+AA298*Assumptions!$B$155</f>
        <v/>
      </c>
      <c r="AB391" s="10">
        <f>AB286*Assumptions!$B$151+AB289*Assumptions!$B$152+AB292*Assumptions!$B$153+AB295*Assumptions!$B$154+AB298*Assumptions!$B$155</f>
        <v/>
      </c>
      <c r="AC391" s="10">
        <f>AC286*Assumptions!$B$151+AC289*Assumptions!$B$152+AC292*Assumptions!$B$153+AC295*Assumptions!$B$154+AC298*Assumptions!$B$155</f>
        <v/>
      </c>
      <c r="AD391" s="10">
        <f>AD286*Assumptions!$B$151+AD289*Assumptions!$B$152+AD292*Assumptions!$B$153+AD295*Assumptions!$B$154+AD298*Assumptions!$B$155</f>
        <v/>
      </c>
      <c r="AE391" s="10">
        <f>AE286*Assumptions!$B$151+AE289*Assumptions!$B$152+AE292*Assumptions!$B$153+AE295*Assumptions!$B$154+AE298*Assumptions!$B$155</f>
        <v/>
      </c>
      <c r="AF391" s="10">
        <f>AF286*Assumptions!$B$151+AF289*Assumptions!$B$152+AF292*Assumptions!$B$153+AF295*Assumptions!$B$154+AF298*Assumptions!$B$155</f>
        <v/>
      </c>
      <c r="AG391" s="10">
        <f>AG286*Assumptions!$B$151+AG289*Assumptions!$B$152+AG292*Assumptions!$B$153+AG295*Assumptions!$B$154+AG298*Assumptions!$B$155</f>
        <v/>
      </c>
      <c r="AH391" s="10">
        <f>AH286*Assumptions!$B$151+AH289*Assumptions!$B$152+AH292*Assumptions!$B$153+AH295*Assumptions!$B$154+AH298*Assumptions!$B$155</f>
        <v/>
      </c>
      <c r="AI391" s="10">
        <f>AI286*Assumptions!$B$151+AI289*Assumptions!$B$152+AI292*Assumptions!$B$153+AI295*Assumptions!$B$154+AI298*Assumptions!$B$155</f>
        <v/>
      </c>
      <c r="AJ391" s="10">
        <f>AJ286*Assumptions!$B$151+AJ289*Assumptions!$B$152+AJ292*Assumptions!$B$153+AJ295*Assumptions!$B$154+AJ298*Assumptions!$B$155</f>
        <v/>
      </c>
      <c r="AK391" s="10">
        <f>AK286*Assumptions!$B$151+AK289*Assumptions!$B$152+AK292*Assumptions!$B$153+AK295*Assumptions!$B$154+AK298*Assumptions!$B$155</f>
        <v/>
      </c>
      <c r="AL391" s="10">
        <f>AL286*Assumptions!$B$151+AL289*Assumptions!$B$152+AL292*Assumptions!$B$153+AL295*Assumptions!$B$154+AL298*Assumptions!$B$155</f>
        <v/>
      </c>
      <c r="AM391" s="10">
        <f>AM286*Assumptions!$B$151+AM289*Assumptions!$B$152+AM292*Assumptions!$B$153+AM295*Assumptions!$B$154+AM298*Assumptions!$B$155</f>
        <v/>
      </c>
      <c r="AN391" s="10">
        <f>AN286*Assumptions!$B$151+AN289*Assumptions!$B$152+AN292*Assumptions!$B$153+AN295*Assumptions!$B$154+AN298*Assumptions!$B$155</f>
        <v/>
      </c>
      <c r="AO391" s="10">
        <f>AO286*Assumptions!$B$151+AO289*Assumptions!$B$152+AO292*Assumptions!$B$153+AO295*Assumptions!$B$154+AO298*Assumptions!$B$155</f>
        <v/>
      </c>
      <c r="AP391" s="10">
        <f>AP286*Assumptions!$B$151+AP289*Assumptions!$B$152+AP292*Assumptions!$B$153+AP295*Assumptions!$B$154+AP298*Assumptions!$B$155</f>
        <v/>
      </c>
      <c r="AQ391" s="10">
        <f>AQ286*Assumptions!$B$151+AQ289*Assumptions!$B$152+AQ292*Assumptions!$B$153+AQ295*Assumptions!$B$154+AQ298*Assumptions!$B$155</f>
        <v/>
      </c>
      <c r="AR391" s="10">
        <f>AR286*Assumptions!$B$151+AR289*Assumptions!$B$152+AR292*Assumptions!$B$153+AR295*Assumptions!$B$154+AR298*Assumptions!$B$155</f>
        <v/>
      </c>
      <c r="AS391" s="10">
        <f>AS286*Assumptions!$B$151+AS289*Assumptions!$B$152+AS292*Assumptions!$B$153+AS295*Assumptions!$B$154+AS298*Assumptions!$B$155</f>
        <v/>
      </c>
      <c r="AT391" s="10">
        <f>AT286*Assumptions!$B$151+AT289*Assumptions!$B$152+AT292*Assumptions!$B$153+AT295*Assumptions!$B$154+AT298*Assumptions!$B$155</f>
        <v/>
      </c>
      <c r="AU391" s="10">
        <f>AU286*Assumptions!$B$151+AU289*Assumptions!$B$152+AU292*Assumptions!$B$153+AU295*Assumptions!$B$154+AU298*Assumptions!$B$155</f>
        <v/>
      </c>
      <c r="AV391" s="10">
        <f>AV286*Assumptions!$B$151+AV289*Assumptions!$B$152+AV292*Assumptions!$B$153+AV295*Assumptions!$B$154+AV298*Assumptions!$B$155</f>
        <v/>
      </c>
      <c r="AW391" s="10">
        <f>AW286*Assumptions!$B$151+AW289*Assumptions!$B$152+AW292*Assumptions!$B$153+AW295*Assumptions!$B$154+AW298*Assumptions!$B$155</f>
        <v/>
      </c>
      <c r="AX391" s="10">
        <f>AX286*Assumptions!$B$151+AX289*Assumptions!$B$152+AX292*Assumptions!$B$153+AX295*Assumptions!$B$154+AX298*Assumptions!$B$155</f>
        <v/>
      </c>
      <c r="AY391" s="10">
        <f>AY286*Assumptions!$B$151+AY289*Assumptions!$B$152+AY292*Assumptions!$B$153+AY295*Assumptions!$B$154+AY298*Assumptions!$B$155</f>
        <v/>
      </c>
      <c r="AZ391" s="10">
        <f>AZ286*Assumptions!$B$151+AZ289*Assumptions!$B$152+AZ292*Assumptions!$B$153+AZ295*Assumptions!$B$154+AZ298*Assumptions!$B$155</f>
        <v/>
      </c>
      <c r="BA391" s="10">
        <f>BA286*Assumptions!$B$151+BA289*Assumptions!$B$152+BA292*Assumptions!$B$153+BA295*Assumptions!$B$154+BA298*Assumptions!$B$155</f>
        <v/>
      </c>
      <c r="BB391" s="10">
        <f>BB286*Assumptions!$B$151+BB289*Assumptions!$B$152+BB292*Assumptions!$B$153+BB295*Assumptions!$B$154+BB298*Assumptions!$B$155</f>
        <v/>
      </c>
      <c r="BC391" s="10">
        <f>BC286*Assumptions!$B$151+BC289*Assumptions!$B$152+BC292*Assumptions!$B$153+BC295*Assumptions!$B$154+BC298*Assumptions!$B$155</f>
        <v/>
      </c>
      <c r="BD391" s="10">
        <f>BD286*Assumptions!$B$151+BD289*Assumptions!$B$152+BD292*Assumptions!$B$153+BD295*Assumptions!$B$154+BD298*Assumptions!$B$155</f>
        <v/>
      </c>
      <c r="BE391" s="10">
        <f>BE286*Assumptions!$B$151+BE289*Assumptions!$B$152+BE292*Assumptions!$B$153+BE295*Assumptions!$B$154+BE298*Assumptions!$B$155</f>
        <v/>
      </c>
      <c r="BF391" s="10">
        <f>BF286*Assumptions!$B$151+BF289*Assumptions!$B$152+BF292*Assumptions!$B$153+BF295*Assumptions!$B$154+BF298*Assumptions!$B$155</f>
        <v/>
      </c>
      <c r="BG391" s="10">
        <f>BG286*Assumptions!$B$151+BG289*Assumptions!$B$152+BG292*Assumptions!$B$153+BG295*Assumptions!$B$154+BG298*Assumptions!$B$155</f>
        <v/>
      </c>
      <c r="BH391" s="10">
        <f>BH286*Assumptions!$B$151+BH289*Assumptions!$B$152+BH292*Assumptions!$B$153+BH295*Assumptions!$B$154+BH298*Assumptions!$B$155</f>
        <v/>
      </c>
      <c r="BI391" s="10">
        <f>BI286*Assumptions!$B$151+BI289*Assumptions!$B$152+BI292*Assumptions!$B$153+BI295*Assumptions!$B$154+BI298*Assumptions!$B$155</f>
        <v/>
      </c>
      <c r="BJ391" s="10">
        <f>BJ286*Assumptions!$B$151+BJ289*Assumptions!$B$152+BJ292*Assumptions!$B$153+BJ295*Assumptions!$B$154+BJ298*Assumptions!$B$155</f>
        <v/>
      </c>
    </row>
    <row r="392">
      <c r="A392" s="4" t="inlineStr">
        <is>
          <t>WhatsApp messaging (Meta fees resold with markup)</t>
        </is>
      </c>
      <c r="B392" s="17" t="inlineStr">
        <is>
          <t>R</t>
        </is>
      </c>
      <c r="C392" s="8">
        <f>C391*Assumptions!$B$156*(1+Assumptions!$B$157)</f>
        <v/>
      </c>
      <c r="D392" s="8">
        <f>D391*Assumptions!$B$156*(1+Assumptions!$B$157)</f>
        <v/>
      </c>
      <c r="E392" s="8">
        <f>E391*Assumptions!$B$156*(1+Assumptions!$B$157)</f>
        <v/>
      </c>
      <c r="F392" s="8">
        <f>F391*Assumptions!$B$156*(1+Assumptions!$B$157)</f>
        <v/>
      </c>
      <c r="G392" s="8">
        <f>G391*Assumptions!$B$156*(1+Assumptions!$B$157)</f>
        <v/>
      </c>
      <c r="H392" s="8">
        <f>H391*Assumptions!$B$156*(1+Assumptions!$B$157)</f>
        <v/>
      </c>
      <c r="I392" s="8">
        <f>I391*Assumptions!$B$156*(1+Assumptions!$B$157)</f>
        <v/>
      </c>
      <c r="J392" s="8">
        <f>J391*Assumptions!$B$156*(1+Assumptions!$B$157)</f>
        <v/>
      </c>
      <c r="K392" s="8">
        <f>K391*Assumptions!$B$156*(1+Assumptions!$B$157)</f>
        <v/>
      </c>
      <c r="L392" s="8">
        <f>L391*Assumptions!$B$156*(1+Assumptions!$B$157)</f>
        <v/>
      </c>
      <c r="M392" s="8">
        <f>M391*Assumptions!$B$156*(1+Assumptions!$B$157)</f>
        <v/>
      </c>
      <c r="N392" s="8">
        <f>N391*Assumptions!$B$156*(1+Assumptions!$B$157)</f>
        <v/>
      </c>
      <c r="O392" s="8">
        <f>O391*Assumptions!$B$156*(1+Assumptions!$B$157)</f>
        <v/>
      </c>
      <c r="P392" s="8">
        <f>P391*Assumptions!$B$156*(1+Assumptions!$B$157)</f>
        <v/>
      </c>
      <c r="Q392" s="8">
        <f>Q391*Assumptions!$B$156*(1+Assumptions!$B$157)</f>
        <v/>
      </c>
      <c r="R392" s="8">
        <f>R391*Assumptions!$B$156*(1+Assumptions!$B$157)</f>
        <v/>
      </c>
      <c r="S392" s="8">
        <f>S391*Assumptions!$B$156*(1+Assumptions!$B$157)</f>
        <v/>
      </c>
      <c r="T392" s="8">
        <f>T391*Assumptions!$B$156*(1+Assumptions!$B$157)</f>
        <v/>
      </c>
      <c r="U392" s="8">
        <f>U391*Assumptions!$B$156*(1+Assumptions!$B$157)</f>
        <v/>
      </c>
      <c r="V392" s="8">
        <f>V391*Assumptions!$B$156*(1+Assumptions!$B$157)</f>
        <v/>
      </c>
      <c r="W392" s="8">
        <f>W391*Assumptions!$B$156*(1+Assumptions!$B$157)</f>
        <v/>
      </c>
      <c r="X392" s="8">
        <f>X391*Assumptions!$B$156*(1+Assumptions!$B$157)</f>
        <v/>
      </c>
      <c r="Y392" s="8">
        <f>Y391*Assumptions!$B$156*(1+Assumptions!$B$157)</f>
        <v/>
      </c>
      <c r="Z392" s="8">
        <f>Z391*Assumptions!$B$156*(1+Assumptions!$B$157)</f>
        <v/>
      </c>
      <c r="AA392" s="8">
        <f>AA391*Assumptions!$B$156*(1+Assumptions!$B$157)</f>
        <v/>
      </c>
      <c r="AB392" s="8">
        <f>AB391*Assumptions!$B$156*(1+Assumptions!$B$157)</f>
        <v/>
      </c>
      <c r="AC392" s="8">
        <f>AC391*Assumptions!$B$156*(1+Assumptions!$B$157)</f>
        <v/>
      </c>
      <c r="AD392" s="8">
        <f>AD391*Assumptions!$B$156*(1+Assumptions!$B$157)</f>
        <v/>
      </c>
      <c r="AE392" s="8">
        <f>AE391*Assumptions!$B$156*(1+Assumptions!$B$157)</f>
        <v/>
      </c>
      <c r="AF392" s="8">
        <f>AF391*Assumptions!$B$156*(1+Assumptions!$B$157)</f>
        <v/>
      </c>
      <c r="AG392" s="8">
        <f>AG391*Assumptions!$B$156*(1+Assumptions!$B$157)</f>
        <v/>
      </c>
      <c r="AH392" s="8">
        <f>AH391*Assumptions!$B$156*(1+Assumptions!$B$157)</f>
        <v/>
      </c>
      <c r="AI392" s="8">
        <f>AI391*Assumptions!$B$156*(1+Assumptions!$B$157)</f>
        <v/>
      </c>
      <c r="AJ392" s="8">
        <f>AJ391*Assumptions!$B$156*(1+Assumptions!$B$157)</f>
        <v/>
      </c>
      <c r="AK392" s="8">
        <f>AK391*Assumptions!$B$156*(1+Assumptions!$B$157)</f>
        <v/>
      </c>
      <c r="AL392" s="8">
        <f>AL391*Assumptions!$B$156*(1+Assumptions!$B$157)</f>
        <v/>
      </c>
      <c r="AM392" s="8">
        <f>AM391*Assumptions!$B$156*(1+Assumptions!$B$157)</f>
        <v/>
      </c>
      <c r="AN392" s="8">
        <f>AN391*Assumptions!$B$156*(1+Assumptions!$B$157)</f>
        <v/>
      </c>
      <c r="AO392" s="8">
        <f>AO391*Assumptions!$B$156*(1+Assumptions!$B$157)</f>
        <v/>
      </c>
      <c r="AP392" s="8">
        <f>AP391*Assumptions!$B$156*(1+Assumptions!$B$157)</f>
        <v/>
      </c>
      <c r="AQ392" s="8">
        <f>AQ391*Assumptions!$B$156*(1+Assumptions!$B$157)</f>
        <v/>
      </c>
      <c r="AR392" s="8">
        <f>AR391*Assumptions!$B$156*(1+Assumptions!$B$157)</f>
        <v/>
      </c>
      <c r="AS392" s="8">
        <f>AS391*Assumptions!$B$156*(1+Assumptions!$B$157)</f>
        <v/>
      </c>
      <c r="AT392" s="8">
        <f>AT391*Assumptions!$B$156*(1+Assumptions!$B$157)</f>
        <v/>
      </c>
      <c r="AU392" s="8">
        <f>AU391*Assumptions!$B$156*(1+Assumptions!$B$157)</f>
        <v/>
      </c>
      <c r="AV392" s="8">
        <f>AV391*Assumptions!$B$156*(1+Assumptions!$B$157)</f>
        <v/>
      </c>
      <c r="AW392" s="8">
        <f>AW391*Assumptions!$B$156*(1+Assumptions!$B$157)</f>
        <v/>
      </c>
      <c r="AX392" s="8">
        <f>AX391*Assumptions!$B$156*(1+Assumptions!$B$157)</f>
        <v/>
      </c>
      <c r="AY392" s="8">
        <f>AY391*Assumptions!$B$156*(1+Assumptions!$B$157)</f>
        <v/>
      </c>
      <c r="AZ392" s="8">
        <f>AZ391*Assumptions!$B$156*(1+Assumptions!$B$157)</f>
        <v/>
      </c>
      <c r="BA392" s="8">
        <f>BA391*Assumptions!$B$156*(1+Assumptions!$B$157)</f>
        <v/>
      </c>
      <c r="BB392" s="8">
        <f>BB391*Assumptions!$B$156*(1+Assumptions!$B$157)</f>
        <v/>
      </c>
      <c r="BC392" s="8">
        <f>BC391*Assumptions!$B$156*(1+Assumptions!$B$157)</f>
        <v/>
      </c>
      <c r="BD392" s="8">
        <f>BD391*Assumptions!$B$156*(1+Assumptions!$B$157)</f>
        <v/>
      </c>
      <c r="BE392" s="8">
        <f>BE391*Assumptions!$B$156*(1+Assumptions!$B$157)</f>
        <v/>
      </c>
      <c r="BF392" s="8">
        <f>BF391*Assumptions!$B$156*(1+Assumptions!$B$157)</f>
        <v/>
      </c>
      <c r="BG392" s="8">
        <f>BG391*Assumptions!$B$156*(1+Assumptions!$B$157)</f>
        <v/>
      </c>
      <c r="BH392" s="8">
        <f>BH391*Assumptions!$B$156*(1+Assumptions!$B$157)</f>
        <v/>
      </c>
      <c r="BI392" s="8">
        <f>BI391*Assumptions!$B$156*(1+Assumptions!$B$157)</f>
        <v/>
      </c>
      <c r="BJ392" s="8">
        <f>BJ391*Assumptions!$B$156*(1+Assumptions!$B$157)</f>
        <v/>
      </c>
    </row>
    <row r="393">
      <c r="A393" s="4" t="inlineStr">
        <is>
          <t>Commerce-eligible workspaces (Growth, Scale, Enterprise)</t>
        </is>
      </c>
      <c r="B393" s="17" t="inlineStr">
        <is>
          <t>workspaces</t>
        </is>
      </c>
      <c r="C393" s="10">
        <f>C289+C292+C298</f>
        <v/>
      </c>
      <c r="D393" s="10">
        <f>D289+D292+D298</f>
        <v/>
      </c>
      <c r="E393" s="10">
        <f>E289+E292+E298</f>
        <v/>
      </c>
      <c r="F393" s="10">
        <f>F289+F292+F298</f>
        <v/>
      </c>
      <c r="G393" s="10">
        <f>G289+G292+G298</f>
        <v/>
      </c>
      <c r="H393" s="10">
        <f>H289+H292+H298</f>
        <v/>
      </c>
      <c r="I393" s="10">
        <f>I289+I292+I298</f>
        <v/>
      </c>
      <c r="J393" s="10">
        <f>J289+J292+J298</f>
        <v/>
      </c>
      <c r="K393" s="10">
        <f>K289+K292+K298</f>
        <v/>
      </c>
      <c r="L393" s="10">
        <f>L289+L292+L298</f>
        <v/>
      </c>
      <c r="M393" s="10">
        <f>M289+M292+M298</f>
        <v/>
      </c>
      <c r="N393" s="10">
        <f>N289+N292+N298</f>
        <v/>
      </c>
      <c r="O393" s="10">
        <f>O289+O292+O298</f>
        <v/>
      </c>
      <c r="P393" s="10">
        <f>P289+P292+P298</f>
        <v/>
      </c>
      <c r="Q393" s="10">
        <f>Q289+Q292+Q298</f>
        <v/>
      </c>
      <c r="R393" s="10">
        <f>R289+R292+R298</f>
        <v/>
      </c>
      <c r="S393" s="10">
        <f>S289+S292+S298</f>
        <v/>
      </c>
      <c r="T393" s="10">
        <f>T289+T292+T298</f>
        <v/>
      </c>
      <c r="U393" s="10">
        <f>U289+U292+U298</f>
        <v/>
      </c>
      <c r="V393" s="10">
        <f>V289+V292+V298</f>
        <v/>
      </c>
      <c r="W393" s="10">
        <f>W289+W292+W298</f>
        <v/>
      </c>
      <c r="X393" s="10">
        <f>X289+X292+X298</f>
        <v/>
      </c>
      <c r="Y393" s="10">
        <f>Y289+Y292+Y298</f>
        <v/>
      </c>
      <c r="Z393" s="10">
        <f>Z289+Z292+Z298</f>
        <v/>
      </c>
      <c r="AA393" s="10">
        <f>AA289+AA292+AA298</f>
        <v/>
      </c>
      <c r="AB393" s="10">
        <f>AB289+AB292+AB298</f>
        <v/>
      </c>
      <c r="AC393" s="10">
        <f>AC289+AC292+AC298</f>
        <v/>
      </c>
      <c r="AD393" s="10">
        <f>AD289+AD292+AD298</f>
        <v/>
      </c>
      <c r="AE393" s="10">
        <f>AE289+AE292+AE298</f>
        <v/>
      </c>
      <c r="AF393" s="10">
        <f>AF289+AF292+AF298</f>
        <v/>
      </c>
      <c r="AG393" s="10">
        <f>AG289+AG292+AG298</f>
        <v/>
      </c>
      <c r="AH393" s="10">
        <f>AH289+AH292+AH298</f>
        <v/>
      </c>
      <c r="AI393" s="10">
        <f>AI289+AI292+AI298</f>
        <v/>
      </c>
      <c r="AJ393" s="10">
        <f>AJ289+AJ292+AJ298</f>
        <v/>
      </c>
      <c r="AK393" s="10">
        <f>AK289+AK292+AK298</f>
        <v/>
      </c>
      <c r="AL393" s="10">
        <f>AL289+AL292+AL298</f>
        <v/>
      </c>
      <c r="AM393" s="10">
        <f>AM289+AM292+AM298</f>
        <v/>
      </c>
      <c r="AN393" s="10">
        <f>AN289+AN292+AN298</f>
        <v/>
      </c>
      <c r="AO393" s="10">
        <f>AO289+AO292+AO298</f>
        <v/>
      </c>
      <c r="AP393" s="10">
        <f>AP289+AP292+AP298</f>
        <v/>
      </c>
      <c r="AQ393" s="10">
        <f>AQ289+AQ292+AQ298</f>
        <v/>
      </c>
      <c r="AR393" s="10">
        <f>AR289+AR292+AR298</f>
        <v/>
      </c>
      <c r="AS393" s="10">
        <f>AS289+AS292+AS298</f>
        <v/>
      </c>
      <c r="AT393" s="10">
        <f>AT289+AT292+AT298</f>
        <v/>
      </c>
      <c r="AU393" s="10">
        <f>AU289+AU292+AU298</f>
        <v/>
      </c>
      <c r="AV393" s="10">
        <f>AV289+AV292+AV298</f>
        <v/>
      </c>
      <c r="AW393" s="10">
        <f>AW289+AW292+AW298</f>
        <v/>
      </c>
      <c r="AX393" s="10">
        <f>AX289+AX292+AX298</f>
        <v/>
      </c>
      <c r="AY393" s="10">
        <f>AY289+AY292+AY298</f>
        <v/>
      </c>
      <c r="AZ393" s="10">
        <f>AZ289+AZ292+AZ298</f>
        <v/>
      </c>
      <c r="BA393" s="10">
        <f>BA289+BA292+BA298</f>
        <v/>
      </c>
      <c r="BB393" s="10">
        <f>BB289+BB292+BB298</f>
        <v/>
      </c>
      <c r="BC393" s="10">
        <f>BC289+BC292+BC298</f>
        <v/>
      </c>
      <c r="BD393" s="10">
        <f>BD289+BD292+BD298</f>
        <v/>
      </c>
      <c r="BE393" s="10">
        <f>BE289+BE292+BE298</f>
        <v/>
      </c>
      <c r="BF393" s="10">
        <f>BF289+BF292+BF298</f>
        <v/>
      </c>
      <c r="BG393" s="10">
        <f>BG289+BG292+BG298</f>
        <v/>
      </c>
      <c r="BH393" s="10">
        <f>BH289+BH292+BH298</f>
        <v/>
      </c>
      <c r="BI393" s="10">
        <f>BI289+BI292+BI298</f>
        <v/>
      </c>
      <c r="BJ393" s="10">
        <f>BJ289+BJ292+BJ298</f>
        <v/>
      </c>
    </row>
    <row r="394">
      <c r="A394" s="4" t="inlineStr">
        <is>
          <t>WhatsApp checkout GMV</t>
        </is>
      </c>
      <c r="B394" s="17" t="inlineStr">
        <is>
          <t>R</t>
        </is>
      </c>
      <c r="C394" s="8">
        <f>C393*Assumptions!$B$158*Assumptions!$B$159*(1+Assumptions!$B$160)^(C$5-1)</f>
        <v/>
      </c>
      <c r="D394" s="8">
        <f>D393*Assumptions!$B$158*Assumptions!$B$159*(1+Assumptions!$B$160)^(D$5-1)</f>
        <v/>
      </c>
      <c r="E394" s="8">
        <f>E393*Assumptions!$B$158*Assumptions!$B$159*(1+Assumptions!$B$160)^(E$5-1)</f>
        <v/>
      </c>
      <c r="F394" s="8">
        <f>F393*Assumptions!$B$158*Assumptions!$B$159*(1+Assumptions!$B$160)^(F$5-1)</f>
        <v/>
      </c>
      <c r="G394" s="8">
        <f>G393*Assumptions!$B$158*Assumptions!$B$159*(1+Assumptions!$B$160)^(G$5-1)</f>
        <v/>
      </c>
      <c r="H394" s="8">
        <f>H393*Assumptions!$B$158*Assumptions!$B$159*(1+Assumptions!$B$160)^(H$5-1)</f>
        <v/>
      </c>
      <c r="I394" s="8">
        <f>I393*Assumptions!$B$158*Assumptions!$B$159*(1+Assumptions!$B$160)^(I$5-1)</f>
        <v/>
      </c>
      <c r="J394" s="8">
        <f>J393*Assumptions!$B$158*Assumptions!$B$159*(1+Assumptions!$B$160)^(J$5-1)</f>
        <v/>
      </c>
      <c r="K394" s="8">
        <f>K393*Assumptions!$B$158*Assumptions!$B$159*(1+Assumptions!$B$160)^(K$5-1)</f>
        <v/>
      </c>
      <c r="L394" s="8">
        <f>L393*Assumptions!$B$158*Assumptions!$B$159*(1+Assumptions!$B$160)^(L$5-1)</f>
        <v/>
      </c>
      <c r="M394" s="8">
        <f>M393*Assumptions!$B$158*Assumptions!$B$159*(1+Assumptions!$B$160)^(M$5-1)</f>
        <v/>
      </c>
      <c r="N394" s="8">
        <f>N393*Assumptions!$B$158*Assumptions!$B$159*(1+Assumptions!$B$160)^(N$5-1)</f>
        <v/>
      </c>
      <c r="O394" s="8">
        <f>O393*Assumptions!$B$158*Assumptions!$B$159*(1+Assumptions!$B$160)^(O$5-1)</f>
        <v/>
      </c>
      <c r="P394" s="8">
        <f>P393*Assumptions!$B$158*Assumptions!$B$159*(1+Assumptions!$B$160)^(P$5-1)</f>
        <v/>
      </c>
      <c r="Q394" s="8">
        <f>Q393*Assumptions!$B$158*Assumptions!$B$159*(1+Assumptions!$B$160)^(Q$5-1)</f>
        <v/>
      </c>
      <c r="R394" s="8">
        <f>R393*Assumptions!$B$158*Assumptions!$B$159*(1+Assumptions!$B$160)^(R$5-1)</f>
        <v/>
      </c>
      <c r="S394" s="8">
        <f>S393*Assumptions!$B$158*Assumptions!$B$159*(1+Assumptions!$B$160)^(S$5-1)</f>
        <v/>
      </c>
      <c r="T394" s="8">
        <f>T393*Assumptions!$B$158*Assumptions!$B$159*(1+Assumptions!$B$160)^(T$5-1)</f>
        <v/>
      </c>
      <c r="U394" s="8">
        <f>U393*Assumptions!$B$158*Assumptions!$B$159*(1+Assumptions!$B$160)^(U$5-1)</f>
        <v/>
      </c>
      <c r="V394" s="8">
        <f>V393*Assumptions!$B$158*Assumptions!$B$159*(1+Assumptions!$B$160)^(V$5-1)</f>
        <v/>
      </c>
      <c r="W394" s="8">
        <f>W393*Assumptions!$B$158*Assumptions!$B$159*(1+Assumptions!$B$160)^(W$5-1)</f>
        <v/>
      </c>
      <c r="X394" s="8">
        <f>X393*Assumptions!$B$158*Assumptions!$B$159*(1+Assumptions!$B$160)^(X$5-1)</f>
        <v/>
      </c>
      <c r="Y394" s="8">
        <f>Y393*Assumptions!$B$158*Assumptions!$B$159*(1+Assumptions!$B$160)^(Y$5-1)</f>
        <v/>
      </c>
      <c r="Z394" s="8">
        <f>Z393*Assumptions!$B$158*Assumptions!$B$159*(1+Assumptions!$B$160)^(Z$5-1)</f>
        <v/>
      </c>
      <c r="AA394" s="8">
        <f>AA393*Assumptions!$B$158*Assumptions!$B$159*(1+Assumptions!$B$160)^(AA$5-1)</f>
        <v/>
      </c>
      <c r="AB394" s="8">
        <f>AB393*Assumptions!$B$158*Assumptions!$B$159*(1+Assumptions!$B$160)^(AB$5-1)</f>
        <v/>
      </c>
      <c r="AC394" s="8">
        <f>AC393*Assumptions!$B$158*Assumptions!$B$159*(1+Assumptions!$B$160)^(AC$5-1)</f>
        <v/>
      </c>
      <c r="AD394" s="8">
        <f>AD393*Assumptions!$B$158*Assumptions!$B$159*(1+Assumptions!$B$160)^(AD$5-1)</f>
        <v/>
      </c>
      <c r="AE394" s="8">
        <f>AE393*Assumptions!$B$158*Assumptions!$B$159*(1+Assumptions!$B$160)^(AE$5-1)</f>
        <v/>
      </c>
      <c r="AF394" s="8">
        <f>AF393*Assumptions!$B$158*Assumptions!$B$159*(1+Assumptions!$B$160)^(AF$5-1)</f>
        <v/>
      </c>
      <c r="AG394" s="8">
        <f>AG393*Assumptions!$B$158*Assumptions!$B$159*(1+Assumptions!$B$160)^(AG$5-1)</f>
        <v/>
      </c>
      <c r="AH394" s="8">
        <f>AH393*Assumptions!$B$158*Assumptions!$B$159*(1+Assumptions!$B$160)^(AH$5-1)</f>
        <v/>
      </c>
      <c r="AI394" s="8">
        <f>AI393*Assumptions!$B$158*Assumptions!$B$159*(1+Assumptions!$B$160)^(AI$5-1)</f>
        <v/>
      </c>
      <c r="AJ394" s="8">
        <f>AJ393*Assumptions!$B$158*Assumptions!$B$159*(1+Assumptions!$B$160)^(AJ$5-1)</f>
        <v/>
      </c>
      <c r="AK394" s="8">
        <f>AK393*Assumptions!$B$158*Assumptions!$B$159*(1+Assumptions!$B$160)^(AK$5-1)</f>
        <v/>
      </c>
      <c r="AL394" s="8">
        <f>AL393*Assumptions!$B$158*Assumptions!$B$159*(1+Assumptions!$B$160)^(AL$5-1)</f>
        <v/>
      </c>
      <c r="AM394" s="8">
        <f>AM393*Assumptions!$B$158*Assumptions!$B$159*(1+Assumptions!$B$160)^(AM$5-1)</f>
        <v/>
      </c>
      <c r="AN394" s="8">
        <f>AN393*Assumptions!$B$158*Assumptions!$B$159*(1+Assumptions!$B$160)^(AN$5-1)</f>
        <v/>
      </c>
      <c r="AO394" s="8">
        <f>AO393*Assumptions!$B$158*Assumptions!$B$159*(1+Assumptions!$B$160)^(AO$5-1)</f>
        <v/>
      </c>
      <c r="AP394" s="8">
        <f>AP393*Assumptions!$B$158*Assumptions!$B$159*(1+Assumptions!$B$160)^(AP$5-1)</f>
        <v/>
      </c>
      <c r="AQ394" s="8">
        <f>AQ393*Assumptions!$B$158*Assumptions!$B$159*(1+Assumptions!$B$160)^(AQ$5-1)</f>
        <v/>
      </c>
      <c r="AR394" s="8">
        <f>AR393*Assumptions!$B$158*Assumptions!$B$159*(1+Assumptions!$B$160)^(AR$5-1)</f>
        <v/>
      </c>
      <c r="AS394" s="8">
        <f>AS393*Assumptions!$B$158*Assumptions!$B$159*(1+Assumptions!$B$160)^(AS$5-1)</f>
        <v/>
      </c>
      <c r="AT394" s="8">
        <f>AT393*Assumptions!$B$158*Assumptions!$B$159*(1+Assumptions!$B$160)^(AT$5-1)</f>
        <v/>
      </c>
      <c r="AU394" s="8">
        <f>AU393*Assumptions!$B$158*Assumptions!$B$159*(1+Assumptions!$B$160)^(AU$5-1)</f>
        <v/>
      </c>
      <c r="AV394" s="8">
        <f>AV393*Assumptions!$B$158*Assumptions!$B$159*(1+Assumptions!$B$160)^(AV$5-1)</f>
        <v/>
      </c>
      <c r="AW394" s="8">
        <f>AW393*Assumptions!$B$158*Assumptions!$B$159*(1+Assumptions!$B$160)^(AW$5-1)</f>
        <v/>
      </c>
      <c r="AX394" s="8">
        <f>AX393*Assumptions!$B$158*Assumptions!$B$159*(1+Assumptions!$B$160)^(AX$5-1)</f>
        <v/>
      </c>
      <c r="AY394" s="8">
        <f>AY393*Assumptions!$B$158*Assumptions!$B$159*(1+Assumptions!$B$160)^(AY$5-1)</f>
        <v/>
      </c>
      <c r="AZ394" s="8">
        <f>AZ393*Assumptions!$B$158*Assumptions!$B$159*(1+Assumptions!$B$160)^(AZ$5-1)</f>
        <v/>
      </c>
      <c r="BA394" s="8">
        <f>BA393*Assumptions!$B$158*Assumptions!$B$159*(1+Assumptions!$B$160)^(BA$5-1)</f>
        <v/>
      </c>
      <c r="BB394" s="8">
        <f>BB393*Assumptions!$B$158*Assumptions!$B$159*(1+Assumptions!$B$160)^(BB$5-1)</f>
        <v/>
      </c>
      <c r="BC394" s="8">
        <f>BC393*Assumptions!$B$158*Assumptions!$B$159*(1+Assumptions!$B$160)^(BC$5-1)</f>
        <v/>
      </c>
      <c r="BD394" s="8">
        <f>BD393*Assumptions!$B$158*Assumptions!$B$159*(1+Assumptions!$B$160)^(BD$5-1)</f>
        <v/>
      </c>
      <c r="BE394" s="8">
        <f>BE393*Assumptions!$B$158*Assumptions!$B$159*(1+Assumptions!$B$160)^(BE$5-1)</f>
        <v/>
      </c>
      <c r="BF394" s="8">
        <f>BF393*Assumptions!$B$158*Assumptions!$B$159*(1+Assumptions!$B$160)^(BF$5-1)</f>
        <v/>
      </c>
      <c r="BG394" s="8">
        <f>BG393*Assumptions!$B$158*Assumptions!$B$159*(1+Assumptions!$B$160)^(BG$5-1)</f>
        <v/>
      </c>
      <c r="BH394" s="8">
        <f>BH393*Assumptions!$B$158*Assumptions!$B$159*(1+Assumptions!$B$160)^(BH$5-1)</f>
        <v/>
      </c>
      <c r="BI394" s="8">
        <f>BI393*Assumptions!$B$158*Assumptions!$B$159*(1+Assumptions!$B$160)^(BI$5-1)</f>
        <v/>
      </c>
      <c r="BJ394" s="8">
        <f>BJ393*Assumptions!$B$158*Assumptions!$B$159*(1+Assumptions!$B$160)^(BJ$5-1)</f>
        <v/>
      </c>
    </row>
    <row r="395">
      <c r="A395" s="4" t="inlineStr">
        <is>
          <t>Commerce platform fee (NOT IN CURRENT PRICING: 0% Base/Conservative, 0.75% Upside)</t>
        </is>
      </c>
      <c r="B395" s="17" t="inlineStr">
        <is>
          <t>R</t>
        </is>
      </c>
      <c r="C395" s="8">
        <f>C394*Assumptions!$B$56</f>
        <v/>
      </c>
      <c r="D395" s="8">
        <f>D394*Assumptions!$B$56</f>
        <v/>
      </c>
      <c r="E395" s="8">
        <f>E394*Assumptions!$B$56</f>
        <v/>
      </c>
      <c r="F395" s="8">
        <f>F394*Assumptions!$B$56</f>
        <v/>
      </c>
      <c r="G395" s="8">
        <f>G394*Assumptions!$B$56</f>
        <v/>
      </c>
      <c r="H395" s="8">
        <f>H394*Assumptions!$B$56</f>
        <v/>
      </c>
      <c r="I395" s="8">
        <f>I394*Assumptions!$B$56</f>
        <v/>
      </c>
      <c r="J395" s="8">
        <f>J394*Assumptions!$B$56</f>
        <v/>
      </c>
      <c r="K395" s="8">
        <f>K394*Assumptions!$B$56</f>
        <v/>
      </c>
      <c r="L395" s="8">
        <f>L394*Assumptions!$B$56</f>
        <v/>
      </c>
      <c r="M395" s="8">
        <f>M394*Assumptions!$B$56</f>
        <v/>
      </c>
      <c r="N395" s="8">
        <f>N394*Assumptions!$B$56</f>
        <v/>
      </c>
      <c r="O395" s="8">
        <f>O394*Assumptions!$B$56</f>
        <v/>
      </c>
      <c r="P395" s="8">
        <f>P394*Assumptions!$B$56</f>
        <v/>
      </c>
      <c r="Q395" s="8">
        <f>Q394*Assumptions!$B$56</f>
        <v/>
      </c>
      <c r="R395" s="8">
        <f>R394*Assumptions!$B$56</f>
        <v/>
      </c>
      <c r="S395" s="8">
        <f>S394*Assumptions!$B$56</f>
        <v/>
      </c>
      <c r="T395" s="8">
        <f>T394*Assumptions!$B$56</f>
        <v/>
      </c>
      <c r="U395" s="8">
        <f>U394*Assumptions!$B$56</f>
        <v/>
      </c>
      <c r="V395" s="8">
        <f>V394*Assumptions!$B$56</f>
        <v/>
      </c>
      <c r="W395" s="8">
        <f>W394*Assumptions!$B$56</f>
        <v/>
      </c>
      <c r="X395" s="8">
        <f>X394*Assumptions!$B$56</f>
        <v/>
      </c>
      <c r="Y395" s="8">
        <f>Y394*Assumptions!$B$56</f>
        <v/>
      </c>
      <c r="Z395" s="8">
        <f>Z394*Assumptions!$B$56</f>
        <v/>
      </c>
      <c r="AA395" s="8">
        <f>AA394*Assumptions!$B$56</f>
        <v/>
      </c>
      <c r="AB395" s="8">
        <f>AB394*Assumptions!$B$56</f>
        <v/>
      </c>
      <c r="AC395" s="8">
        <f>AC394*Assumptions!$B$56</f>
        <v/>
      </c>
      <c r="AD395" s="8">
        <f>AD394*Assumptions!$B$56</f>
        <v/>
      </c>
      <c r="AE395" s="8">
        <f>AE394*Assumptions!$B$56</f>
        <v/>
      </c>
      <c r="AF395" s="8">
        <f>AF394*Assumptions!$B$56</f>
        <v/>
      </c>
      <c r="AG395" s="8">
        <f>AG394*Assumptions!$B$56</f>
        <v/>
      </c>
      <c r="AH395" s="8">
        <f>AH394*Assumptions!$B$56</f>
        <v/>
      </c>
      <c r="AI395" s="8">
        <f>AI394*Assumptions!$B$56</f>
        <v/>
      </c>
      <c r="AJ395" s="8">
        <f>AJ394*Assumptions!$B$56</f>
        <v/>
      </c>
      <c r="AK395" s="8">
        <f>AK394*Assumptions!$B$56</f>
        <v/>
      </c>
      <c r="AL395" s="8">
        <f>AL394*Assumptions!$B$56</f>
        <v/>
      </c>
      <c r="AM395" s="8">
        <f>AM394*Assumptions!$B$56</f>
        <v/>
      </c>
      <c r="AN395" s="8">
        <f>AN394*Assumptions!$B$56</f>
        <v/>
      </c>
      <c r="AO395" s="8">
        <f>AO394*Assumptions!$B$56</f>
        <v/>
      </c>
      <c r="AP395" s="8">
        <f>AP394*Assumptions!$B$56</f>
        <v/>
      </c>
      <c r="AQ395" s="8">
        <f>AQ394*Assumptions!$B$56</f>
        <v/>
      </c>
      <c r="AR395" s="8">
        <f>AR394*Assumptions!$B$56</f>
        <v/>
      </c>
      <c r="AS395" s="8">
        <f>AS394*Assumptions!$B$56</f>
        <v/>
      </c>
      <c r="AT395" s="8">
        <f>AT394*Assumptions!$B$56</f>
        <v/>
      </c>
      <c r="AU395" s="8">
        <f>AU394*Assumptions!$B$56</f>
        <v/>
      </c>
      <c r="AV395" s="8">
        <f>AV394*Assumptions!$B$56</f>
        <v/>
      </c>
      <c r="AW395" s="8">
        <f>AW394*Assumptions!$B$56</f>
        <v/>
      </c>
      <c r="AX395" s="8">
        <f>AX394*Assumptions!$B$56</f>
        <v/>
      </c>
      <c r="AY395" s="8">
        <f>AY394*Assumptions!$B$56</f>
        <v/>
      </c>
      <c r="AZ395" s="8">
        <f>AZ394*Assumptions!$B$56</f>
        <v/>
      </c>
      <c r="BA395" s="8">
        <f>BA394*Assumptions!$B$56</f>
        <v/>
      </c>
      <c r="BB395" s="8">
        <f>BB394*Assumptions!$B$56</f>
        <v/>
      </c>
      <c r="BC395" s="8">
        <f>BC394*Assumptions!$B$56</f>
        <v/>
      </c>
      <c r="BD395" s="8">
        <f>BD394*Assumptions!$B$56</f>
        <v/>
      </c>
      <c r="BE395" s="8">
        <f>BE394*Assumptions!$B$56</f>
        <v/>
      </c>
      <c r="BF395" s="8">
        <f>BF394*Assumptions!$B$56</f>
        <v/>
      </c>
      <c r="BG395" s="8">
        <f>BG394*Assumptions!$B$56</f>
        <v/>
      </c>
      <c r="BH395" s="8">
        <f>BH394*Assumptions!$B$56</f>
        <v/>
      </c>
      <c r="BI395" s="8">
        <f>BI394*Assumptions!$B$56</f>
        <v/>
      </c>
      <c r="BJ395" s="8">
        <f>BJ394*Assumptions!$B$56</f>
        <v/>
      </c>
    </row>
    <row r="396">
      <c r="A396" s="4" t="inlineStr">
        <is>
          <t>Enterprise onboarding / setup fees</t>
        </is>
      </c>
      <c r="B396" s="17" t="inlineStr">
        <is>
          <t>R</t>
        </is>
      </c>
      <c r="C396" s="8">
        <f>C130*Assumptions!$B$161</f>
        <v/>
      </c>
      <c r="D396" s="8">
        <f>D130*Assumptions!$B$161</f>
        <v/>
      </c>
      <c r="E396" s="8">
        <f>E130*Assumptions!$B$161</f>
        <v/>
      </c>
      <c r="F396" s="8">
        <f>F130*Assumptions!$B$161</f>
        <v/>
      </c>
      <c r="G396" s="8">
        <f>G130*Assumptions!$B$161</f>
        <v/>
      </c>
      <c r="H396" s="8">
        <f>H130*Assumptions!$B$161</f>
        <v/>
      </c>
      <c r="I396" s="8">
        <f>I130*Assumptions!$B$161</f>
        <v/>
      </c>
      <c r="J396" s="8">
        <f>J130*Assumptions!$B$161</f>
        <v/>
      </c>
      <c r="K396" s="8">
        <f>K130*Assumptions!$B$161</f>
        <v/>
      </c>
      <c r="L396" s="8">
        <f>L130*Assumptions!$B$161</f>
        <v/>
      </c>
      <c r="M396" s="8">
        <f>M130*Assumptions!$B$161</f>
        <v/>
      </c>
      <c r="N396" s="8">
        <f>N130*Assumptions!$B$161</f>
        <v/>
      </c>
      <c r="O396" s="8">
        <f>O130*Assumptions!$B$161</f>
        <v/>
      </c>
      <c r="P396" s="8">
        <f>P130*Assumptions!$B$161</f>
        <v/>
      </c>
      <c r="Q396" s="8">
        <f>Q130*Assumptions!$B$161</f>
        <v/>
      </c>
      <c r="R396" s="8">
        <f>R130*Assumptions!$B$161</f>
        <v/>
      </c>
      <c r="S396" s="8">
        <f>S130*Assumptions!$B$161</f>
        <v/>
      </c>
      <c r="T396" s="8">
        <f>T130*Assumptions!$B$161</f>
        <v/>
      </c>
      <c r="U396" s="8">
        <f>U130*Assumptions!$B$161</f>
        <v/>
      </c>
      <c r="V396" s="8">
        <f>V130*Assumptions!$B$161</f>
        <v/>
      </c>
      <c r="W396" s="8">
        <f>W130*Assumptions!$B$161</f>
        <v/>
      </c>
      <c r="X396" s="8">
        <f>X130*Assumptions!$B$161</f>
        <v/>
      </c>
      <c r="Y396" s="8">
        <f>Y130*Assumptions!$B$161</f>
        <v/>
      </c>
      <c r="Z396" s="8">
        <f>Z130*Assumptions!$B$161</f>
        <v/>
      </c>
      <c r="AA396" s="8">
        <f>AA130*Assumptions!$B$161</f>
        <v/>
      </c>
      <c r="AB396" s="8">
        <f>AB130*Assumptions!$B$161</f>
        <v/>
      </c>
      <c r="AC396" s="8">
        <f>AC130*Assumptions!$B$161</f>
        <v/>
      </c>
      <c r="AD396" s="8">
        <f>AD130*Assumptions!$B$161</f>
        <v/>
      </c>
      <c r="AE396" s="8">
        <f>AE130*Assumptions!$B$161</f>
        <v/>
      </c>
      <c r="AF396" s="8">
        <f>AF130*Assumptions!$B$161</f>
        <v/>
      </c>
      <c r="AG396" s="8">
        <f>AG130*Assumptions!$B$161</f>
        <v/>
      </c>
      <c r="AH396" s="8">
        <f>AH130*Assumptions!$B$161</f>
        <v/>
      </c>
      <c r="AI396" s="8">
        <f>AI130*Assumptions!$B$161</f>
        <v/>
      </c>
      <c r="AJ396" s="8">
        <f>AJ130*Assumptions!$B$161</f>
        <v/>
      </c>
      <c r="AK396" s="8">
        <f>AK130*Assumptions!$B$161</f>
        <v/>
      </c>
      <c r="AL396" s="8">
        <f>AL130*Assumptions!$B$161</f>
        <v/>
      </c>
      <c r="AM396" s="8">
        <f>AM130*Assumptions!$B$161</f>
        <v/>
      </c>
      <c r="AN396" s="8">
        <f>AN130*Assumptions!$B$161</f>
        <v/>
      </c>
      <c r="AO396" s="8">
        <f>AO130*Assumptions!$B$161</f>
        <v/>
      </c>
      <c r="AP396" s="8">
        <f>AP130*Assumptions!$B$161</f>
        <v/>
      </c>
      <c r="AQ396" s="8">
        <f>AQ130*Assumptions!$B$161</f>
        <v/>
      </c>
      <c r="AR396" s="8">
        <f>AR130*Assumptions!$B$161</f>
        <v/>
      </c>
      <c r="AS396" s="8">
        <f>AS130*Assumptions!$B$161</f>
        <v/>
      </c>
      <c r="AT396" s="8">
        <f>AT130*Assumptions!$B$161</f>
        <v/>
      </c>
      <c r="AU396" s="8">
        <f>AU130*Assumptions!$B$161</f>
        <v/>
      </c>
      <c r="AV396" s="8">
        <f>AV130*Assumptions!$B$161</f>
        <v/>
      </c>
      <c r="AW396" s="8">
        <f>AW130*Assumptions!$B$161</f>
        <v/>
      </c>
      <c r="AX396" s="8">
        <f>AX130*Assumptions!$B$161</f>
        <v/>
      </c>
      <c r="AY396" s="8">
        <f>AY130*Assumptions!$B$161</f>
        <v/>
      </c>
      <c r="AZ396" s="8">
        <f>AZ130*Assumptions!$B$161</f>
        <v/>
      </c>
      <c r="BA396" s="8">
        <f>BA130*Assumptions!$B$161</f>
        <v/>
      </c>
      <c r="BB396" s="8">
        <f>BB130*Assumptions!$B$161</f>
        <v/>
      </c>
      <c r="BC396" s="8">
        <f>BC130*Assumptions!$B$161</f>
        <v/>
      </c>
      <c r="BD396" s="8">
        <f>BD130*Assumptions!$B$161</f>
        <v/>
      </c>
      <c r="BE396" s="8">
        <f>BE130*Assumptions!$B$161</f>
        <v/>
      </c>
      <c r="BF396" s="8">
        <f>BF130*Assumptions!$B$161</f>
        <v/>
      </c>
      <c r="BG396" s="8">
        <f>BG130*Assumptions!$B$161</f>
        <v/>
      </c>
      <c r="BH396" s="8">
        <f>BH130*Assumptions!$B$161</f>
        <v/>
      </c>
      <c r="BI396" s="8">
        <f>BI130*Assumptions!$B$161</f>
        <v/>
      </c>
      <c r="BJ396" s="8">
        <f>BJ130*Assumptions!$B$161</f>
        <v/>
      </c>
    </row>
    <row r="397">
      <c r="A397" s="4" t="inlineStr">
        <is>
          <t>Agency white-label setup fees</t>
        </is>
      </c>
      <c r="B397" s="17" t="inlineStr">
        <is>
          <t>R</t>
        </is>
      </c>
      <c r="C397" s="8">
        <f>(C126+C127+C128+C129)*Assumptions!$B$162</f>
        <v/>
      </c>
      <c r="D397" s="8">
        <f>(D126+D127+D128+D129)*Assumptions!$B$162</f>
        <v/>
      </c>
      <c r="E397" s="8">
        <f>(E126+E127+E128+E129)*Assumptions!$B$162</f>
        <v/>
      </c>
      <c r="F397" s="8">
        <f>(F126+F127+F128+F129)*Assumptions!$B$162</f>
        <v/>
      </c>
      <c r="G397" s="8">
        <f>(G126+G127+G128+G129)*Assumptions!$B$162</f>
        <v/>
      </c>
      <c r="H397" s="8">
        <f>(H126+H127+H128+H129)*Assumptions!$B$162</f>
        <v/>
      </c>
      <c r="I397" s="8">
        <f>(I126+I127+I128+I129)*Assumptions!$B$162</f>
        <v/>
      </c>
      <c r="J397" s="8">
        <f>(J126+J127+J128+J129)*Assumptions!$B$162</f>
        <v/>
      </c>
      <c r="K397" s="8">
        <f>(K126+K127+K128+K129)*Assumptions!$B$162</f>
        <v/>
      </c>
      <c r="L397" s="8">
        <f>(L126+L127+L128+L129)*Assumptions!$B$162</f>
        <v/>
      </c>
      <c r="M397" s="8">
        <f>(M126+M127+M128+M129)*Assumptions!$B$162</f>
        <v/>
      </c>
      <c r="N397" s="8">
        <f>(N126+N127+N128+N129)*Assumptions!$B$162</f>
        <v/>
      </c>
      <c r="O397" s="8">
        <f>(O126+O127+O128+O129)*Assumptions!$B$162</f>
        <v/>
      </c>
      <c r="P397" s="8">
        <f>(P126+P127+P128+P129)*Assumptions!$B$162</f>
        <v/>
      </c>
      <c r="Q397" s="8">
        <f>(Q126+Q127+Q128+Q129)*Assumptions!$B$162</f>
        <v/>
      </c>
      <c r="R397" s="8">
        <f>(R126+R127+R128+R129)*Assumptions!$B$162</f>
        <v/>
      </c>
      <c r="S397" s="8">
        <f>(S126+S127+S128+S129)*Assumptions!$B$162</f>
        <v/>
      </c>
      <c r="T397" s="8">
        <f>(T126+T127+T128+T129)*Assumptions!$B$162</f>
        <v/>
      </c>
      <c r="U397" s="8">
        <f>(U126+U127+U128+U129)*Assumptions!$B$162</f>
        <v/>
      </c>
      <c r="V397" s="8">
        <f>(V126+V127+V128+V129)*Assumptions!$B$162</f>
        <v/>
      </c>
      <c r="W397" s="8">
        <f>(W126+W127+W128+W129)*Assumptions!$B$162</f>
        <v/>
      </c>
      <c r="X397" s="8">
        <f>(X126+X127+X128+X129)*Assumptions!$B$162</f>
        <v/>
      </c>
      <c r="Y397" s="8">
        <f>(Y126+Y127+Y128+Y129)*Assumptions!$B$162</f>
        <v/>
      </c>
      <c r="Z397" s="8">
        <f>(Z126+Z127+Z128+Z129)*Assumptions!$B$162</f>
        <v/>
      </c>
      <c r="AA397" s="8">
        <f>(AA126+AA127+AA128+AA129)*Assumptions!$B$162</f>
        <v/>
      </c>
      <c r="AB397" s="8">
        <f>(AB126+AB127+AB128+AB129)*Assumptions!$B$162</f>
        <v/>
      </c>
      <c r="AC397" s="8">
        <f>(AC126+AC127+AC128+AC129)*Assumptions!$B$162</f>
        <v/>
      </c>
      <c r="AD397" s="8">
        <f>(AD126+AD127+AD128+AD129)*Assumptions!$B$162</f>
        <v/>
      </c>
      <c r="AE397" s="8">
        <f>(AE126+AE127+AE128+AE129)*Assumptions!$B$162</f>
        <v/>
      </c>
      <c r="AF397" s="8">
        <f>(AF126+AF127+AF128+AF129)*Assumptions!$B$162</f>
        <v/>
      </c>
      <c r="AG397" s="8">
        <f>(AG126+AG127+AG128+AG129)*Assumptions!$B$162</f>
        <v/>
      </c>
      <c r="AH397" s="8">
        <f>(AH126+AH127+AH128+AH129)*Assumptions!$B$162</f>
        <v/>
      </c>
      <c r="AI397" s="8">
        <f>(AI126+AI127+AI128+AI129)*Assumptions!$B$162</f>
        <v/>
      </c>
      <c r="AJ397" s="8">
        <f>(AJ126+AJ127+AJ128+AJ129)*Assumptions!$B$162</f>
        <v/>
      </c>
      <c r="AK397" s="8">
        <f>(AK126+AK127+AK128+AK129)*Assumptions!$B$162</f>
        <v/>
      </c>
      <c r="AL397" s="8">
        <f>(AL126+AL127+AL128+AL129)*Assumptions!$B$162</f>
        <v/>
      </c>
      <c r="AM397" s="8">
        <f>(AM126+AM127+AM128+AM129)*Assumptions!$B$162</f>
        <v/>
      </c>
      <c r="AN397" s="8">
        <f>(AN126+AN127+AN128+AN129)*Assumptions!$B$162</f>
        <v/>
      </c>
      <c r="AO397" s="8">
        <f>(AO126+AO127+AO128+AO129)*Assumptions!$B$162</f>
        <v/>
      </c>
      <c r="AP397" s="8">
        <f>(AP126+AP127+AP128+AP129)*Assumptions!$B$162</f>
        <v/>
      </c>
      <c r="AQ397" s="8">
        <f>(AQ126+AQ127+AQ128+AQ129)*Assumptions!$B$162</f>
        <v/>
      </c>
      <c r="AR397" s="8">
        <f>(AR126+AR127+AR128+AR129)*Assumptions!$B$162</f>
        <v/>
      </c>
      <c r="AS397" s="8">
        <f>(AS126+AS127+AS128+AS129)*Assumptions!$B$162</f>
        <v/>
      </c>
      <c r="AT397" s="8">
        <f>(AT126+AT127+AT128+AT129)*Assumptions!$B$162</f>
        <v/>
      </c>
      <c r="AU397" s="8">
        <f>(AU126+AU127+AU128+AU129)*Assumptions!$B$162</f>
        <v/>
      </c>
      <c r="AV397" s="8">
        <f>(AV126+AV127+AV128+AV129)*Assumptions!$B$162</f>
        <v/>
      </c>
      <c r="AW397" s="8">
        <f>(AW126+AW127+AW128+AW129)*Assumptions!$B$162</f>
        <v/>
      </c>
      <c r="AX397" s="8">
        <f>(AX126+AX127+AX128+AX129)*Assumptions!$B$162</f>
        <v/>
      </c>
      <c r="AY397" s="8">
        <f>(AY126+AY127+AY128+AY129)*Assumptions!$B$162</f>
        <v/>
      </c>
      <c r="AZ397" s="8">
        <f>(AZ126+AZ127+AZ128+AZ129)*Assumptions!$B$162</f>
        <v/>
      </c>
      <c r="BA397" s="8">
        <f>(BA126+BA127+BA128+BA129)*Assumptions!$B$162</f>
        <v/>
      </c>
      <c r="BB397" s="8">
        <f>(BB126+BB127+BB128+BB129)*Assumptions!$B$162</f>
        <v/>
      </c>
      <c r="BC397" s="8">
        <f>(BC126+BC127+BC128+BC129)*Assumptions!$B$162</f>
        <v/>
      </c>
      <c r="BD397" s="8">
        <f>(BD126+BD127+BD128+BD129)*Assumptions!$B$162</f>
        <v/>
      </c>
      <c r="BE397" s="8">
        <f>(BE126+BE127+BE128+BE129)*Assumptions!$B$162</f>
        <v/>
      </c>
      <c r="BF397" s="8">
        <f>(BF126+BF127+BF128+BF129)*Assumptions!$B$162</f>
        <v/>
      </c>
      <c r="BG397" s="8">
        <f>(BG126+BG127+BG128+BG129)*Assumptions!$B$162</f>
        <v/>
      </c>
      <c r="BH397" s="8">
        <f>(BH126+BH127+BH128+BH129)*Assumptions!$B$162</f>
        <v/>
      </c>
      <c r="BI397" s="8">
        <f>(BI126+BI127+BI128+BI129)*Assumptions!$B$162</f>
        <v/>
      </c>
      <c r="BJ397" s="8">
        <f>(BJ126+BJ127+BJ128+BJ129)*Assumptions!$B$162</f>
        <v/>
      </c>
    </row>
    <row r="398">
      <c r="A398" s="3" t="inlineStr">
        <is>
          <t>TOTAL REVENUE (net of launch discounts)</t>
        </is>
      </c>
      <c r="B398" s="17" t="inlineStr">
        <is>
          <t>R</t>
        </is>
      </c>
      <c r="C398" s="42">
        <f>C381+C390+C392+C395+C396+C397</f>
        <v/>
      </c>
      <c r="D398" s="42">
        <f>D381+D390+D392+D395+D396+D397</f>
        <v/>
      </c>
      <c r="E398" s="42">
        <f>E381+E390+E392+E395+E396+E397</f>
        <v/>
      </c>
      <c r="F398" s="42">
        <f>F381+F390+F392+F395+F396+F397</f>
        <v/>
      </c>
      <c r="G398" s="42">
        <f>G381+G390+G392+G395+G396+G397</f>
        <v/>
      </c>
      <c r="H398" s="42">
        <f>H381+H390+H392+H395+H396+H397</f>
        <v/>
      </c>
      <c r="I398" s="42">
        <f>I381+I390+I392+I395+I396+I397</f>
        <v/>
      </c>
      <c r="J398" s="42">
        <f>J381+J390+J392+J395+J396+J397</f>
        <v/>
      </c>
      <c r="K398" s="42">
        <f>K381+K390+K392+K395+K396+K397</f>
        <v/>
      </c>
      <c r="L398" s="42">
        <f>L381+L390+L392+L395+L396+L397</f>
        <v/>
      </c>
      <c r="M398" s="42">
        <f>M381+M390+M392+M395+M396+M397</f>
        <v/>
      </c>
      <c r="N398" s="42">
        <f>N381+N390+N392+N395+N396+N397</f>
        <v/>
      </c>
      <c r="O398" s="42">
        <f>O381+O390+O392+O395+O396+O397</f>
        <v/>
      </c>
      <c r="P398" s="42">
        <f>P381+P390+P392+P395+P396+P397</f>
        <v/>
      </c>
      <c r="Q398" s="42">
        <f>Q381+Q390+Q392+Q395+Q396+Q397</f>
        <v/>
      </c>
      <c r="R398" s="42">
        <f>R381+R390+R392+R395+R396+R397</f>
        <v/>
      </c>
      <c r="S398" s="42">
        <f>S381+S390+S392+S395+S396+S397</f>
        <v/>
      </c>
      <c r="T398" s="42">
        <f>T381+T390+T392+T395+T396+T397</f>
        <v/>
      </c>
      <c r="U398" s="42">
        <f>U381+U390+U392+U395+U396+U397</f>
        <v/>
      </c>
      <c r="V398" s="42">
        <f>V381+V390+V392+V395+V396+V397</f>
        <v/>
      </c>
      <c r="W398" s="42">
        <f>W381+W390+W392+W395+W396+W397</f>
        <v/>
      </c>
      <c r="X398" s="42">
        <f>X381+X390+X392+X395+X396+X397</f>
        <v/>
      </c>
      <c r="Y398" s="42">
        <f>Y381+Y390+Y392+Y395+Y396+Y397</f>
        <v/>
      </c>
      <c r="Z398" s="42">
        <f>Z381+Z390+Z392+Z395+Z396+Z397</f>
        <v/>
      </c>
      <c r="AA398" s="42">
        <f>AA381+AA390+AA392+AA395+AA396+AA397</f>
        <v/>
      </c>
      <c r="AB398" s="42">
        <f>AB381+AB390+AB392+AB395+AB396+AB397</f>
        <v/>
      </c>
      <c r="AC398" s="42">
        <f>AC381+AC390+AC392+AC395+AC396+AC397</f>
        <v/>
      </c>
      <c r="AD398" s="42">
        <f>AD381+AD390+AD392+AD395+AD396+AD397</f>
        <v/>
      </c>
      <c r="AE398" s="42">
        <f>AE381+AE390+AE392+AE395+AE396+AE397</f>
        <v/>
      </c>
      <c r="AF398" s="42">
        <f>AF381+AF390+AF392+AF395+AF396+AF397</f>
        <v/>
      </c>
      <c r="AG398" s="42">
        <f>AG381+AG390+AG392+AG395+AG396+AG397</f>
        <v/>
      </c>
      <c r="AH398" s="42">
        <f>AH381+AH390+AH392+AH395+AH396+AH397</f>
        <v/>
      </c>
      <c r="AI398" s="42">
        <f>AI381+AI390+AI392+AI395+AI396+AI397</f>
        <v/>
      </c>
      <c r="AJ398" s="42">
        <f>AJ381+AJ390+AJ392+AJ395+AJ396+AJ397</f>
        <v/>
      </c>
      <c r="AK398" s="42">
        <f>AK381+AK390+AK392+AK395+AK396+AK397</f>
        <v/>
      </c>
      <c r="AL398" s="42">
        <f>AL381+AL390+AL392+AL395+AL396+AL397</f>
        <v/>
      </c>
      <c r="AM398" s="42">
        <f>AM381+AM390+AM392+AM395+AM396+AM397</f>
        <v/>
      </c>
      <c r="AN398" s="42">
        <f>AN381+AN390+AN392+AN395+AN396+AN397</f>
        <v/>
      </c>
      <c r="AO398" s="42">
        <f>AO381+AO390+AO392+AO395+AO396+AO397</f>
        <v/>
      </c>
      <c r="AP398" s="42">
        <f>AP381+AP390+AP392+AP395+AP396+AP397</f>
        <v/>
      </c>
      <c r="AQ398" s="42">
        <f>AQ381+AQ390+AQ392+AQ395+AQ396+AQ397</f>
        <v/>
      </c>
      <c r="AR398" s="42">
        <f>AR381+AR390+AR392+AR395+AR396+AR397</f>
        <v/>
      </c>
      <c r="AS398" s="42">
        <f>AS381+AS390+AS392+AS395+AS396+AS397</f>
        <v/>
      </c>
      <c r="AT398" s="42">
        <f>AT381+AT390+AT392+AT395+AT396+AT397</f>
        <v/>
      </c>
      <c r="AU398" s="42">
        <f>AU381+AU390+AU392+AU395+AU396+AU397</f>
        <v/>
      </c>
      <c r="AV398" s="42">
        <f>AV381+AV390+AV392+AV395+AV396+AV397</f>
        <v/>
      </c>
      <c r="AW398" s="42">
        <f>AW381+AW390+AW392+AW395+AW396+AW397</f>
        <v/>
      </c>
      <c r="AX398" s="42">
        <f>AX381+AX390+AX392+AX395+AX396+AX397</f>
        <v/>
      </c>
      <c r="AY398" s="42">
        <f>AY381+AY390+AY392+AY395+AY396+AY397</f>
        <v/>
      </c>
      <c r="AZ398" s="42">
        <f>AZ381+AZ390+AZ392+AZ395+AZ396+AZ397</f>
        <v/>
      </c>
      <c r="BA398" s="42">
        <f>BA381+BA390+BA392+BA395+BA396+BA397</f>
        <v/>
      </c>
      <c r="BB398" s="42">
        <f>BB381+BB390+BB392+BB395+BB396+BB397</f>
        <v/>
      </c>
      <c r="BC398" s="42">
        <f>BC381+BC390+BC392+BC395+BC396+BC397</f>
        <v/>
      </c>
      <c r="BD398" s="42">
        <f>BD381+BD390+BD392+BD395+BD396+BD397</f>
        <v/>
      </c>
      <c r="BE398" s="42">
        <f>BE381+BE390+BE392+BE395+BE396+BE397</f>
        <v/>
      </c>
      <c r="BF398" s="42">
        <f>BF381+BF390+BF392+BF395+BF396+BF397</f>
        <v/>
      </c>
      <c r="BG398" s="42">
        <f>BG381+BG390+BG392+BG395+BG396+BG397</f>
        <v/>
      </c>
      <c r="BH398" s="42">
        <f>BH381+BH390+BH392+BH395+BH396+BH397</f>
        <v/>
      </c>
      <c r="BI398" s="42">
        <f>BI381+BI390+BI392+BI395+BI396+BI397</f>
        <v/>
      </c>
      <c r="BJ398" s="42">
        <f>BJ381+BJ390+BJ392+BJ395+BJ396+BJ397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7474F"/>
    <outlinePr summaryBelow="1" summaryRight="1"/>
    <pageSetUpPr/>
  </sheetPr>
  <dimension ref="A1:BJ18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16" t="inlineStr">
        <is>
          <t>Costs</t>
        </is>
      </c>
    </row>
    <row r="2">
      <c r="A2" s="17" t="inlineStr">
        <is>
          <t>Monthly MRR-gated headcount plan, COGS and operating expenses (lean pre-seed mode until the seed lands).</t>
        </is>
      </c>
    </row>
    <row r="3">
      <c r="A3" s="6" t="inlineStr">
        <is>
          <t>Month #</t>
        </is>
      </c>
      <c r="B3" s="6" t="inlineStr">
        <is>
          <t>Unit</t>
        </is>
      </c>
      <c r="C3" s="37" t="n">
        <v>1</v>
      </c>
      <c r="D3" s="37" t="n">
        <v>2</v>
      </c>
      <c r="E3" s="37" t="n">
        <v>3</v>
      </c>
      <c r="F3" s="37" t="n">
        <v>4</v>
      </c>
      <c r="G3" s="37" t="n">
        <v>5</v>
      </c>
      <c r="H3" s="37" t="n">
        <v>6</v>
      </c>
      <c r="I3" s="37" t="n">
        <v>7</v>
      </c>
      <c r="J3" s="37" t="n">
        <v>8</v>
      </c>
      <c r="K3" s="37" t="n">
        <v>9</v>
      </c>
      <c r="L3" s="37" t="n">
        <v>10</v>
      </c>
      <c r="M3" s="37" t="n">
        <v>11</v>
      </c>
      <c r="N3" s="37" t="n">
        <v>12</v>
      </c>
      <c r="O3" s="37" t="n">
        <v>13</v>
      </c>
      <c r="P3" s="37" t="n">
        <v>14</v>
      </c>
      <c r="Q3" s="37" t="n">
        <v>15</v>
      </c>
      <c r="R3" s="37" t="n">
        <v>16</v>
      </c>
      <c r="S3" s="37" t="n">
        <v>17</v>
      </c>
      <c r="T3" s="37" t="n">
        <v>18</v>
      </c>
      <c r="U3" s="37" t="n">
        <v>19</v>
      </c>
      <c r="V3" s="37" t="n">
        <v>20</v>
      </c>
      <c r="W3" s="37" t="n">
        <v>21</v>
      </c>
      <c r="X3" s="37" t="n">
        <v>22</v>
      </c>
      <c r="Y3" s="37" t="n">
        <v>23</v>
      </c>
      <c r="Z3" s="37" t="n">
        <v>24</v>
      </c>
      <c r="AA3" s="37" t="n">
        <v>25</v>
      </c>
      <c r="AB3" s="37" t="n">
        <v>26</v>
      </c>
      <c r="AC3" s="37" t="n">
        <v>27</v>
      </c>
      <c r="AD3" s="37" t="n">
        <v>28</v>
      </c>
      <c r="AE3" s="37" t="n">
        <v>29</v>
      </c>
      <c r="AF3" s="37" t="n">
        <v>30</v>
      </c>
      <c r="AG3" s="37" t="n">
        <v>31</v>
      </c>
      <c r="AH3" s="37" t="n">
        <v>32</v>
      </c>
      <c r="AI3" s="37" t="n">
        <v>33</v>
      </c>
      <c r="AJ3" s="37" t="n">
        <v>34</v>
      </c>
      <c r="AK3" s="37" t="n">
        <v>35</v>
      </c>
      <c r="AL3" s="37" t="n">
        <v>36</v>
      </c>
      <c r="AM3" s="37" t="n">
        <v>37</v>
      </c>
      <c r="AN3" s="37" t="n">
        <v>38</v>
      </c>
      <c r="AO3" s="37" t="n">
        <v>39</v>
      </c>
      <c r="AP3" s="37" t="n">
        <v>40</v>
      </c>
      <c r="AQ3" s="37" t="n">
        <v>41</v>
      </c>
      <c r="AR3" s="37" t="n">
        <v>42</v>
      </c>
      <c r="AS3" s="37" t="n">
        <v>43</v>
      </c>
      <c r="AT3" s="37" t="n">
        <v>44</v>
      </c>
      <c r="AU3" s="37" t="n">
        <v>45</v>
      </c>
      <c r="AV3" s="37" t="n">
        <v>46</v>
      </c>
      <c r="AW3" s="37" t="n">
        <v>47</v>
      </c>
      <c r="AX3" s="37" t="n">
        <v>48</v>
      </c>
      <c r="AY3" s="37" t="n">
        <v>49</v>
      </c>
      <c r="AZ3" s="37" t="n">
        <v>50</v>
      </c>
      <c r="BA3" s="37" t="n">
        <v>51</v>
      </c>
      <c r="BB3" s="37" t="n">
        <v>52</v>
      </c>
      <c r="BC3" s="37" t="n">
        <v>53</v>
      </c>
      <c r="BD3" s="37" t="n">
        <v>54</v>
      </c>
      <c r="BE3" s="37" t="n">
        <v>55</v>
      </c>
      <c r="BF3" s="37" t="n">
        <v>56</v>
      </c>
      <c r="BG3" s="37" t="n">
        <v>57</v>
      </c>
      <c r="BH3" s="37" t="n">
        <v>58</v>
      </c>
      <c r="BI3" s="37" t="n">
        <v>59</v>
      </c>
      <c r="BJ3" s="37" t="n">
        <v>60</v>
      </c>
    </row>
    <row r="4">
      <c r="A4" s="6" t="inlineStr">
        <is>
          <t>Month</t>
        </is>
      </c>
      <c r="B4" s="6" t="inlineStr"/>
      <c r="C4" s="38" t="inlineStr">
        <is>
          <t>Oct 2026</t>
        </is>
      </c>
      <c r="D4" s="38" t="inlineStr">
        <is>
          <t>Nov 2026</t>
        </is>
      </c>
      <c r="E4" s="38" t="inlineStr">
        <is>
          <t>Dec 2026</t>
        </is>
      </c>
      <c r="F4" s="38" t="inlineStr">
        <is>
          <t>Jan 2027</t>
        </is>
      </c>
      <c r="G4" s="38" t="inlineStr">
        <is>
          <t>Feb 2027</t>
        </is>
      </c>
      <c r="H4" s="38" t="inlineStr">
        <is>
          <t>Mar 2027</t>
        </is>
      </c>
      <c r="I4" s="38" t="inlineStr">
        <is>
          <t>Apr 2027</t>
        </is>
      </c>
      <c r="J4" s="38" t="inlineStr">
        <is>
          <t>May 2027</t>
        </is>
      </c>
      <c r="K4" s="38" t="inlineStr">
        <is>
          <t>Jun 2027</t>
        </is>
      </c>
      <c r="L4" s="38" t="inlineStr">
        <is>
          <t>Jul 2027</t>
        </is>
      </c>
      <c r="M4" s="38" t="inlineStr">
        <is>
          <t>Aug 2027</t>
        </is>
      </c>
      <c r="N4" s="38" t="inlineStr">
        <is>
          <t>Sep 2027</t>
        </is>
      </c>
      <c r="O4" s="38" t="inlineStr">
        <is>
          <t>Oct 2027</t>
        </is>
      </c>
      <c r="P4" s="38" t="inlineStr">
        <is>
          <t>Nov 2027</t>
        </is>
      </c>
      <c r="Q4" s="38" t="inlineStr">
        <is>
          <t>Dec 2027</t>
        </is>
      </c>
      <c r="R4" s="38" t="inlineStr">
        <is>
          <t>Jan 2028</t>
        </is>
      </c>
      <c r="S4" s="38" t="inlineStr">
        <is>
          <t>Feb 2028</t>
        </is>
      </c>
      <c r="T4" s="38" t="inlineStr">
        <is>
          <t>Mar 2028</t>
        </is>
      </c>
      <c r="U4" s="38" t="inlineStr">
        <is>
          <t>Apr 2028</t>
        </is>
      </c>
      <c r="V4" s="38" t="inlineStr">
        <is>
          <t>May 2028</t>
        </is>
      </c>
      <c r="W4" s="38" t="inlineStr">
        <is>
          <t>Jun 2028</t>
        </is>
      </c>
      <c r="X4" s="38" t="inlineStr">
        <is>
          <t>Jul 2028</t>
        </is>
      </c>
      <c r="Y4" s="38" t="inlineStr">
        <is>
          <t>Aug 2028</t>
        </is>
      </c>
      <c r="Z4" s="38" t="inlineStr">
        <is>
          <t>Sep 2028</t>
        </is>
      </c>
      <c r="AA4" s="38" t="inlineStr">
        <is>
          <t>Oct 2028</t>
        </is>
      </c>
      <c r="AB4" s="38" t="inlineStr">
        <is>
          <t>Nov 2028</t>
        </is>
      </c>
      <c r="AC4" s="38" t="inlineStr">
        <is>
          <t>Dec 2028</t>
        </is>
      </c>
      <c r="AD4" s="38" t="inlineStr">
        <is>
          <t>Jan 2029</t>
        </is>
      </c>
      <c r="AE4" s="38" t="inlineStr">
        <is>
          <t>Feb 2029</t>
        </is>
      </c>
      <c r="AF4" s="38" t="inlineStr">
        <is>
          <t>Mar 2029</t>
        </is>
      </c>
      <c r="AG4" s="38" t="inlineStr">
        <is>
          <t>Apr 2029</t>
        </is>
      </c>
      <c r="AH4" s="38" t="inlineStr">
        <is>
          <t>May 2029</t>
        </is>
      </c>
      <c r="AI4" s="38" t="inlineStr">
        <is>
          <t>Jun 2029</t>
        </is>
      </c>
      <c r="AJ4" s="38" t="inlineStr">
        <is>
          <t>Jul 2029</t>
        </is>
      </c>
      <c r="AK4" s="38" t="inlineStr">
        <is>
          <t>Aug 2029</t>
        </is>
      </c>
      <c r="AL4" s="38" t="inlineStr">
        <is>
          <t>Sep 2029</t>
        </is>
      </c>
      <c r="AM4" s="38" t="inlineStr">
        <is>
          <t>Oct 2029</t>
        </is>
      </c>
      <c r="AN4" s="38" t="inlineStr">
        <is>
          <t>Nov 2029</t>
        </is>
      </c>
      <c r="AO4" s="38" t="inlineStr">
        <is>
          <t>Dec 2029</t>
        </is>
      </c>
      <c r="AP4" s="38" t="inlineStr">
        <is>
          <t>Jan 2030</t>
        </is>
      </c>
      <c r="AQ4" s="38" t="inlineStr">
        <is>
          <t>Feb 2030</t>
        </is>
      </c>
      <c r="AR4" s="38" t="inlineStr">
        <is>
          <t>Mar 2030</t>
        </is>
      </c>
      <c r="AS4" s="38" t="inlineStr">
        <is>
          <t>Apr 2030</t>
        </is>
      </c>
      <c r="AT4" s="38" t="inlineStr">
        <is>
          <t>May 2030</t>
        </is>
      </c>
      <c r="AU4" s="38" t="inlineStr">
        <is>
          <t>Jun 2030</t>
        </is>
      </c>
      <c r="AV4" s="38" t="inlineStr">
        <is>
          <t>Jul 2030</t>
        </is>
      </c>
      <c r="AW4" s="38" t="inlineStr">
        <is>
          <t>Aug 2030</t>
        </is>
      </c>
      <c r="AX4" s="38" t="inlineStr">
        <is>
          <t>Sep 2030</t>
        </is>
      </c>
      <c r="AY4" s="38" t="inlineStr">
        <is>
          <t>Oct 2030</t>
        </is>
      </c>
      <c r="AZ4" s="38" t="inlineStr">
        <is>
          <t>Nov 2030</t>
        </is>
      </c>
      <c r="BA4" s="38" t="inlineStr">
        <is>
          <t>Dec 2030</t>
        </is>
      </c>
      <c r="BB4" s="38" t="inlineStr">
        <is>
          <t>Jan 2031</t>
        </is>
      </c>
      <c r="BC4" s="38" t="inlineStr">
        <is>
          <t>Feb 2031</t>
        </is>
      </c>
      <c r="BD4" s="38" t="inlineStr">
        <is>
          <t>Mar 2031</t>
        </is>
      </c>
      <c r="BE4" s="38" t="inlineStr">
        <is>
          <t>Apr 2031</t>
        </is>
      </c>
      <c r="BF4" s="38" t="inlineStr">
        <is>
          <t>May 2031</t>
        </is>
      </c>
      <c r="BG4" s="38" t="inlineStr">
        <is>
          <t>Jun 2031</t>
        </is>
      </c>
      <c r="BH4" s="38" t="inlineStr">
        <is>
          <t>Jul 2031</t>
        </is>
      </c>
      <c r="BI4" s="38" t="inlineStr">
        <is>
          <t>Aug 2031</t>
        </is>
      </c>
      <c r="BJ4" s="38" t="inlineStr">
        <is>
          <t>Sep 2031</t>
        </is>
      </c>
    </row>
    <row r="5">
      <c r="A5" s="3" t="inlineStr">
        <is>
          <t>Fiscal year (Oct-Sep)</t>
        </is>
      </c>
      <c r="C5" s="39" t="n">
        <v>1</v>
      </c>
      <c r="D5" s="39" t="n">
        <v>1</v>
      </c>
      <c r="E5" s="39" t="n">
        <v>1</v>
      </c>
      <c r="F5" s="39" t="n">
        <v>1</v>
      </c>
      <c r="G5" s="39" t="n">
        <v>1</v>
      </c>
      <c r="H5" s="39" t="n">
        <v>1</v>
      </c>
      <c r="I5" s="39" t="n">
        <v>1</v>
      </c>
      <c r="J5" s="39" t="n">
        <v>1</v>
      </c>
      <c r="K5" s="39" t="n">
        <v>1</v>
      </c>
      <c r="L5" s="39" t="n">
        <v>1</v>
      </c>
      <c r="M5" s="39" t="n">
        <v>1</v>
      </c>
      <c r="N5" s="39" t="n">
        <v>1</v>
      </c>
      <c r="O5" s="39" t="n">
        <v>2</v>
      </c>
      <c r="P5" s="39" t="n">
        <v>2</v>
      </c>
      <c r="Q5" s="39" t="n">
        <v>2</v>
      </c>
      <c r="R5" s="39" t="n">
        <v>2</v>
      </c>
      <c r="S5" s="39" t="n">
        <v>2</v>
      </c>
      <c r="T5" s="39" t="n">
        <v>2</v>
      </c>
      <c r="U5" s="39" t="n">
        <v>2</v>
      </c>
      <c r="V5" s="39" t="n">
        <v>2</v>
      </c>
      <c r="W5" s="39" t="n">
        <v>2</v>
      </c>
      <c r="X5" s="39" t="n">
        <v>2</v>
      </c>
      <c r="Y5" s="39" t="n">
        <v>2</v>
      </c>
      <c r="Z5" s="39" t="n">
        <v>2</v>
      </c>
      <c r="AA5" s="39" t="n">
        <v>3</v>
      </c>
      <c r="AB5" s="39" t="n">
        <v>3</v>
      </c>
      <c r="AC5" s="39" t="n">
        <v>3</v>
      </c>
      <c r="AD5" s="39" t="n">
        <v>3</v>
      </c>
      <c r="AE5" s="39" t="n">
        <v>3</v>
      </c>
      <c r="AF5" s="39" t="n">
        <v>3</v>
      </c>
      <c r="AG5" s="39" t="n">
        <v>3</v>
      </c>
      <c r="AH5" s="39" t="n">
        <v>3</v>
      </c>
      <c r="AI5" s="39" t="n">
        <v>3</v>
      </c>
      <c r="AJ5" s="39" t="n">
        <v>3</v>
      </c>
      <c r="AK5" s="39" t="n">
        <v>3</v>
      </c>
      <c r="AL5" s="39" t="n">
        <v>3</v>
      </c>
      <c r="AM5" s="39" t="n">
        <v>4</v>
      </c>
      <c r="AN5" s="39" t="n">
        <v>4</v>
      </c>
      <c r="AO5" s="39" t="n">
        <v>4</v>
      </c>
      <c r="AP5" s="39" t="n">
        <v>4</v>
      </c>
      <c r="AQ5" s="39" t="n">
        <v>4</v>
      </c>
      <c r="AR5" s="39" t="n">
        <v>4</v>
      </c>
      <c r="AS5" s="39" t="n">
        <v>4</v>
      </c>
      <c r="AT5" s="39" t="n">
        <v>4</v>
      </c>
      <c r="AU5" s="39" t="n">
        <v>4</v>
      </c>
      <c r="AV5" s="39" t="n">
        <v>4</v>
      </c>
      <c r="AW5" s="39" t="n">
        <v>4</v>
      </c>
      <c r="AX5" s="39" t="n">
        <v>4</v>
      </c>
      <c r="AY5" s="39" t="n">
        <v>5</v>
      </c>
      <c r="AZ5" s="39" t="n">
        <v>5</v>
      </c>
      <c r="BA5" s="39" t="n">
        <v>5</v>
      </c>
      <c r="BB5" s="39" t="n">
        <v>5</v>
      </c>
      <c r="BC5" s="39" t="n">
        <v>5</v>
      </c>
      <c r="BD5" s="39" t="n">
        <v>5</v>
      </c>
      <c r="BE5" s="39" t="n">
        <v>5</v>
      </c>
      <c r="BF5" s="39" t="n">
        <v>5</v>
      </c>
      <c r="BG5" s="39" t="n">
        <v>5</v>
      </c>
      <c r="BH5" s="39" t="n">
        <v>5</v>
      </c>
      <c r="BI5" s="39" t="n">
        <v>5</v>
      </c>
      <c r="BJ5" s="39" t="n">
        <v>5</v>
      </c>
    </row>
    <row r="6"/>
    <row r="7">
      <c r="A7" s="19" t="inlineStr">
        <is>
          <t>Headcount: FTEs by role. Non-founder roles need month &gt;= earliest hire, the seed, and last month's MRR &gt;= gate x multiplier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</row>
    <row r="8">
      <c r="A8" s="4" t="inlineStr">
        <is>
          <t>Founder &amp; CEO (reduced salary)</t>
        </is>
      </c>
      <c r="B8" s="17" t="inlineStr">
        <is>
          <t>FTE</t>
        </is>
      </c>
      <c r="C8" s="41">
        <f>IF(C$3&gt;=Assumptions!$E$206,Assumptions!$D$206,0)</f>
        <v/>
      </c>
      <c r="D8" s="41">
        <f>IF(D$3&gt;=Assumptions!$E$206,Assumptions!$D$206,0)</f>
        <v/>
      </c>
      <c r="E8" s="41">
        <f>IF(E$3&gt;=Assumptions!$E$206,Assumptions!$D$206,0)</f>
        <v/>
      </c>
      <c r="F8" s="41">
        <f>IF(F$3&gt;=Assumptions!$E$206,Assumptions!$D$206,0)</f>
        <v/>
      </c>
      <c r="G8" s="41">
        <f>IF(G$3&gt;=Assumptions!$E$206,Assumptions!$D$206,0)</f>
        <v/>
      </c>
      <c r="H8" s="41">
        <f>IF(H$3&gt;=Assumptions!$E$206,Assumptions!$D$206,0)</f>
        <v/>
      </c>
      <c r="I8" s="41">
        <f>IF(I$3&gt;=Assumptions!$E$206,Assumptions!$D$206,0)</f>
        <v/>
      </c>
      <c r="J8" s="41">
        <f>IF(J$3&gt;=Assumptions!$E$206,Assumptions!$D$206,0)</f>
        <v/>
      </c>
      <c r="K8" s="41">
        <f>IF(K$3&gt;=Assumptions!$E$206,Assumptions!$D$206,0)</f>
        <v/>
      </c>
      <c r="L8" s="41">
        <f>IF(L$3&gt;=Assumptions!$E$206,Assumptions!$D$206,0)</f>
        <v/>
      </c>
      <c r="M8" s="41">
        <f>IF(M$3&gt;=Assumptions!$E$206,Assumptions!$D$206,0)</f>
        <v/>
      </c>
      <c r="N8" s="41">
        <f>IF(N$3&gt;=Assumptions!$E$206,Assumptions!$D$206,0)</f>
        <v/>
      </c>
      <c r="O8" s="41">
        <f>IF(O$3&gt;=Assumptions!$E$206,Assumptions!$D$206,0)</f>
        <v/>
      </c>
      <c r="P8" s="41">
        <f>IF(P$3&gt;=Assumptions!$E$206,Assumptions!$D$206,0)</f>
        <v/>
      </c>
      <c r="Q8" s="41">
        <f>IF(Q$3&gt;=Assumptions!$E$206,Assumptions!$D$206,0)</f>
        <v/>
      </c>
      <c r="R8" s="41">
        <f>IF(R$3&gt;=Assumptions!$E$206,Assumptions!$D$206,0)</f>
        <v/>
      </c>
      <c r="S8" s="41">
        <f>IF(S$3&gt;=Assumptions!$E$206,Assumptions!$D$206,0)</f>
        <v/>
      </c>
      <c r="T8" s="41">
        <f>IF(T$3&gt;=Assumptions!$E$206,Assumptions!$D$206,0)</f>
        <v/>
      </c>
      <c r="U8" s="41">
        <f>IF(U$3&gt;=Assumptions!$E$206,Assumptions!$D$206,0)</f>
        <v/>
      </c>
      <c r="V8" s="41">
        <f>IF(V$3&gt;=Assumptions!$E$206,Assumptions!$D$206,0)</f>
        <v/>
      </c>
      <c r="W8" s="41">
        <f>IF(W$3&gt;=Assumptions!$E$206,Assumptions!$D$206,0)</f>
        <v/>
      </c>
      <c r="X8" s="41">
        <f>IF(X$3&gt;=Assumptions!$E$206,Assumptions!$D$206,0)</f>
        <v/>
      </c>
      <c r="Y8" s="41">
        <f>IF(Y$3&gt;=Assumptions!$E$206,Assumptions!$D$206,0)</f>
        <v/>
      </c>
      <c r="Z8" s="41">
        <f>IF(Z$3&gt;=Assumptions!$E$206,Assumptions!$D$206,0)</f>
        <v/>
      </c>
      <c r="AA8" s="41">
        <f>IF(AA$3&gt;=Assumptions!$E$206,Assumptions!$D$206,0)</f>
        <v/>
      </c>
      <c r="AB8" s="41">
        <f>IF(AB$3&gt;=Assumptions!$E$206,Assumptions!$D$206,0)</f>
        <v/>
      </c>
      <c r="AC8" s="41">
        <f>IF(AC$3&gt;=Assumptions!$E$206,Assumptions!$D$206,0)</f>
        <v/>
      </c>
      <c r="AD8" s="41">
        <f>IF(AD$3&gt;=Assumptions!$E$206,Assumptions!$D$206,0)</f>
        <v/>
      </c>
      <c r="AE8" s="41">
        <f>IF(AE$3&gt;=Assumptions!$E$206,Assumptions!$D$206,0)</f>
        <v/>
      </c>
      <c r="AF8" s="41">
        <f>IF(AF$3&gt;=Assumptions!$E$206,Assumptions!$D$206,0)</f>
        <v/>
      </c>
      <c r="AG8" s="41">
        <f>IF(AG$3&gt;=Assumptions!$E$206,Assumptions!$D$206,0)</f>
        <v/>
      </c>
      <c r="AH8" s="41">
        <f>IF(AH$3&gt;=Assumptions!$E$206,Assumptions!$D$206,0)</f>
        <v/>
      </c>
      <c r="AI8" s="41">
        <f>IF(AI$3&gt;=Assumptions!$E$206,Assumptions!$D$206,0)</f>
        <v/>
      </c>
      <c r="AJ8" s="41">
        <f>IF(AJ$3&gt;=Assumptions!$E$206,Assumptions!$D$206,0)</f>
        <v/>
      </c>
      <c r="AK8" s="41">
        <f>IF(AK$3&gt;=Assumptions!$E$206,Assumptions!$D$206,0)</f>
        <v/>
      </c>
      <c r="AL8" s="41">
        <f>IF(AL$3&gt;=Assumptions!$E$206,Assumptions!$D$206,0)</f>
        <v/>
      </c>
      <c r="AM8" s="41">
        <f>IF(AM$3&gt;=Assumptions!$E$206,Assumptions!$D$206,0)</f>
        <v/>
      </c>
      <c r="AN8" s="41">
        <f>IF(AN$3&gt;=Assumptions!$E$206,Assumptions!$D$206,0)</f>
        <v/>
      </c>
      <c r="AO8" s="41">
        <f>IF(AO$3&gt;=Assumptions!$E$206,Assumptions!$D$206,0)</f>
        <v/>
      </c>
      <c r="AP8" s="41">
        <f>IF(AP$3&gt;=Assumptions!$E$206,Assumptions!$D$206,0)</f>
        <v/>
      </c>
      <c r="AQ8" s="41">
        <f>IF(AQ$3&gt;=Assumptions!$E$206,Assumptions!$D$206,0)</f>
        <v/>
      </c>
      <c r="AR8" s="41">
        <f>IF(AR$3&gt;=Assumptions!$E$206,Assumptions!$D$206,0)</f>
        <v/>
      </c>
      <c r="AS8" s="41">
        <f>IF(AS$3&gt;=Assumptions!$E$206,Assumptions!$D$206,0)</f>
        <v/>
      </c>
      <c r="AT8" s="41">
        <f>IF(AT$3&gt;=Assumptions!$E$206,Assumptions!$D$206,0)</f>
        <v/>
      </c>
      <c r="AU8" s="41">
        <f>IF(AU$3&gt;=Assumptions!$E$206,Assumptions!$D$206,0)</f>
        <v/>
      </c>
      <c r="AV8" s="41">
        <f>IF(AV$3&gt;=Assumptions!$E$206,Assumptions!$D$206,0)</f>
        <v/>
      </c>
      <c r="AW8" s="41">
        <f>IF(AW$3&gt;=Assumptions!$E$206,Assumptions!$D$206,0)</f>
        <v/>
      </c>
      <c r="AX8" s="41">
        <f>IF(AX$3&gt;=Assumptions!$E$206,Assumptions!$D$206,0)</f>
        <v/>
      </c>
      <c r="AY8" s="41">
        <f>IF(AY$3&gt;=Assumptions!$E$206,Assumptions!$D$206,0)</f>
        <v/>
      </c>
      <c r="AZ8" s="41">
        <f>IF(AZ$3&gt;=Assumptions!$E$206,Assumptions!$D$206,0)</f>
        <v/>
      </c>
      <c r="BA8" s="41">
        <f>IF(BA$3&gt;=Assumptions!$E$206,Assumptions!$D$206,0)</f>
        <v/>
      </c>
      <c r="BB8" s="41">
        <f>IF(BB$3&gt;=Assumptions!$E$206,Assumptions!$D$206,0)</f>
        <v/>
      </c>
      <c r="BC8" s="41">
        <f>IF(BC$3&gt;=Assumptions!$E$206,Assumptions!$D$206,0)</f>
        <v/>
      </c>
      <c r="BD8" s="41">
        <f>IF(BD$3&gt;=Assumptions!$E$206,Assumptions!$D$206,0)</f>
        <v/>
      </c>
      <c r="BE8" s="41">
        <f>IF(BE$3&gt;=Assumptions!$E$206,Assumptions!$D$206,0)</f>
        <v/>
      </c>
      <c r="BF8" s="41">
        <f>IF(BF$3&gt;=Assumptions!$E$206,Assumptions!$D$206,0)</f>
        <v/>
      </c>
      <c r="BG8" s="41">
        <f>IF(BG$3&gt;=Assumptions!$E$206,Assumptions!$D$206,0)</f>
        <v/>
      </c>
      <c r="BH8" s="41">
        <f>IF(BH$3&gt;=Assumptions!$E$206,Assumptions!$D$206,0)</f>
        <v/>
      </c>
      <c r="BI8" s="41">
        <f>IF(BI$3&gt;=Assumptions!$E$206,Assumptions!$D$206,0)</f>
        <v/>
      </c>
      <c r="BJ8" s="41">
        <f>IF(BJ$3&gt;=Assumptions!$E$206,Assumptions!$D$206,0)</f>
        <v/>
      </c>
    </row>
    <row r="9">
      <c r="A9" s="4" t="inlineStr">
        <is>
          <t>CTO / founding engineer (reduced salary)</t>
        </is>
      </c>
      <c r="B9" s="17" t="inlineStr">
        <is>
          <t>FTE</t>
        </is>
      </c>
      <c r="C9" s="41">
        <f>IF(C$3&gt;=Assumptions!$E$207,Assumptions!$D$207,0)</f>
        <v/>
      </c>
      <c r="D9" s="41">
        <f>IF(D$3&gt;=Assumptions!$E$207,Assumptions!$D$207,0)</f>
        <v/>
      </c>
      <c r="E9" s="41">
        <f>IF(E$3&gt;=Assumptions!$E$207,Assumptions!$D$207,0)</f>
        <v/>
      </c>
      <c r="F9" s="41">
        <f>IF(F$3&gt;=Assumptions!$E$207,Assumptions!$D$207,0)</f>
        <v/>
      </c>
      <c r="G9" s="41">
        <f>IF(G$3&gt;=Assumptions!$E$207,Assumptions!$D$207,0)</f>
        <v/>
      </c>
      <c r="H9" s="41">
        <f>IF(H$3&gt;=Assumptions!$E$207,Assumptions!$D$207,0)</f>
        <v/>
      </c>
      <c r="I9" s="41">
        <f>IF(I$3&gt;=Assumptions!$E$207,Assumptions!$D$207,0)</f>
        <v/>
      </c>
      <c r="J9" s="41">
        <f>IF(J$3&gt;=Assumptions!$E$207,Assumptions!$D$207,0)</f>
        <v/>
      </c>
      <c r="K9" s="41">
        <f>IF(K$3&gt;=Assumptions!$E$207,Assumptions!$D$207,0)</f>
        <v/>
      </c>
      <c r="L9" s="41">
        <f>IF(L$3&gt;=Assumptions!$E$207,Assumptions!$D$207,0)</f>
        <v/>
      </c>
      <c r="M9" s="41">
        <f>IF(M$3&gt;=Assumptions!$E$207,Assumptions!$D$207,0)</f>
        <v/>
      </c>
      <c r="N9" s="41">
        <f>IF(N$3&gt;=Assumptions!$E$207,Assumptions!$D$207,0)</f>
        <v/>
      </c>
      <c r="O9" s="41">
        <f>IF(O$3&gt;=Assumptions!$E$207,Assumptions!$D$207,0)</f>
        <v/>
      </c>
      <c r="P9" s="41">
        <f>IF(P$3&gt;=Assumptions!$E$207,Assumptions!$D$207,0)</f>
        <v/>
      </c>
      <c r="Q9" s="41">
        <f>IF(Q$3&gt;=Assumptions!$E$207,Assumptions!$D$207,0)</f>
        <v/>
      </c>
      <c r="R9" s="41">
        <f>IF(R$3&gt;=Assumptions!$E$207,Assumptions!$D$207,0)</f>
        <v/>
      </c>
      <c r="S9" s="41">
        <f>IF(S$3&gt;=Assumptions!$E$207,Assumptions!$D$207,0)</f>
        <v/>
      </c>
      <c r="T9" s="41">
        <f>IF(T$3&gt;=Assumptions!$E$207,Assumptions!$D$207,0)</f>
        <v/>
      </c>
      <c r="U9" s="41">
        <f>IF(U$3&gt;=Assumptions!$E$207,Assumptions!$D$207,0)</f>
        <v/>
      </c>
      <c r="V9" s="41">
        <f>IF(V$3&gt;=Assumptions!$E$207,Assumptions!$D$207,0)</f>
        <v/>
      </c>
      <c r="W9" s="41">
        <f>IF(W$3&gt;=Assumptions!$E$207,Assumptions!$D$207,0)</f>
        <v/>
      </c>
      <c r="X9" s="41">
        <f>IF(X$3&gt;=Assumptions!$E$207,Assumptions!$D$207,0)</f>
        <v/>
      </c>
      <c r="Y9" s="41">
        <f>IF(Y$3&gt;=Assumptions!$E$207,Assumptions!$D$207,0)</f>
        <v/>
      </c>
      <c r="Z9" s="41">
        <f>IF(Z$3&gt;=Assumptions!$E$207,Assumptions!$D$207,0)</f>
        <v/>
      </c>
      <c r="AA9" s="41">
        <f>IF(AA$3&gt;=Assumptions!$E$207,Assumptions!$D$207,0)</f>
        <v/>
      </c>
      <c r="AB9" s="41">
        <f>IF(AB$3&gt;=Assumptions!$E$207,Assumptions!$D$207,0)</f>
        <v/>
      </c>
      <c r="AC9" s="41">
        <f>IF(AC$3&gt;=Assumptions!$E$207,Assumptions!$D$207,0)</f>
        <v/>
      </c>
      <c r="AD9" s="41">
        <f>IF(AD$3&gt;=Assumptions!$E$207,Assumptions!$D$207,0)</f>
        <v/>
      </c>
      <c r="AE9" s="41">
        <f>IF(AE$3&gt;=Assumptions!$E$207,Assumptions!$D$207,0)</f>
        <v/>
      </c>
      <c r="AF9" s="41">
        <f>IF(AF$3&gt;=Assumptions!$E$207,Assumptions!$D$207,0)</f>
        <v/>
      </c>
      <c r="AG9" s="41">
        <f>IF(AG$3&gt;=Assumptions!$E$207,Assumptions!$D$207,0)</f>
        <v/>
      </c>
      <c r="AH9" s="41">
        <f>IF(AH$3&gt;=Assumptions!$E$207,Assumptions!$D$207,0)</f>
        <v/>
      </c>
      <c r="AI9" s="41">
        <f>IF(AI$3&gt;=Assumptions!$E$207,Assumptions!$D$207,0)</f>
        <v/>
      </c>
      <c r="AJ9" s="41">
        <f>IF(AJ$3&gt;=Assumptions!$E$207,Assumptions!$D$207,0)</f>
        <v/>
      </c>
      <c r="AK9" s="41">
        <f>IF(AK$3&gt;=Assumptions!$E$207,Assumptions!$D$207,0)</f>
        <v/>
      </c>
      <c r="AL9" s="41">
        <f>IF(AL$3&gt;=Assumptions!$E$207,Assumptions!$D$207,0)</f>
        <v/>
      </c>
      <c r="AM9" s="41">
        <f>IF(AM$3&gt;=Assumptions!$E$207,Assumptions!$D$207,0)</f>
        <v/>
      </c>
      <c r="AN9" s="41">
        <f>IF(AN$3&gt;=Assumptions!$E$207,Assumptions!$D$207,0)</f>
        <v/>
      </c>
      <c r="AO9" s="41">
        <f>IF(AO$3&gt;=Assumptions!$E$207,Assumptions!$D$207,0)</f>
        <v/>
      </c>
      <c r="AP9" s="41">
        <f>IF(AP$3&gt;=Assumptions!$E$207,Assumptions!$D$207,0)</f>
        <v/>
      </c>
      <c r="AQ9" s="41">
        <f>IF(AQ$3&gt;=Assumptions!$E$207,Assumptions!$D$207,0)</f>
        <v/>
      </c>
      <c r="AR9" s="41">
        <f>IF(AR$3&gt;=Assumptions!$E$207,Assumptions!$D$207,0)</f>
        <v/>
      </c>
      <c r="AS9" s="41">
        <f>IF(AS$3&gt;=Assumptions!$E$207,Assumptions!$D$207,0)</f>
        <v/>
      </c>
      <c r="AT9" s="41">
        <f>IF(AT$3&gt;=Assumptions!$E$207,Assumptions!$D$207,0)</f>
        <v/>
      </c>
      <c r="AU9" s="41">
        <f>IF(AU$3&gt;=Assumptions!$E$207,Assumptions!$D$207,0)</f>
        <v/>
      </c>
      <c r="AV9" s="41">
        <f>IF(AV$3&gt;=Assumptions!$E$207,Assumptions!$D$207,0)</f>
        <v/>
      </c>
      <c r="AW9" s="41">
        <f>IF(AW$3&gt;=Assumptions!$E$207,Assumptions!$D$207,0)</f>
        <v/>
      </c>
      <c r="AX9" s="41">
        <f>IF(AX$3&gt;=Assumptions!$E$207,Assumptions!$D$207,0)</f>
        <v/>
      </c>
      <c r="AY9" s="41">
        <f>IF(AY$3&gt;=Assumptions!$E$207,Assumptions!$D$207,0)</f>
        <v/>
      </c>
      <c r="AZ9" s="41">
        <f>IF(AZ$3&gt;=Assumptions!$E$207,Assumptions!$D$207,0)</f>
        <v/>
      </c>
      <c r="BA9" s="41">
        <f>IF(BA$3&gt;=Assumptions!$E$207,Assumptions!$D$207,0)</f>
        <v/>
      </c>
      <c r="BB9" s="41">
        <f>IF(BB$3&gt;=Assumptions!$E$207,Assumptions!$D$207,0)</f>
        <v/>
      </c>
      <c r="BC9" s="41">
        <f>IF(BC$3&gt;=Assumptions!$E$207,Assumptions!$D$207,0)</f>
        <v/>
      </c>
      <c r="BD9" s="41">
        <f>IF(BD$3&gt;=Assumptions!$E$207,Assumptions!$D$207,0)</f>
        <v/>
      </c>
      <c r="BE9" s="41">
        <f>IF(BE$3&gt;=Assumptions!$E$207,Assumptions!$D$207,0)</f>
        <v/>
      </c>
      <c r="BF9" s="41">
        <f>IF(BF$3&gt;=Assumptions!$E$207,Assumptions!$D$207,0)</f>
        <v/>
      </c>
      <c r="BG9" s="41">
        <f>IF(BG$3&gt;=Assumptions!$E$207,Assumptions!$D$207,0)</f>
        <v/>
      </c>
      <c r="BH9" s="41">
        <f>IF(BH$3&gt;=Assumptions!$E$207,Assumptions!$D$207,0)</f>
        <v/>
      </c>
      <c r="BI9" s="41">
        <f>IF(BI$3&gt;=Assumptions!$E$207,Assumptions!$D$207,0)</f>
        <v/>
      </c>
      <c r="BJ9" s="41">
        <f>IF(BJ$3&gt;=Assumptions!$E$207,Assumptions!$D$207,0)</f>
        <v/>
      </c>
    </row>
    <row r="10">
      <c r="A10" s="4" t="inlineStr">
        <is>
          <t>Senior full-stack engineers</t>
        </is>
      </c>
      <c r="B10" s="17" t="inlineStr">
        <is>
          <t>FTE</t>
        </is>
      </c>
      <c r="C10" s="41">
        <f>IF(AND(C$3&gt;=Assumptions!$E$208,C$3&gt;=Assumptions!$B$14,Revenue_Build!C10&gt;=Assumptions!$F$208*Assumptions!$B$55),Assumptions!$D$208,0)</f>
        <v/>
      </c>
      <c r="D10" s="41">
        <f>IF(OR(C10&gt;0,AND(D$3&gt;=Assumptions!$E$208,D$3&gt;=Assumptions!$B$14,Revenue_Build!D10&gt;=Assumptions!$F$208*Assumptions!$B$55)),Assumptions!$D$208,0)</f>
        <v/>
      </c>
      <c r="E10" s="41">
        <f>IF(OR(D10&gt;0,AND(E$3&gt;=Assumptions!$E$208,E$3&gt;=Assumptions!$B$14,Revenue_Build!E10&gt;=Assumptions!$F$208*Assumptions!$B$55)),Assumptions!$D$208,0)</f>
        <v/>
      </c>
      <c r="F10" s="41">
        <f>IF(OR(E10&gt;0,AND(F$3&gt;=Assumptions!$E$208,F$3&gt;=Assumptions!$B$14,Revenue_Build!F10&gt;=Assumptions!$F$208*Assumptions!$B$55)),Assumptions!$D$208,0)</f>
        <v/>
      </c>
      <c r="G10" s="41">
        <f>IF(OR(F10&gt;0,AND(G$3&gt;=Assumptions!$E$208,G$3&gt;=Assumptions!$B$14,Revenue_Build!G10&gt;=Assumptions!$F$208*Assumptions!$B$55)),Assumptions!$D$208,0)</f>
        <v/>
      </c>
      <c r="H10" s="41">
        <f>IF(OR(G10&gt;0,AND(H$3&gt;=Assumptions!$E$208,H$3&gt;=Assumptions!$B$14,Revenue_Build!H10&gt;=Assumptions!$F$208*Assumptions!$B$55)),Assumptions!$D$208,0)</f>
        <v/>
      </c>
      <c r="I10" s="41">
        <f>IF(OR(H10&gt;0,AND(I$3&gt;=Assumptions!$E$208,I$3&gt;=Assumptions!$B$14,Revenue_Build!I10&gt;=Assumptions!$F$208*Assumptions!$B$55)),Assumptions!$D$208,0)</f>
        <v/>
      </c>
      <c r="J10" s="41">
        <f>IF(OR(I10&gt;0,AND(J$3&gt;=Assumptions!$E$208,J$3&gt;=Assumptions!$B$14,Revenue_Build!J10&gt;=Assumptions!$F$208*Assumptions!$B$55)),Assumptions!$D$208,0)</f>
        <v/>
      </c>
      <c r="K10" s="41">
        <f>IF(OR(J10&gt;0,AND(K$3&gt;=Assumptions!$E$208,K$3&gt;=Assumptions!$B$14,Revenue_Build!K10&gt;=Assumptions!$F$208*Assumptions!$B$55)),Assumptions!$D$208,0)</f>
        <v/>
      </c>
      <c r="L10" s="41">
        <f>IF(OR(K10&gt;0,AND(L$3&gt;=Assumptions!$E$208,L$3&gt;=Assumptions!$B$14,Revenue_Build!L10&gt;=Assumptions!$F$208*Assumptions!$B$55)),Assumptions!$D$208,0)</f>
        <v/>
      </c>
      <c r="M10" s="41">
        <f>IF(OR(L10&gt;0,AND(M$3&gt;=Assumptions!$E$208,M$3&gt;=Assumptions!$B$14,Revenue_Build!M10&gt;=Assumptions!$F$208*Assumptions!$B$55)),Assumptions!$D$208,0)</f>
        <v/>
      </c>
      <c r="N10" s="41">
        <f>IF(OR(M10&gt;0,AND(N$3&gt;=Assumptions!$E$208,N$3&gt;=Assumptions!$B$14,Revenue_Build!N10&gt;=Assumptions!$F$208*Assumptions!$B$55)),Assumptions!$D$208,0)</f>
        <v/>
      </c>
      <c r="O10" s="41">
        <f>IF(OR(N10&gt;0,AND(O$3&gt;=Assumptions!$E$208,O$3&gt;=Assumptions!$B$14,Revenue_Build!O10&gt;=Assumptions!$F$208*Assumptions!$B$55)),Assumptions!$D$208,0)</f>
        <v/>
      </c>
      <c r="P10" s="41">
        <f>IF(OR(O10&gt;0,AND(P$3&gt;=Assumptions!$E$208,P$3&gt;=Assumptions!$B$14,Revenue_Build!P10&gt;=Assumptions!$F$208*Assumptions!$B$55)),Assumptions!$D$208,0)</f>
        <v/>
      </c>
      <c r="Q10" s="41">
        <f>IF(OR(P10&gt;0,AND(Q$3&gt;=Assumptions!$E$208,Q$3&gt;=Assumptions!$B$14,Revenue_Build!Q10&gt;=Assumptions!$F$208*Assumptions!$B$55)),Assumptions!$D$208,0)</f>
        <v/>
      </c>
      <c r="R10" s="41">
        <f>IF(OR(Q10&gt;0,AND(R$3&gt;=Assumptions!$E$208,R$3&gt;=Assumptions!$B$14,Revenue_Build!R10&gt;=Assumptions!$F$208*Assumptions!$B$55)),Assumptions!$D$208,0)</f>
        <v/>
      </c>
      <c r="S10" s="41">
        <f>IF(OR(R10&gt;0,AND(S$3&gt;=Assumptions!$E$208,S$3&gt;=Assumptions!$B$14,Revenue_Build!S10&gt;=Assumptions!$F$208*Assumptions!$B$55)),Assumptions!$D$208,0)</f>
        <v/>
      </c>
      <c r="T10" s="41">
        <f>IF(OR(S10&gt;0,AND(T$3&gt;=Assumptions!$E$208,T$3&gt;=Assumptions!$B$14,Revenue_Build!T10&gt;=Assumptions!$F$208*Assumptions!$B$55)),Assumptions!$D$208,0)</f>
        <v/>
      </c>
      <c r="U10" s="41">
        <f>IF(OR(T10&gt;0,AND(U$3&gt;=Assumptions!$E$208,U$3&gt;=Assumptions!$B$14,Revenue_Build!U10&gt;=Assumptions!$F$208*Assumptions!$B$55)),Assumptions!$D$208,0)</f>
        <v/>
      </c>
      <c r="V10" s="41">
        <f>IF(OR(U10&gt;0,AND(V$3&gt;=Assumptions!$E$208,V$3&gt;=Assumptions!$B$14,Revenue_Build!V10&gt;=Assumptions!$F$208*Assumptions!$B$55)),Assumptions!$D$208,0)</f>
        <v/>
      </c>
      <c r="W10" s="41">
        <f>IF(OR(V10&gt;0,AND(W$3&gt;=Assumptions!$E$208,W$3&gt;=Assumptions!$B$14,Revenue_Build!W10&gt;=Assumptions!$F$208*Assumptions!$B$55)),Assumptions!$D$208,0)</f>
        <v/>
      </c>
      <c r="X10" s="41">
        <f>IF(OR(W10&gt;0,AND(X$3&gt;=Assumptions!$E$208,X$3&gt;=Assumptions!$B$14,Revenue_Build!X10&gt;=Assumptions!$F$208*Assumptions!$B$55)),Assumptions!$D$208,0)</f>
        <v/>
      </c>
      <c r="Y10" s="41">
        <f>IF(OR(X10&gt;0,AND(Y$3&gt;=Assumptions!$E$208,Y$3&gt;=Assumptions!$B$14,Revenue_Build!Y10&gt;=Assumptions!$F$208*Assumptions!$B$55)),Assumptions!$D$208,0)</f>
        <v/>
      </c>
      <c r="Z10" s="41">
        <f>IF(OR(Y10&gt;0,AND(Z$3&gt;=Assumptions!$E$208,Z$3&gt;=Assumptions!$B$14,Revenue_Build!Z10&gt;=Assumptions!$F$208*Assumptions!$B$55)),Assumptions!$D$208,0)</f>
        <v/>
      </c>
      <c r="AA10" s="41">
        <f>IF(OR(Z10&gt;0,AND(AA$3&gt;=Assumptions!$E$208,AA$3&gt;=Assumptions!$B$14,Revenue_Build!AA10&gt;=Assumptions!$F$208*Assumptions!$B$55)),Assumptions!$D$208,0)</f>
        <v/>
      </c>
      <c r="AB10" s="41">
        <f>IF(OR(AA10&gt;0,AND(AB$3&gt;=Assumptions!$E$208,AB$3&gt;=Assumptions!$B$14,Revenue_Build!AB10&gt;=Assumptions!$F$208*Assumptions!$B$55)),Assumptions!$D$208,0)</f>
        <v/>
      </c>
      <c r="AC10" s="41">
        <f>IF(OR(AB10&gt;0,AND(AC$3&gt;=Assumptions!$E$208,AC$3&gt;=Assumptions!$B$14,Revenue_Build!AC10&gt;=Assumptions!$F$208*Assumptions!$B$55)),Assumptions!$D$208,0)</f>
        <v/>
      </c>
      <c r="AD10" s="41">
        <f>IF(OR(AC10&gt;0,AND(AD$3&gt;=Assumptions!$E$208,AD$3&gt;=Assumptions!$B$14,Revenue_Build!AD10&gt;=Assumptions!$F$208*Assumptions!$B$55)),Assumptions!$D$208,0)</f>
        <v/>
      </c>
      <c r="AE10" s="41">
        <f>IF(OR(AD10&gt;0,AND(AE$3&gt;=Assumptions!$E$208,AE$3&gt;=Assumptions!$B$14,Revenue_Build!AE10&gt;=Assumptions!$F$208*Assumptions!$B$55)),Assumptions!$D$208,0)</f>
        <v/>
      </c>
      <c r="AF10" s="41">
        <f>IF(OR(AE10&gt;0,AND(AF$3&gt;=Assumptions!$E$208,AF$3&gt;=Assumptions!$B$14,Revenue_Build!AF10&gt;=Assumptions!$F$208*Assumptions!$B$55)),Assumptions!$D$208,0)</f>
        <v/>
      </c>
      <c r="AG10" s="41">
        <f>IF(OR(AF10&gt;0,AND(AG$3&gt;=Assumptions!$E$208,AG$3&gt;=Assumptions!$B$14,Revenue_Build!AG10&gt;=Assumptions!$F$208*Assumptions!$B$55)),Assumptions!$D$208,0)</f>
        <v/>
      </c>
      <c r="AH10" s="41">
        <f>IF(OR(AG10&gt;0,AND(AH$3&gt;=Assumptions!$E$208,AH$3&gt;=Assumptions!$B$14,Revenue_Build!AH10&gt;=Assumptions!$F$208*Assumptions!$B$55)),Assumptions!$D$208,0)</f>
        <v/>
      </c>
      <c r="AI10" s="41">
        <f>IF(OR(AH10&gt;0,AND(AI$3&gt;=Assumptions!$E$208,AI$3&gt;=Assumptions!$B$14,Revenue_Build!AI10&gt;=Assumptions!$F$208*Assumptions!$B$55)),Assumptions!$D$208,0)</f>
        <v/>
      </c>
      <c r="AJ10" s="41">
        <f>IF(OR(AI10&gt;0,AND(AJ$3&gt;=Assumptions!$E$208,AJ$3&gt;=Assumptions!$B$14,Revenue_Build!AJ10&gt;=Assumptions!$F$208*Assumptions!$B$55)),Assumptions!$D$208,0)</f>
        <v/>
      </c>
      <c r="AK10" s="41">
        <f>IF(OR(AJ10&gt;0,AND(AK$3&gt;=Assumptions!$E$208,AK$3&gt;=Assumptions!$B$14,Revenue_Build!AK10&gt;=Assumptions!$F$208*Assumptions!$B$55)),Assumptions!$D$208,0)</f>
        <v/>
      </c>
      <c r="AL10" s="41">
        <f>IF(OR(AK10&gt;0,AND(AL$3&gt;=Assumptions!$E$208,AL$3&gt;=Assumptions!$B$14,Revenue_Build!AL10&gt;=Assumptions!$F$208*Assumptions!$B$55)),Assumptions!$D$208,0)</f>
        <v/>
      </c>
      <c r="AM10" s="41">
        <f>IF(OR(AL10&gt;0,AND(AM$3&gt;=Assumptions!$E$208,AM$3&gt;=Assumptions!$B$14,Revenue_Build!AM10&gt;=Assumptions!$F$208*Assumptions!$B$55)),Assumptions!$D$208,0)</f>
        <v/>
      </c>
      <c r="AN10" s="41">
        <f>IF(OR(AM10&gt;0,AND(AN$3&gt;=Assumptions!$E$208,AN$3&gt;=Assumptions!$B$14,Revenue_Build!AN10&gt;=Assumptions!$F$208*Assumptions!$B$55)),Assumptions!$D$208,0)</f>
        <v/>
      </c>
      <c r="AO10" s="41">
        <f>IF(OR(AN10&gt;0,AND(AO$3&gt;=Assumptions!$E$208,AO$3&gt;=Assumptions!$B$14,Revenue_Build!AO10&gt;=Assumptions!$F$208*Assumptions!$B$55)),Assumptions!$D$208,0)</f>
        <v/>
      </c>
      <c r="AP10" s="41">
        <f>IF(OR(AO10&gt;0,AND(AP$3&gt;=Assumptions!$E$208,AP$3&gt;=Assumptions!$B$14,Revenue_Build!AP10&gt;=Assumptions!$F$208*Assumptions!$B$55)),Assumptions!$D$208,0)</f>
        <v/>
      </c>
      <c r="AQ10" s="41">
        <f>IF(OR(AP10&gt;0,AND(AQ$3&gt;=Assumptions!$E$208,AQ$3&gt;=Assumptions!$B$14,Revenue_Build!AQ10&gt;=Assumptions!$F$208*Assumptions!$B$55)),Assumptions!$D$208,0)</f>
        <v/>
      </c>
      <c r="AR10" s="41">
        <f>IF(OR(AQ10&gt;0,AND(AR$3&gt;=Assumptions!$E$208,AR$3&gt;=Assumptions!$B$14,Revenue_Build!AR10&gt;=Assumptions!$F$208*Assumptions!$B$55)),Assumptions!$D$208,0)</f>
        <v/>
      </c>
      <c r="AS10" s="41">
        <f>IF(OR(AR10&gt;0,AND(AS$3&gt;=Assumptions!$E$208,AS$3&gt;=Assumptions!$B$14,Revenue_Build!AS10&gt;=Assumptions!$F$208*Assumptions!$B$55)),Assumptions!$D$208,0)</f>
        <v/>
      </c>
      <c r="AT10" s="41">
        <f>IF(OR(AS10&gt;0,AND(AT$3&gt;=Assumptions!$E$208,AT$3&gt;=Assumptions!$B$14,Revenue_Build!AT10&gt;=Assumptions!$F$208*Assumptions!$B$55)),Assumptions!$D$208,0)</f>
        <v/>
      </c>
      <c r="AU10" s="41">
        <f>IF(OR(AT10&gt;0,AND(AU$3&gt;=Assumptions!$E$208,AU$3&gt;=Assumptions!$B$14,Revenue_Build!AU10&gt;=Assumptions!$F$208*Assumptions!$B$55)),Assumptions!$D$208,0)</f>
        <v/>
      </c>
      <c r="AV10" s="41">
        <f>IF(OR(AU10&gt;0,AND(AV$3&gt;=Assumptions!$E$208,AV$3&gt;=Assumptions!$B$14,Revenue_Build!AV10&gt;=Assumptions!$F$208*Assumptions!$B$55)),Assumptions!$D$208,0)</f>
        <v/>
      </c>
      <c r="AW10" s="41">
        <f>IF(OR(AV10&gt;0,AND(AW$3&gt;=Assumptions!$E$208,AW$3&gt;=Assumptions!$B$14,Revenue_Build!AW10&gt;=Assumptions!$F$208*Assumptions!$B$55)),Assumptions!$D$208,0)</f>
        <v/>
      </c>
      <c r="AX10" s="41">
        <f>IF(OR(AW10&gt;0,AND(AX$3&gt;=Assumptions!$E$208,AX$3&gt;=Assumptions!$B$14,Revenue_Build!AX10&gt;=Assumptions!$F$208*Assumptions!$B$55)),Assumptions!$D$208,0)</f>
        <v/>
      </c>
      <c r="AY10" s="41">
        <f>IF(OR(AX10&gt;0,AND(AY$3&gt;=Assumptions!$E$208,AY$3&gt;=Assumptions!$B$14,Revenue_Build!AY10&gt;=Assumptions!$F$208*Assumptions!$B$55)),Assumptions!$D$208,0)</f>
        <v/>
      </c>
      <c r="AZ10" s="41">
        <f>IF(OR(AY10&gt;0,AND(AZ$3&gt;=Assumptions!$E$208,AZ$3&gt;=Assumptions!$B$14,Revenue_Build!AZ10&gt;=Assumptions!$F$208*Assumptions!$B$55)),Assumptions!$D$208,0)</f>
        <v/>
      </c>
      <c r="BA10" s="41">
        <f>IF(OR(AZ10&gt;0,AND(BA$3&gt;=Assumptions!$E$208,BA$3&gt;=Assumptions!$B$14,Revenue_Build!BA10&gt;=Assumptions!$F$208*Assumptions!$B$55)),Assumptions!$D$208,0)</f>
        <v/>
      </c>
      <c r="BB10" s="41">
        <f>IF(OR(BA10&gt;0,AND(BB$3&gt;=Assumptions!$E$208,BB$3&gt;=Assumptions!$B$14,Revenue_Build!BB10&gt;=Assumptions!$F$208*Assumptions!$B$55)),Assumptions!$D$208,0)</f>
        <v/>
      </c>
      <c r="BC10" s="41">
        <f>IF(OR(BB10&gt;0,AND(BC$3&gt;=Assumptions!$E$208,BC$3&gt;=Assumptions!$B$14,Revenue_Build!BC10&gt;=Assumptions!$F$208*Assumptions!$B$55)),Assumptions!$D$208,0)</f>
        <v/>
      </c>
      <c r="BD10" s="41">
        <f>IF(OR(BC10&gt;0,AND(BD$3&gt;=Assumptions!$E$208,BD$3&gt;=Assumptions!$B$14,Revenue_Build!BD10&gt;=Assumptions!$F$208*Assumptions!$B$55)),Assumptions!$D$208,0)</f>
        <v/>
      </c>
      <c r="BE10" s="41">
        <f>IF(OR(BD10&gt;0,AND(BE$3&gt;=Assumptions!$E$208,BE$3&gt;=Assumptions!$B$14,Revenue_Build!BE10&gt;=Assumptions!$F$208*Assumptions!$B$55)),Assumptions!$D$208,0)</f>
        <v/>
      </c>
      <c r="BF10" s="41">
        <f>IF(OR(BE10&gt;0,AND(BF$3&gt;=Assumptions!$E$208,BF$3&gt;=Assumptions!$B$14,Revenue_Build!BF10&gt;=Assumptions!$F$208*Assumptions!$B$55)),Assumptions!$D$208,0)</f>
        <v/>
      </c>
      <c r="BG10" s="41">
        <f>IF(OR(BF10&gt;0,AND(BG$3&gt;=Assumptions!$E$208,BG$3&gt;=Assumptions!$B$14,Revenue_Build!BG10&gt;=Assumptions!$F$208*Assumptions!$B$55)),Assumptions!$D$208,0)</f>
        <v/>
      </c>
      <c r="BH10" s="41">
        <f>IF(OR(BG10&gt;0,AND(BH$3&gt;=Assumptions!$E$208,BH$3&gt;=Assumptions!$B$14,Revenue_Build!BH10&gt;=Assumptions!$F$208*Assumptions!$B$55)),Assumptions!$D$208,0)</f>
        <v/>
      </c>
      <c r="BI10" s="41">
        <f>IF(OR(BH10&gt;0,AND(BI$3&gt;=Assumptions!$E$208,BI$3&gt;=Assumptions!$B$14,Revenue_Build!BI10&gt;=Assumptions!$F$208*Assumptions!$B$55)),Assumptions!$D$208,0)</f>
        <v/>
      </c>
      <c r="BJ10" s="41">
        <f>IF(OR(BI10&gt;0,AND(BJ$3&gt;=Assumptions!$E$208,BJ$3&gt;=Assumptions!$B$14,Revenue_Build!BJ10&gt;=Assumptions!$F$208*Assumptions!$B$55)),Assumptions!$D$208,0)</f>
        <v/>
      </c>
    </row>
    <row r="11">
      <c r="A11" s="4" t="inlineStr">
        <is>
          <t>AI / ML engineer</t>
        </is>
      </c>
      <c r="B11" s="17" t="inlineStr">
        <is>
          <t>FTE</t>
        </is>
      </c>
      <c r="C11" s="41">
        <f>IF(AND(C$3&gt;=Assumptions!$E$209,C$3&gt;=Assumptions!$B$14,Revenue_Build!C10&gt;=Assumptions!$F$209*Assumptions!$B$55),Assumptions!$D$209,0)</f>
        <v/>
      </c>
      <c r="D11" s="41">
        <f>IF(OR(C11&gt;0,AND(D$3&gt;=Assumptions!$E$209,D$3&gt;=Assumptions!$B$14,Revenue_Build!D10&gt;=Assumptions!$F$209*Assumptions!$B$55)),Assumptions!$D$209,0)</f>
        <v/>
      </c>
      <c r="E11" s="41">
        <f>IF(OR(D11&gt;0,AND(E$3&gt;=Assumptions!$E$209,E$3&gt;=Assumptions!$B$14,Revenue_Build!E10&gt;=Assumptions!$F$209*Assumptions!$B$55)),Assumptions!$D$209,0)</f>
        <v/>
      </c>
      <c r="F11" s="41">
        <f>IF(OR(E11&gt;0,AND(F$3&gt;=Assumptions!$E$209,F$3&gt;=Assumptions!$B$14,Revenue_Build!F10&gt;=Assumptions!$F$209*Assumptions!$B$55)),Assumptions!$D$209,0)</f>
        <v/>
      </c>
      <c r="G11" s="41">
        <f>IF(OR(F11&gt;0,AND(G$3&gt;=Assumptions!$E$209,G$3&gt;=Assumptions!$B$14,Revenue_Build!G10&gt;=Assumptions!$F$209*Assumptions!$B$55)),Assumptions!$D$209,0)</f>
        <v/>
      </c>
      <c r="H11" s="41">
        <f>IF(OR(G11&gt;0,AND(H$3&gt;=Assumptions!$E$209,H$3&gt;=Assumptions!$B$14,Revenue_Build!H10&gt;=Assumptions!$F$209*Assumptions!$B$55)),Assumptions!$D$209,0)</f>
        <v/>
      </c>
      <c r="I11" s="41">
        <f>IF(OR(H11&gt;0,AND(I$3&gt;=Assumptions!$E$209,I$3&gt;=Assumptions!$B$14,Revenue_Build!I10&gt;=Assumptions!$F$209*Assumptions!$B$55)),Assumptions!$D$209,0)</f>
        <v/>
      </c>
      <c r="J11" s="41">
        <f>IF(OR(I11&gt;0,AND(J$3&gt;=Assumptions!$E$209,J$3&gt;=Assumptions!$B$14,Revenue_Build!J10&gt;=Assumptions!$F$209*Assumptions!$B$55)),Assumptions!$D$209,0)</f>
        <v/>
      </c>
      <c r="K11" s="41">
        <f>IF(OR(J11&gt;0,AND(K$3&gt;=Assumptions!$E$209,K$3&gt;=Assumptions!$B$14,Revenue_Build!K10&gt;=Assumptions!$F$209*Assumptions!$B$55)),Assumptions!$D$209,0)</f>
        <v/>
      </c>
      <c r="L11" s="41">
        <f>IF(OR(K11&gt;0,AND(L$3&gt;=Assumptions!$E$209,L$3&gt;=Assumptions!$B$14,Revenue_Build!L10&gt;=Assumptions!$F$209*Assumptions!$B$55)),Assumptions!$D$209,0)</f>
        <v/>
      </c>
      <c r="M11" s="41">
        <f>IF(OR(L11&gt;0,AND(M$3&gt;=Assumptions!$E$209,M$3&gt;=Assumptions!$B$14,Revenue_Build!M10&gt;=Assumptions!$F$209*Assumptions!$B$55)),Assumptions!$D$209,0)</f>
        <v/>
      </c>
      <c r="N11" s="41">
        <f>IF(OR(M11&gt;0,AND(N$3&gt;=Assumptions!$E$209,N$3&gt;=Assumptions!$B$14,Revenue_Build!N10&gt;=Assumptions!$F$209*Assumptions!$B$55)),Assumptions!$D$209,0)</f>
        <v/>
      </c>
      <c r="O11" s="41">
        <f>IF(OR(N11&gt;0,AND(O$3&gt;=Assumptions!$E$209,O$3&gt;=Assumptions!$B$14,Revenue_Build!O10&gt;=Assumptions!$F$209*Assumptions!$B$55)),Assumptions!$D$209,0)</f>
        <v/>
      </c>
      <c r="P11" s="41">
        <f>IF(OR(O11&gt;0,AND(P$3&gt;=Assumptions!$E$209,P$3&gt;=Assumptions!$B$14,Revenue_Build!P10&gt;=Assumptions!$F$209*Assumptions!$B$55)),Assumptions!$D$209,0)</f>
        <v/>
      </c>
      <c r="Q11" s="41">
        <f>IF(OR(P11&gt;0,AND(Q$3&gt;=Assumptions!$E$209,Q$3&gt;=Assumptions!$B$14,Revenue_Build!Q10&gt;=Assumptions!$F$209*Assumptions!$B$55)),Assumptions!$D$209,0)</f>
        <v/>
      </c>
      <c r="R11" s="41">
        <f>IF(OR(Q11&gt;0,AND(R$3&gt;=Assumptions!$E$209,R$3&gt;=Assumptions!$B$14,Revenue_Build!R10&gt;=Assumptions!$F$209*Assumptions!$B$55)),Assumptions!$D$209,0)</f>
        <v/>
      </c>
      <c r="S11" s="41">
        <f>IF(OR(R11&gt;0,AND(S$3&gt;=Assumptions!$E$209,S$3&gt;=Assumptions!$B$14,Revenue_Build!S10&gt;=Assumptions!$F$209*Assumptions!$B$55)),Assumptions!$D$209,0)</f>
        <v/>
      </c>
      <c r="T11" s="41">
        <f>IF(OR(S11&gt;0,AND(T$3&gt;=Assumptions!$E$209,T$3&gt;=Assumptions!$B$14,Revenue_Build!T10&gt;=Assumptions!$F$209*Assumptions!$B$55)),Assumptions!$D$209,0)</f>
        <v/>
      </c>
      <c r="U11" s="41">
        <f>IF(OR(T11&gt;0,AND(U$3&gt;=Assumptions!$E$209,U$3&gt;=Assumptions!$B$14,Revenue_Build!U10&gt;=Assumptions!$F$209*Assumptions!$B$55)),Assumptions!$D$209,0)</f>
        <v/>
      </c>
      <c r="V11" s="41">
        <f>IF(OR(U11&gt;0,AND(V$3&gt;=Assumptions!$E$209,V$3&gt;=Assumptions!$B$14,Revenue_Build!V10&gt;=Assumptions!$F$209*Assumptions!$B$55)),Assumptions!$D$209,0)</f>
        <v/>
      </c>
      <c r="W11" s="41">
        <f>IF(OR(V11&gt;0,AND(W$3&gt;=Assumptions!$E$209,W$3&gt;=Assumptions!$B$14,Revenue_Build!W10&gt;=Assumptions!$F$209*Assumptions!$B$55)),Assumptions!$D$209,0)</f>
        <v/>
      </c>
      <c r="X11" s="41">
        <f>IF(OR(W11&gt;0,AND(X$3&gt;=Assumptions!$E$209,X$3&gt;=Assumptions!$B$14,Revenue_Build!X10&gt;=Assumptions!$F$209*Assumptions!$B$55)),Assumptions!$D$209,0)</f>
        <v/>
      </c>
      <c r="Y11" s="41">
        <f>IF(OR(X11&gt;0,AND(Y$3&gt;=Assumptions!$E$209,Y$3&gt;=Assumptions!$B$14,Revenue_Build!Y10&gt;=Assumptions!$F$209*Assumptions!$B$55)),Assumptions!$D$209,0)</f>
        <v/>
      </c>
      <c r="Z11" s="41">
        <f>IF(OR(Y11&gt;0,AND(Z$3&gt;=Assumptions!$E$209,Z$3&gt;=Assumptions!$B$14,Revenue_Build!Z10&gt;=Assumptions!$F$209*Assumptions!$B$55)),Assumptions!$D$209,0)</f>
        <v/>
      </c>
      <c r="AA11" s="41">
        <f>IF(OR(Z11&gt;0,AND(AA$3&gt;=Assumptions!$E$209,AA$3&gt;=Assumptions!$B$14,Revenue_Build!AA10&gt;=Assumptions!$F$209*Assumptions!$B$55)),Assumptions!$D$209,0)</f>
        <v/>
      </c>
      <c r="AB11" s="41">
        <f>IF(OR(AA11&gt;0,AND(AB$3&gt;=Assumptions!$E$209,AB$3&gt;=Assumptions!$B$14,Revenue_Build!AB10&gt;=Assumptions!$F$209*Assumptions!$B$55)),Assumptions!$D$209,0)</f>
        <v/>
      </c>
      <c r="AC11" s="41">
        <f>IF(OR(AB11&gt;0,AND(AC$3&gt;=Assumptions!$E$209,AC$3&gt;=Assumptions!$B$14,Revenue_Build!AC10&gt;=Assumptions!$F$209*Assumptions!$B$55)),Assumptions!$D$209,0)</f>
        <v/>
      </c>
      <c r="AD11" s="41">
        <f>IF(OR(AC11&gt;0,AND(AD$3&gt;=Assumptions!$E$209,AD$3&gt;=Assumptions!$B$14,Revenue_Build!AD10&gt;=Assumptions!$F$209*Assumptions!$B$55)),Assumptions!$D$209,0)</f>
        <v/>
      </c>
      <c r="AE11" s="41">
        <f>IF(OR(AD11&gt;0,AND(AE$3&gt;=Assumptions!$E$209,AE$3&gt;=Assumptions!$B$14,Revenue_Build!AE10&gt;=Assumptions!$F$209*Assumptions!$B$55)),Assumptions!$D$209,0)</f>
        <v/>
      </c>
      <c r="AF11" s="41">
        <f>IF(OR(AE11&gt;0,AND(AF$3&gt;=Assumptions!$E$209,AF$3&gt;=Assumptions!$B$14,Revenue_Build!AF10&gt;=Assumptions!$F$209*Assumptions!$B$55)),Assumptions!$D$209,0)</f>
        <v/>
      </c>
      <c r="AG11" s="41">
        <f>IF(OR(AF11&gt;0,AND(AG$3&gt;=Assumptions!$E$209,AG$3&gt;=Assumptions!$B$14,Revenue_Build!AG10&gt;=Assumptions!$F$209*Assumptions!$B$55)),Assumptions!$D$209,0)</f>
        <v/>
      </c>
      <c r="AH11" s="41">
        <f>IF(OR(AG11&gt;0,AND(AH$3&gt;=Assumptions!$E$209,AH$3&gt;=Assumptions!$B$14,Revenue_Build!AH10&gt;=Assumptions!$F$209*Assumptions!$B$55)),Assumptions!$D$209,0)</f>
        <v/>
      </c>
      <c r="AI11" s="41">
        <f>IF(OR(AH11&gt;0,AND(AI$3&gt;=Assumptions!$E$209,AI$3&gt;=Assumptions!$B$14,Revenue_Build!AI10&gt;=Assumptions!$F$209*Assumptions!$B$55)),Assumptions!$D$209,0)</f>
        <v/>
      </c>
      <c r="AJ11" s="41">
        <f>IF(OR(AI11&gt;0,AND(AJ$3&gt;=Assumptions!$E$209,AJ$3&gt;=Assumptions!$B$14,Revenue_Build!AJ10&gt;=Assumptions!$F$209*Assumptions!$B$55)),Assumptions!$D$209,0)</f>
        <v/>
      </c>
      <c r="AK11" s="41">
        <f>IF(OR(AJ11&gt;0,AND(AK$3&gt;=Assumptions!$E$209,AK$3&gt;=Assumptions!$B$14,Revenue_Build!AK10&gt;=Assumptions!$F$209*Assumptions!$B$55)),Assumptions!$D$209,0)</f>
        <v/>
      </c>
      <c r="AL11" s="41">
        <f>IF(OR(AK11&gt;0,AND(AL$3&gt;=Assumptions!$E$209,AL$3&gt;=Assumptions!$B$14,Revenue_Build!AL10&gt;=Assumptions!$F$209*Assumptions!$B$55)),Assumptions!$D$209,0)</f>
        <v/>
      </c>
      <c r="AM11" s="41">
        <f>IF(OR(AL11&gt;0,AND(AM$3&gt;=Assumptions!$E$209,AM$3&gt;=Assumptions!$B$14,Revenue_Build!AM10&gt;=Assumptions!$F$209*Assumptions!$B$55)),Assumptions!$D$209,0)</f>
        <v/>
      </c>
      <c r="AN11" s="41">
        <f>IF(OR(AM11&gt;0,AND(AN$3&gt;=Assumptions!$E$209,AN$3&gt;=Assumptions!$B$14,Revenue_Build!AN10&gt;=Assumptions!$F$209*Assumptions!$B$55)),Assumptions!$D$209,0)</f>
        <v/>
      </c>
      <c r="AO11" s="41">
        <f>IF(OR(AN11&gt;0,AND(AO$3&gt;=Assumptions!$E$209,AO$3&gt;=Assumptions!$B$14,Revenue_Build!AO10&gt;=Assumptions!$F$209*Assumptions!$B$55)),Assumptions!$D$209,0)</f>
        <v/>
      </c>
      <c r="AP11" s="41">
        <f>IF(OR(AO11&gt;0,AND(AP$3&gt;=Assumptions!$E$209,AP$3&gt;=Assumptions!$B$14,Revenue_Build!AP10&gt;=Assumptions!$F$209*Assumptions!$B$55)),Assumptions!$D$209,0)</f>
        <v/>
      </c>
      <c r="AQ11" s="41">
        <f>IF(OR(AP11&gt;0,AND(AQ$3&gt;=Assumptions!$E$209,AQ$3&gt;=Assumptions!$B$14,Revenue_Build!AQ10&gt;=Assumptions!$F$209*Assumptions!$B$55)),Assumptions!$D$209,0)</f>
        <v/>
      </c>
      <c r="AR11" s="41">
        <f>IF(OR(AQ11&gt;0,AND(AR$3&gt;=Assumptions!$E$209,AR$3&gt;=Assumptions!$B$14,Revenue_Build!AR10&gt;=Assumptions!$F$209*Assumptions!$B$55)),Assumptions!$D$209,0)</f>
        <v/>
      </c>
      <c r="AS11" s="41">
        <f>IF(OR(AR11&gt;0,AND(AS$3&gt;=Assumptions!$E$209,AS$3&gt;=Assumptions!$B$14,Revenue_Build!AS10&gt;=Assumptions!$F$209*Assumptions!$B$55)),Assumptions!$D$209,0)</f>
        <v/>
      </c>
      <c r="AT11" s="41">
        <f>IF(OR(AS11&gt;0,AND(AT$3&gt;=Assumptions!$E$209,AT$3&gt;=Assumptions!$B$14,Revenue_Build!AT10&gt;=Assumptions!$F$209*Assumptions!$B$55)),Assumptions!$D$209,0)</f>
        <v/>
      </c>
      <c r="AU11" s="41">
        <f>IF(OR(AT11&gt;0,AND(AU$3&gt;=Assumptions!$E$209,AU$3&gt;=Assumptions!$B$14,Revenue_Build!AU10&gt;=Assumptions!$F$209*Assumptions!$B$55)),Assumptions!$D$209,0)</f>
        <v/>
      </c>
      <c r="AV11" s="41">
        <f>IF(OR(AU11&gt;0,AND(AV$3&gt;=Assumptions!$E$209,AV$3&gt;=Assumptions!$B$14,Revenue_Build!AV10&gt;=Assumptions!$F$209*Assumptions!$B$55)),Assumptions!$D$209,0)</f>
        <v/>
      </c>
      <c r="AW11" s="41">
        <f>IF(OR(AV11&gt;0,AND(AW$3&gt;=Assumptions!$E$209,AW$3&gt;=Assumptions!$B$14,Revenue_Build!AW10&gt;=Assumptions!$F$209*Assumptions!$B$55)),Assumptions!$D$209,0)</f>
        <v/>
      </c>
      <c r="AX11" s="41">
        <f>IF(OR(AW11&gt;0,AND(AX$3&gt;=Assumptions!$E$209,AX$3&gt;=Assumptions!$B$14,Revenue_Build!AX10&gt;=Assumptions!$F$209*Assumptions!$B$55)),Assumptions!$D$209,0)</f>
        <v/>
      </c>
      <c r="AY11" s="41">
        <f>IF(OR(AX11&gt;0,AND(AY$3&gt;=Assumptions!$E$209,AY$3&gt;=Assumptions!$B$14,Revenue_Build!AY10&gt;=Assumptions!$F$209*Assumptions!$B$55)),Assumptions!$D$209,0)</f>
        <v/>
      </c>
      <c r="AZ11" s="41">
        <f>IF(OR(AY11&gt;0,AND(AZ$3&gt;=Assumptions!$E$209,AZ$3&gt;=Assumptions!$B$14,Revenue_Build!AZ10&gt;=Assumptions!$F$209*Assumptions!$B$55)),Assumptions!$D$209,0)</f>
        <v/>
      </c>
      <c r="BA11" s="41">
        <f>IF(OR(AZ11&gt;0,AND(BA$3&gt;=Assumptions!$E$209,BA$3&gt;=Assumptions!$B$14,Revenue_Build!BA10&gt;=Assumptions!$F$209*Assumptions!$B$55)),Assumptions!$D$209,0)</f>
        <v/>
      </c>
      <c r="BB11" s="41">
        <f>IF(OR(BA11&gt;0,AND(BB$3&gt;=Assumptions!$E$209,BB$3&gt;=Assumptions!$B$14,Revenue_Build!BB10&gt;=Assumptions!$F$209*Assumptions!$B$55)),Assumptions!$D$209,0)</f>
        <v/>
      </c>
      <c r="BC11" s="41">
        <f>IF(OR(BB11&gt;0,AND(BC$3&gt;=Assumptions!$E$209,BC$3&gt;=Assumptions!$B$14,Revenue_Build!BC10&gt;=Assumptions!$F$209*Assumptions!$B$55)),Assumptions!$D$209,0)</f>
        <v/>
      </c>
      <c r="BD11" s="41">
        <f>IF(OR(BC11&gt;0,AND(BD$3&gt;=Assumptions!$E$209,BD$3&gt;=Assumptions!$B$14,Revenue_Build!BD10&gt;=Assumptions!$F$209*Assumptions!$B$55)),Assumptions!$D$209,0)</f>
        <v/>
      </c>
      <c r="BE11" s="41">
        <f>IF(OR(BD11&gt;0,AND(BE$3&gt;=Assumptions!$E$209,BE$3&gt;=Assumptions!$B$14,Revenue_Build!BE10&gt;=Assumptions!$F$209*Assumptions!$B$55)),Assumptions!$D$209,0)</f>
        <v/>
      </c>
      <c r="BF11" s="41">
        <f>IF(OR(BE11&gt;0,AND(BF$3&gt;=Assumptions!$E$209,BF$3&gt;=Assumptions!$B$14,Revenue_Build!BF10&gt;=Assumptions!$F$209*Assumptions!$B$55)),Assumptions!$D$209,0)</f>
        <v/>
      </c>
      <c r="BG11" s="41">
        <f>IF(OR(BF11&gt;0,AND(BG$3&gt;=Assumptions!$E$209,BG$3&gt;=Assumptions!$B$14,Revenue_Build!BG10&gt;=Assumptions!$F$209*Assumptions!$B$55)),Assumptions!$D$209,0)</f>
        <v/>
      </c>
      <c r="BH11" s="41">
        <f>IF(OR(BG11&gt;0,AND(BH$3&gt;=Assumptions!$E$209,BH$3&gt;=Assumptions!$B$14,Revenue_Build!BH10&gt;=Assumptions!$F$209*Assumptions!$B$55)),Assumptions!$D$209,0)</f>
        <v/>
      </c>
      <c r="BI11" s="41">
        <f>IF(OR(BH11&gt;0,AND(BI$3&gt;=Assumptions!$E$209,BI$3&gt;=Assumptions!$B$14,Revenue_Build!BI10&gt;=Assumptions!$F$209*Assumptions!$B$55)),Assumptions!$D$209,0)</f>
        <v/>
      </c>
      <c r="BJ11" s="41">
        <f>IF(OR(BI11&gt;0,AND(BJ$3&gt;=Assumptions!$E$209,BJ$3&gt;=Assumptions!$B$14,Revenue_Build!BJ10&gt;=Assumptions!$F$209*Assumptions!$B$55)),Assumptions!$D$209,0)</f>
        <v/>
      </c>
    </row>
    <row r="12">
      <c r="A12" s="4" t="inlineStr">
        <is>
          <t>Product designer (UX)</t>
        </is>
      </c>
      <c r="B12" s="17" t="inlineStr">
        <is>
          <t>FTE</t>
        </is>
      </c>
      <c r="C12" s="41">
        <f>IF(AND(C$3&gt;=Assumptions!$E$210,C$3&gt;=Assumptions!$B$14,Revenue_Build!C10&gt;=Assumptions!$F$210*Assumptions!$B$55),Assumptions!$D$210,0)</f>
        <v/>
      </c>
      <c r="D12" s="41">
        <f>IF(OR(C12&gt;0,AND(D$3&gt;=Assumptions!$E$210,D$3&gt;=Assumptions!$B$14,Revenue_Build!D10&gt;=Assumptions!$F$210*Assumptions!$B$55)),Assumptions!$D$210,0)</f>
        <v/>
      </c>
      <c r="E12" s="41">
        <f>IF(OR(D12&gt;0,AND(E$3&gt;=Assumptions!$E$210,E$3&gt;=Assumptions!$B$14,Revenue_Build!E10&gt;=Assumptions!$F$210*Assumptions!$B$55)),Assumptions!$D$210,0)</f>
        <v/>
      </c>
      <c r="F12" s="41">
        <f>IF(OR(E12&gt;0,AND(F$3&gt;=Assumptions!$E$210,F$3&gt;=Assumptions!$B$14,Revenue_Build!F10&gt;=Assumptions!$F$210*Assumptions!$B$55)),Assumptions!$D$210,0)</f>
        <v/>
      </c>
      <c r="G12" s="41">
        <f>IF(OR(F12&gt;0,AND(G$3&gt;=Assumptions!$E$210,G$3&gt;=Assumptions!$B$14,Revenue_Build!G10&gt;=Assumptions!$F$210*Assumptions!$B$55)),Assumptions!$D$210,0)</f>
        <v/>
      </c>
      <c r="H12" s="41">
        <f>IF(OR(G12&gt;0,AND(H$3&gt;=Assumptions!$E$210,H$3&gt;=Assumptions!$B$14,Revenue_Build!H10&gt;=Assumptions!$F$210*Assumptions!$B$55)),Assumptions!$D$210,0)</f>
        <v/>
      </c>
      <c r="I12" s="41">
        <f>IF(OR(H12&gt;0,AND(I$3&gt;=Assumptions!$E$210,I$3&gt;=Assumptions!$B$14,Revenue_Build!I10&gt;=Assumptions!$F$210*Assumptions!$B$55)),Assumptions!$D$210,0)</f>
        <v/>
      </c>
      <c r="J12" s="41">
        <f>IF(OR(I12&gt;0,AND(J$3&gt;=Assumptions!$E$210,J$3&gt;=Assumptions!$B$14,Revenue_Build!J10&gt;=Assumptions!$F$210*Assumptions!$B$55)),Assumptions!$D$210,0)</f>
        <v/>
      </c>
      <c r="K12" s="41">
        <f>IF(OR(J12&gt;0,AND(K$3&gt;=Assumptions!$E$210,K$3&gt;=Assumptions!$B$14,Revenue_Build!K10&gt;=Assumptions!$F$210*Assumptions!$B$55)),Assumptions!$D$210,0)</f>
        <v/>
      </c>
      <c r="L12" s="41">
        <f>IF(OR(K12&gt;0,AND(L$3&gt;=Assumptions!$E$210,L$3&gt;=Assumptions!$B$14,Revenue_Build!L10&gt;=Assumptions!$F$210*Assumptions!$B$55)),Assumptions!$D$210,0)</f>
        <v/>
      </c>
      <c r="M12" s="41">
        <f>IF(OR(L12&gt;0,AND(M$3&gt;=Assumptions!$E$210,M$3&gt;=Assumptions!$B$14,Revenue_Build!M10&gt;=Assumptions!$F$210*Assumptions!$B$55)),Assumptions!$D$210,0)</f>
        <v/>
      </c>
      <c r="N12" s="41">
        <f>IF(OR(M12&gt;0,AND(N$3&gt;=Assumptions!$E$210,N$3&gt;=Assumptions!$B$14,Revenue_Build!N10&gt;=Assumptions!$F$210*Assumptions!$B$55)),Assumptions!$D$210,0)</f>
        <v/>
      </c>
      <c r="O12" s="41">
        <f>IF(OR(N12&gt;0,AND(O$3&gt;=Assumptions!$E$210,O$3&gt;=Assumptions!$B$14,Revenue_Build!O10&gt;=Assumptions!$F$210*Assumptions!$B$55)),Assumptions!$D$210,0)</f>
        <v/>
      </c>
      <c r="P12" s="41">
        <f>IF(OR(O12&gt;0,AND(P$3&gt;=Assumptions!$E$210,P$3&gt;=Assumptions!$B$14,Revenue_Build!P10&gt;=Assumptions!$F$210*Assumptions!$B$55)),Assumptions!$D$210,0)</f>
        <v/>
      </c>
      <c r="Q12" s="41">
        <f>IF(OR(P12&gt;0,AND(Q$3&gt;=Assumptions!$E$210,Q$3&gt;=Assumptions!$B$14,Revenue_Build!Q10&gt;=Assumptions!$F$210*Assumptions!$B$55)),Assumptions!$D$210,0)</f>
        <v/>
      </c>
      <c r="R12" s="41">
        <f>IF(OR(Q12&gt;0,AND(R$3&gt;=Assumptions!$E$210,R$3&gt;=Assumptions!$B$14,Revenue_Build!R10&gt;=Assumptions!$F$210*Assumptions!$B$55)),Assumptions!$D$210,0)</f>
        <v/>
      </c>
      <c r="S12" s="41">
        <f>IF(OR(R12&gt;0,AND(S$3&gt;=Assumptions!$E$210,S$3&gt;=Assumptions!$B$14,Revenue_Build!S10&gt;=Assumptions!$F$210*Assumptions!$B$55)),Assumptions!$D$210,0)</f>
        <v/>
      </c>
      <c r="T12" s="41">
        <f>IF(OR(S12&gt;0,AND(T$3&gt;=Assumptions!$E$210,T$3&gt;=Assumptions!$B$14,Revenue_Build!T10&gt;=Assumptions!$F$210*Assumptions!$B$55)),Assumptions!$D$210,0)</f>
        <v/>
      </c>
      <c r="U12" s="41">
        <f>IF(OR(T12&gt;0,AND(U$3&gt;=Assumptions!$E$210,U$3&gt;=Assumptions!$B$14,Revenue_Build!U10&gt;=Assumptions!$F$210*Assumptions!$B$55)),Assumptions!$D$210,0)</f>
        <v/>
      </c>
      <c r="V12" s="41">
        <f>IF(OR(U12&gt;0,AND(V$3&gt;=Assumptions!$E$210,V$3&gt;=Assumptions!$B$14,Revenue_Build!V10&gt;=Assumptions!$F$210*Assumptions!$B$55)),Assumptions!$D$210,0)</f>
        <v/>
      </c>
      <c r="W12" s="41">
        <f>IF(OR(V12&gt;0,AND(W$3&gt;=Assumptions!$E$210,W$3&gt;=Assumptions!$B$14,Revenue_Build!W10&gt;=Assumptions!$F$210*Assumptions!$B$55)),Assumptions!$D$210,0)</f>
        <v/>
      </c>
      <c r="X12" s="41">
        <f>IF(OR(W12&gt;0,AND(X$3&gt;=Assumptions!$E$210,X$3&gt;=Assumptions!$B$14,Revenue_Build!X10&gt;=Assumptions!$F$210*Assumptions!$B$55)),Assumptions!$D$210,0)</f>
        <v/>
      </c>
      <c r="Y12" s="41">
        <f>IF(OR(X12&gt;0,AND(Y$3&gt;=Assumptions!$E$210,Y$3&gt;=Assumptions!$B$14,Revenue_Build!Y10&gt;=Assumptions!$F$210*Assumptions!$B$55)),Assumptions!$D$210,0)</f>
        <v/>
      </c>
      <c r="Z12" s="41">
        <f>IF(OR(Y12&gt;0,AND(Z$3&gt;=Assumptions!$E$210,Z$3&gt;=Assumptions!$B$14,Revenue_Build!Z10&gt;=Assumptions!$F$210*Assumptions!$B$55)),Assumptions!$D$210,0)</f>
        <v/>
      </c>
      <c r="AA12" s="41">
        <f>IF(OR(Z12&gt;0,AND(AA$3&gt;=Assumptions!$E$210,AA$3&gt;=Assumptions!$B$14,Revenue_Build!AA10&gt;=Assumptions!$F$210*Assumptions!$B$55)),Assumptions!$D$210,0)</f>
        <v/>
      </c>
      <c r="AB12" s="41">
        <f>IF(OR(AA12&gt;0,AND(AB$3&gt;=Assumptions!$E$210,AB$3&gt;=Assumptions!$B$14,Revenue_Build!AB10&gt;=Assumptions!$F$210*Assumptions!$B$55)),Assumptions!$D$210,0)</f>
        <v/>
      </c>
      <c r="AC12" s="41">
        <f>IF(OR(AB12&gt;0,AND(AC$3&gt;=Assumptions!$E$210,AC$3&gt;=Assumptions!$B$14,Revenue_Build!AC10&gt;=Assumptions!$F$210*Assumptions!$B$55)),Assumptions!$D$210,0)</f>
        <v/>
      </c>
      <c r="AD12" s="41">
        <f>IF(OR(AC12&gt;0,AND(AD$3&gt;=Assumptions!$E$210,AD$3&gt;=Assumptions!$B$14,Revenue_Build!AD10&gt;=Assumptions!$F$210*Assumptions!$B$55)),Assumptions!$D$210,0)</f>
        <v/>
      </c>
      <c r="AE12" s="41">
        <f>IF(OR(AD12&gt;0,AND(AE$3&gt;=Assumptions!$E$210,AE$3&gt;=Assumptions!$B$14,Revenue_Build!AE10&gt;=Assumptions!$F$210*Assumptions!$B$55)),Assumptions!$D$210,0)</f>
        <v/>
      </c>
      <c r="AF12" s="41">
        <f>IF(OR(AE12&gt;0,AND(AF$3&gt;=Assumptions!$E$210,AF$3&gt;=Assumptions!$B$14,Revenue_Build!AF10&gt;=Assumptions!$F$210*Assumptions!$B$55)),Assumptions!$D$210,0)</f>
        <v/>
      </c>
      <c r="AG12" s="41">
        <f>IF(OR(AF12&gt;0,AND(AG$3&gt;=Assumptions!$E$210,AG$3&gt;=Assumptions!$B$14,Revenue_Build!AG10&gt;=Assumptions!$F$210*Assumptions!$B$55)),Assumptions!$D$210,0)</f>
        <v/>
      </c>
      <c r="AH12" s="41">
        <f>IF(OR(AG12&gt;0,AND(AH$3&gt;=Assumptions!$E$210,AH$3&gt;=Assumptions!$B$14,Revenue_Build!AH10&gt;=Assumptions!$F$210*Assumptions!$B$55)),Assumptions!$D$210,0)</f>
        <v/>
      </c>
      <c r="AI12" s="41">
        <f>IF(OR(AH12&gt;0,AND(AI$3&gt;=Assumptions!$E$210,AI$3&gt;=Assumptions!$B$14,Revenue_Build!AI10&gt;=Assumptions!$F$210*Assumptions!$B$55)),Assumptions!$D$210,0)</f>
        <v/>
      </c>
      <c r="AJ12" s="41">
        <f>IF(OR(AI12&gt;0,AND(AJ$3&gt;=Assumptions!$E$210,AJ$3&gt;=Assumptions!$B$14,Revenue_Build!AJ10&gt;=Assumptions!$F$210*Assumptions!$B$55)),Assumptions!$D$210,0)</f>
        <v/>
      </c>
      <c r="AK12" s="41">
        <f>IF(OR(AJ12&gt;0,AND(AK$3&gt;=Assumptions!$E$210,AK$3&gt;=Assumptions!$B$14,Revenue_Build!AK10&gt;=Assumptions!$F$210*Assumptions!$B$55)),Assumptions!$D$210,0)</f>
        <v/>
      </c>
      <c r="AL12" s="41">
        <f>IF(OR(AK12&gt;0,AND(AL$3&gt;=Assumptions!$E$210,AL$3&gt;=Assumptions!$B$14,Revenue_Build!AL10&gt;=Assumptions!$F$210*Assumptions!$B$55)),Assumptions!$D$210,0)</f>
        <v/>
      </c>
      <c r="AM12" s="41">
        <f>IF(OR(AL12&gt;0,AND(AM$3&gt;=Assumptions!$E$210,AM$3&gt;=Assumptions!$B$14,Revenue_Build!AM10&gt;=Assumptions!$F$210*Assumptions!$B$55)),Assumptions!$D$210,0)</f>
        <v/>
      </c>
      <c r="AN12" s="41">
        <f>IF(OR(AM12&gt;0,AND(AN$3&gt;=Assumptions!$E$210,AN$3&gt;=Assumptions!$B$14,Revenue_Build!AN10&gt;=Assumptions!$F$210*Assumptions!$B$55)),Assumptions!$D$210,0)</f>
        <v/>
      </c>
      <c r="AO12" s="41">
        <f>IF(OR(AN12&gt;0,AND(AO$3&gt;=Assumptions!$E$210,AO$3&gt;=Assumptions!$B$14,Revenue_Build!AO10&gt;=Assumptions!$F$210*Assumptions!$B$55)),Assumptions!$D$210,0)</f>
        <v/>
      </c>
      <c r="AP12" s="41">
        <f>IF(OR(AO12&gt;0,AND(AP$3&gt;=Assumptions!$E$210,AP$3&gt;=Assumptions!$B$14,Revenue_Build!AP10&gt;=Assumptions!$F$210*Assumptions!$B$55)),Assumptions!$D$210,0)</f>
        <v/>
      </c>
      <c r="AQ12" s="41">
        <f>IF(OR(AP12&gt;0,AND(AQ$3&gt;=Assumptions!$E$210,AQ$3&gt;=Assumptions!$B$14,Revenue_Build!AQ10&gt;=Assumptions!$F$210*Assumptions!$B$55)),Assumptions!$D$210,0)</f>
        <v/>
      </c>
      <c r="AR12" s="41">
        <f>IF(OR(AQ12&gt;0,AND(AR$3&gt;=Assumptions!$E$210,AR$3&gt;=Assumptions!$B$14,Revenue_Build!AR10&gt;=Assumptions!$F$210*Assumptions!$B$55)),Assumptions!$D$210,0)</f>
        <v/>
      </c>
      <c r="AS12" s="41">
        <f>IF(OR(AR12&gt;0,AND(AS$3&gt;=Assumptions!$E$210,AS$3&gt;=Assumptions!$B$14,Revenue_Build!AS10&gt;=Assumptions!$F$210*Assumptions!$B$55)),Assumptions!$D$210,0)</f>
        <v/>
      </c>
      <c r="AT12" s="41">
        <f>IF(OR(AS12&gt;0,AND(AT$3&gt;=Assumptions!$E$210,AT$3&gt;=Assumptions!$B$14,Revenue_Build!AT10&gt;=Assumptions!$F$210*Assumptions!$B$55)),Assumptions!$D$210,0)</f>
        <v/>
      </c>
      <c r="AU12" s="41">
        <f>IF(OR(AT12&gt;0,AND(AU$3&gt;=Assumptions!$E$210,AU$3&gt;=Assumptions!$B$14,Revenue_Build!AU10&gt;=Assumptions!$F$210*Assumptions!$B$55)),Assumptions!$D$210,0)</f>
        <v/>
      </c>
      <c r="AV12" s="41">
        <f>IF(OR(AU12&gt;0,AND(AV$3&gt;=Assumptions!$E$210,AV$3&gt;=Assumptions!$B$14,Revenue_Build!AV10&gt;=Assumptions!$F$210*Assumptions!$B$55)),Assumptions!$D$210,0)</f>
        <v/>
      </c>
      <c r="AW12" s="41">
        <f>IF(OR(AV12&gt;0,AND(AW$3&gt;=Assumptions!$E$210,AW$3&gt;=Assumptions!$B$14,Revenue_Build!AW10&gt;=Assumptions!$F$210*Assumptions!$B$55)),Assumptions!$D$210,0)</f>
        <v/>
      </c>
      <c r="AX12" s="41">
        <f>IF(OR(AW12&gt;0,AND(AX$3&gt;=Assumptions!$E$210,AX$3&gt;=Assumptions!$B$14,Revenue_Build!AX10&gt;=Assumptions!$F$210*Assumptions!$B$55)),Assumptions!$D$210,0)</f>
        <v/>
      </c>
      <c r="AY12" s="41">
        <f>IF(OR(AX12&gt;0,AND(AY$3&gt;=Assumptions!$E$210,AY$3&gt;=Assumptions!$B$14,Revenue_Build!AY10&gt;=Assumptions!$F$210*Assumptions!$B$55)),Assumptions!$D$210,0)</f>
        <v/>
      </c>
      <c r="AZ12" s="41">
        <f>IF(OR(AY12&gt;0,AND(AZ$3&gt;=Assumptions!$E$210,AZ$3&gt;=Assumptions!$B$14,Revenue_Build!AZ10&gt;=Assumptions!$F$210*Assumptions!$B$55)),Assumptions!$D$210,0)</f>
        <v/>
      </c>
      <c r="BA12" s="41">
        <f>IF(OR(AZ12&gt;0,AND(BA$3&gt;=Assumptions!$E$210,BA$3&gt;=Assumptions!$B$14,Revenue_Build!BA10&gt;=Assumptions!$F$210*Assumptions!$B$55)),Assumptions!$D$210,0)</f>
        <v/>
      </c>
      <c r="BB12" s="41">
        <f>IF(OR(BA12&gt;0,AND(BB$3&gt;=Assumptions!$E$210,BB$3&gt;=Assumptions!$B$14,Revenue_Build!BB10&gt;=Assumptions!$F$210*Assumptions!$B$55)),Assumptions!$D$210,0)</f>
        <v/>
      </c>
      <c r="BC12" s="41">
        <f>IF(OR(BB12&gt;0,AND(BC$3&gt;=Assumptions!$E$210,BC$3&gt;=Assumptions!$B$14,Revenue_Build!BC10&gt;=Assumptions!$F$210*Assumptions!$B$55)),Assumptions!$D$210,0)</f>
        <v/>
      </c>
      <c r="BD12" s="41">
        <f>IF(OR(BC12&gt;0,AND(BD$3&gt;=Assumptions!$E$210,BD$3&gt;=Assumptions!$B$14,Revenue_Build!BD10&gt;=Assumptions!$F$210*Assumptions!$B$55)),Assumptions!$D$210,0)</f>
        <v/>
      </c>
      <c r="BE12" s="41">
        <f>IF(OR(BD12&gt;0,AND(BE$3&gt;=Assumptions!$E$210,BE$3&gt;=Assumptions!$B$14,Revenue_Build!BE10&gt;=Assumptions!$F$210*Assumptions!$B$55)),Assumptions!$D$210,0)</f>
        <v/>
      </c>
      <c r="BF12" s="41">
        <f>IF(OR(BE12&gt;0,AND(BF$3&gt;=Assumptions!$E$210,BF$3&gt;=Assumptions!$B$14,Revenue_Build!BF10&gt;=Assumptions!$F$210*Assumptions!$B$55)),Assumptions!$D$210,0)</f>
        <v/>
      </c>
      <c r="BG12" s="41">
        <f>IF(OR(BF12&gt;0,AND(BG$3&gt;=Assumptions!$E$210,BG$3&gt;=Assumptions!$B$14,Revenue_Build!BG10&gt;=Assumptions!$F$210*Assumptions!$B$55)),Assumptions!$D$210,0)</f>
        <v/>
      </c>
      <c r="BH12" s="41">
        <f>IF(OR(BG12&gt;0,AND(BH$3&gt;=Assumptions!$E$210,BH$3&gt;=Assumptions!$B$14,Revenue_Build!BH10&gt;=Assumptions!$F$210*Assumptions!$B$55)),Assumptions!$D$210,0)</f>
        <v/>
      </c>
      <c r="BI12" s="41">
        <f>IF(OR(BH12&gt;0,AND(BI$3&gt;=Assumptions!$E$210,BI$3&gt;=Assumptions!$B$14,Revenue_Build!BI10&gt;=Assumptions!$F$210*Assumptions!$B$55)),Assumptions!$D$210,0)</f>
        <v/>
      </c>
      <c r="BJ12" s="41">
        <f>IF(OR(BI12&gt;0,AND(BJ$3&gt;=Assumptions!$E$210,BJ$3&gt;=Assumptions!$B$14,Revenue_Build!BJ10&gt;=Assumptions!$F$210*Assumptions!$B$55)),Assumptions!$D$210,0)</f>
        <v/>
      </c>
    </row>
    <row r="13">
      <c r="A13" s="4" t="inlineStr">
        <is>
          <t>Full-stack engineers</t>
        </is>
      </c>
      <c r="B13" s="17" t="inlineStr">
        <is>
          <t>FTE</t>
        </is>
      </c>
      <c r="C13" s="41">
        <f>IF(AND(C$3&gt;=Assumptions!$E$211,C$3&gt;=Assumptions!$B$14,Revenue_Build!C10&gt;=Assumptions!$F$211*Assumptions!$B$55),Assumptions!$D$211,0)</f>
        <v/>
      </c>
      <c r="D13" s="41">
        <f>IF(OR(C13&gt;0,AND(D$3&gt;=Assumptions!$E$211,D$3&gt;=Assumptions!$B$14,Revenue_Build!D10&gt;=Assumptions!$F$211*Assumptions!$B$55)),Assumptions!$D$211,0)</f>
        <v/>
      </c>
      <c r="E13" s="41">
        <f>IF(OR(D13&gt;0,AND(E$3&gt;=Assumptions!$E$211,E$3&gt;=Assumptions!$B$14,Revenue_Build!E10&gt;=Assumptions!$F$211*Assumptions!$B$55)),Assumptions!$D$211,0)</f>
        <v/>
      </c>
      <c r="F13" s="41">
        <f>IF(OR(E13&gt;0,AND(F$3&gt;=Assumptions!$E$211,F$3&gt;=Assumptions!$B$14,Revenue_Build!F10&gt;=Assumptions!$F$211*Assumptions!$B$55)),Assumptions!$D$211,0)</f>
        <v/>
      </c>
      <c r="G13" s="41">
        <f>IF(OR(F13&gt;0,AND(G$3&gt;=Assumptions!$E$211,G$3&gt;=Assumptions!$B$14,Revenue_Build!G10&gt;=Assumptions!$F$211*Assumptions!$B$55)),Assumptions!$D$211,0)</f>
        <v/>
      </c>
      <c r="H13" s="41">
        <f>IF(OR(G13&gt;0,AND(H$3&gt;=Assumptions!$E$211,H$3&gt;=Assumptions!$B$14,Revenue_Build!H10&gt;=Assumptions!$F$211*Assumptions!$B$55)),Assumptions!$D$211,0)</f>
        <v/>
      </c>
      <c r="I13" s="41">
        <f>IF(OR(H13&gt;0,AND(I$3&gt;=Assumptions!$E$211,I$3&gt;=Assumptions!$B$14,Revenue_Build!I10&gt;=Assumptions!$F$211*Assumptions!$B$55)),Assumptions!$D$211,0)</f>
        <v/>
      </c>
      <c r="J13" s="41">
        <f>IF(OR(I13&gt;0,AND(J$3&gt;=Assumptions!$E$211,J$3&gt;=Assumptions!$B$14,Revenue_Build!J10&gt;=Assumptions!$F$211*Assumptions!$B$55)),Assumptions!$D$211,0)</f>
        <v/>
      </c>
      <c r="K13" s="41">
        <f>IF(OR(J13&gt;0,AND(K$3&gt;=Assumptions!$E$211,K$3&gt;=Assumptions!$B$14,Revenue_Build!K10&gt;=Assumptions!$F$211*Assumptions!$B$55)),Assumptions!$D$211,0)</f>
        <v/>
      </c>
      <c r="L13" s="41">
        <f>IF(OR(K13&gt;0,AND(L$3&gt;=Assumptions!$E$211,L$3&gt;=Assumptions!$B$14,Revenue_Build!L10&gt;=Assumptions!$F$211*Assumptions!$B$55)),Assumptions!$D$211,0)</f>
        <v/>
      </c>
      <c r="M13" s="41">
        <f>IF(OR(L13&gt;0,AND(M$3&gt;=Assumptions!$E$211,M$3&gt;=Assumptions!$B$14,Revenue_Build!M10&gt;=Assumptions!$F$211*Assumptions!$B$55)),Assumptions!$D$211,0)</f>
        <v/>
      </c>
      <c r="N13" s="41">
        <f>IF(OR(M13&gt;0,AND(N$3&gt;=Assumptions!$E$211,N$3&gt;=Assumptions!$B$14,Revenue_Build!N10&gt;=Assumptions!$F$211*Assumptions!$B$55)),Assumptions!$D$211,0)</f>
        <v/>
      </c>
      <c r="O13" s="41">
        <f>IF(OR(N13&gt;0,AND(O$3&gt;=Assumptions!$E$211,O$3&gt;=Assumptions!$B$14,Revenue_Build!O10&gt;=Assumptions!$F$211*Assumptions!$B$55)),Assumptions!$D$211,0)</f>
        <v/>
      </c>
      <c r="P13" s="41">
        <f>IF(OR(O13&gt;0,AND(P$3&gt;=Assumptions!$E$211,P$3&gt;=Assumptions!$B$14,Revenue_Build!P10&gt;=Assumptions!$F$211*Assumptions!$B$55)),Assumptions!$D$211,0)</f>
        <v/>
      </c>
      <c r="Q13" s="41">
        <f>IF(OR(P13&gt;0,AND(Q$3&gt;=Assumptions!$E$211,Q$3&gt;=Assumptions!$B$14,Revenue_Build!Q10&gt;=Assumptions!$F$211*Assumptions!$B$55)),Assumptions!$D$211,0)</f>
        <v/>
      </c>
      <c r="R13" s="41">
        <f>IF(OR(Q13&gt;0,AND(R$3&gt;=Assumptions!$E$211,R$3&gt;=Assumptions!$B$14,Revenue_Build!R10&gt;=Assumptions!$F$211*Assumptions!$B$55)),Assumptions!$D$211,0)</f>
        <v/>
      </c>
      <c r="S13" s="41">
        <f>IF(OR(R13&gt;0,AND(S$3&gt;=Assumptions!$E$211,S$3&gt;=Assumptions!$B$14,Revenue_Build!S10&gt;=Assumptions!$F$211*Assumptions!$B$55)),Assumptions!$D$211,0)</f>
        <v/>
      </c>
      <c r="T13" s="41">
        <f>IF(OR(S13&gt;0,AND(T$3&gt;=Assumptions!$E$211,T$3&gt;=Assumptions!$B$14,Revenue_Build!T10&gt;=Assumptions!$F$211*Assumptions!$B$55)),Assumptions!$D$211,0)</f>
        <v/>
      </c>
      <c r="U13" s="41">
        <f>IF(OR(T13&gt;0,AND(U$3&gt;=Assumptions!$E$211,U$3&gt;=Assumptions!$B$14,Revenue_Build!U10&gt;=Assumptions!$F$211*Assumptions!$B$55)),Assumptions!$D$211,0)</f>
        <v/>
      </c>
      <c r="V13" s="41">
        <f>IF(OR(U13&gt;0,AND(V$3&gt;=Assumptions!$E$211,V$3&gt;=Assumptions!$B$14,Revenue_Build!V10&gt;=Assumptions!$F$211*Assumptions!$B$55)),Assumptions!$D$211,0)</f>
        <v/>
      </c>
      <c r="W13" s="41">
        <f>IF(OR(V13&gt;0,AND(W$3&gt;=Assumptions!$E$211,W$3&gt;=Assumptions!$B$14,Revenue_Build!W10&gt;=Assumptions!$F$211*Assumptions!$B$55)),Assumptions!$D$211,0)</f>
        <v/>
      </c>
      <c r="X13" s="41">
        <f>IF(OR(W13&gt;0,AND(X$3&gt;=Assumptions!$E$211,X$3&gt;=Assumptions!$B$14,Revenue_Build!X10&gt;=Assumptions!$F$211*Assumptions!$B$55)),Assumptions!$D$211,0)</f>
        <v/>
      </c>
      <c r="Y13" s="41">
        <f>IF(OR(X13&gt;0,AND(Y$3&gt;=Assumptions!$E$211,Y$3&gt;=Assumptions!$B$14,Revenue_Build!Y10&gt;=Assumptions!$F$211*Assumptions!$B$55)),Assumptions!$D$211,0)</f>
        <v/>
      </c>
      <c r="Z13" s="41">
        <f>IF(OR(Y13&gt;0,AND(Z$3&gt;=Assumptions!$E$211,Z$3&gt;=Assumptions!$B$14,Revenue_Build!Z10&gt;=Assumptions!$F$211*Assumptions!$B$55)),Assumptions!$D$211,0)</f>
        <v/>
      </c>
      <c r="AA13" s="41">
        <f>IF(OR(Z13&gt;0,AND(AA$3&gt;=Assumptions!$E$211,AA$3&gt;=Assumptions!$B$14,Revenue_Build!AA10&gt;=Assumptions!$F$211*Assumptions!$B$55)),Assumptions!$D$211,0)</f>
        <v/>
      </c>
      <c r="AB13" s="41">
        <f>IF(OR(AA13&gt;0,AND(AB$3&gt;=Assumptions!$E$211,AB$3&gt;=Assumptions!$B$14,Revenue_Build!AB10&gt;=Assumptions!$F$211*Assumptions!$B$55)),Assumptions!$D$211,0)</f>
        <v/>
      </c>
      <c r="AC13" s="41">
        <f>IF(OR(AB13&gt;0,AND(AC$3&gt;=Assumptions!$E$211,AC$3&gt;=Assumptions!$B$14,Revenue_Build!AC10&gt;=Assumptions!$F$211*Assumptions!$B$55)),Assumptions!$D$211,0)</f>
        <v/>
      </c>
      <c r="AD13" s="41">
        <f>IF(OR(AC13&gt;0,AND(AD$3&gt;=Assumptions!$E$211,AD$3&gt;=Assumptions!$B$14,Revenue_Build!AD10&gt;=Assumptions!$F$211*Assumptions!$B$55)),Assumptions!$D$211,0)</f>
        <v/>
      </c>
      <c r="AE13" s="41">
        <f>IF(OR(AD13&gt;0,AND(AE$3&gt;=Assumptions!$E$211,AE$3&gt;=Assumptions!$B$14,Revenue_Build!AE10&gt;=Assumptions!$F$211*Assumptions!$B$55)),Assumptions!$D$211,0)</f>
        <v/>
      </c>
      <c r="AF13" s="41">
        <f>IF(OR(AE13&gt;0,AND(AF$3&gt;=Assumptions!$E$211,AF$3&gt;=Assumptions!$B$14,Revenue_Build!AF10&gt;=Assumptions!$F$211*Assumptions!$B$55)),Assumptions!$D$211,0)</f>
        <v/>
      </c>
      <c r="AG13" s="41">
        <f>IF(OR(AF13&gt;0,AND(AG$3&gt;=Assumptions!$E$211,AG$3&gt;=Assumptions!$B$14,Revenue_Build!AG10&gt;=Assumptions!$F$211*Assumptions!$B$55)),Assumptions!$D$211,0)</f>
        <v/>
      </c>
      <c r="AH13" s="41">
        <f>IF(OR(AG13&gt;0,AND(AH$3&gt;=Assumptions!$E$211,AH$3&gt;=Assumptions!$B$14,Revenue_Build!AH10&gt;=Assumptions!$F$211*Assumptions!$B$55)),Assumptions!$D$211,0)</f>
        <v/>
      </c>
      <c r="AI13" s="41">
        <f>IF(OR(AH13&gt;0,AND(AI$3&gt;=Assumptions!$E$211,AI$3&gt;=Assumptions!$B$14,Revenue_Build!AI10&gt;=Assumptions!$F$211*Assumptions!$B$55)),Assumptions!$D$211,0)</f>
        <v/>
      </c>
      <c r="AJ13" s="41">
        <f>IF(OR(AI13&gt;0,AND(AJ$3&gt;=Assumptions!$E$211,AJ$3&gt;=Assumptions!$B$14,Revenue_Build!AJ10&gt;=Assumptions!$F$211*Assumptions!$B$55)),Assumptions!$D$211,0)</f>
        <v/>
      </c>
      <c r="AK13" s="41">
        <f>IF(OR(AJ13&gt;0,AND(AK$3&gt;=Assumptions!$E$211,AK$3&gt;=Assumptions!$B$14,Revenue_Build!AK10&gt;=Assumptions!$F$211*Assumptions!$B$55)),Assumptions!$D$211,0)</f>
        <v/>
      </c>
      <c r="AL13" s="41">
        <f>IF(OR(AK13&gt;0,AND(AL$3&gt;=Assumptions!$E$211,AL$3&gt;=Assumptions!$B$14,Revenue_Build!AL10&gt;=Assumptions!$F$211*Assumptions!$B$55)),Assumptions!$D$211,0)</f>
        <v/>
      </c>
      <c r="AM13" s="41">
        <f>IF(OR(AL13&gt;0,AND(AM$3&gt;=Assumptions!$E$211,AM$3&gt;=Assumptions!$B$14,Revenue_Build!AM10&gt;=Assumptions!$F$211*Assumptions!$B$55)),Assumptions!$D$211,0)</f>
        <v/>
      </c>
      <c r="AN13" s="41">
        <f>IF(OR(AM13&gt;0,AND(AN$3&gt;=Assumptions!$E$211,AN$3&gt;=Assumptions!$B$14,Revenue_Build!AN10&gt;=Assumptions!$F$211*Assumptions!$B$55)),Assumptions!$D$211,0)</f>
        <v/>
      </c>
      <c r="AO13" s="41">
        <f>IF(OR(AN13&gt;0,AND(AO$3&gt;=Assumptions!$E$211,AO$3&gt;=Assumptions!$B$14,Revenue_Build!AO10&gt;=Assumptions!$F$211*Assumptions!$B$55)),Assumptions!$D$211,0)</f>
        <v/>
      </c>
      <c r="AP13" s="41">
        <f>IF(OR(AO13&gt;0,AND(AP$3&gt;=Assumptions!$E$211,AP$3&gt;=Assumptions!$B$14,Revenue_Build!AP10&gt;=Assumptions!$F$211*Assumptions!$B$55)),Assumptions!$D$211,0)</f>
        <v/>
      </c>
      <c r="AQ13" s="41">
        <f>IF(OR(AP13&gt;0,AND(AQ$3&gt;=Assumptions!$E$211,AQ$3&gt;=Assumptions!$B$14,Revenue_Build!AQ10&gt;=Assumptions!$F$211*Assumptions!$B$55)),Assumptions!$D$211,0)</f>
        <v/>
      </c>
      <c r="AR13" s="41">
        <f>IF(OR(AQ13&gt;0,AND(AR$3&gt;=Assumptions!$E$211,AR$3&gt;=Assumptions!$B$14,Revenue_Build!AR10&gt;=Assumptions!$F$211*Assumptions!$B$55)),Assumptions!$D$211,0)</f>
        <v/>
      </c>
      <c r="AS13" s="41">
        <f>IF(OR(AR13&gt;0,AND(AS$3&gt;=Assumptions!$E$211,AS$3&gt;=Assumptions!$B$14,Revenue_Build!AS10&gt;=Assumptions!$F$211*Assumptions!$B$55)),Assumptions!$D$211,0)</f>
        <v/>
      </c>
      <c r="AT13" s="41">
        <f>IF(OR(AS13&gt;0,AND(AT$3&gt;=Assumptions!$E$211,AT$3&gt;=Assumptions!$B$14,Revenue_Build!AT10&gt;=Assumptions!$F$211*Assumptions!$B$55)),Assumptions!$D$211,0)</f>
        <v/>
      </c>
      <c r="AU13" s="41">
        <f>IF(OR(AT13&gt;0,AND(AU$3&gt;=Assumptions!$E$211,AU$3&gt;=Assumptions!$B$14,Revenue_Build!AU10&gt;=Assumptions!$F$211*Assumptions!$B$55)),Assumptions!$D$211,0)</f>
        <v/>
      </c>
      <c r="AV13" s="41">
        <f>IF(OR(AU13&gt;0,AND(AV$3&gt;=Assumptions!$E$211,AV$3&gt;=Assumptions!$B$14,Revenue_Build!AV10&gt;=Assumptions!$F$211*Assumptions!$B$55)),Assumptions!$D$211,0)</f>
        <v/>
      </c>
      <c r="AW13" s="41">
        <f>IF(OR(AV13&gt;0,AND(AW$3&gt;=Assumptions!$E$211,AW$3&gt;=Assumptions!$B$14,Revenue_Build!AW10&gt;=Assumptions!$F$211*Assumptions!$B$55)),Assumptions!$D$211,0)</f>
        <v/>
      </c>
      <c r="AX13" s="41">
        <f>IF(OR(AW13&gt;0,AND(AX$3&gt;=Assumptions!$E$211,AX$3&gt;=Assumptions!$B$14,Revenue_Build!AX10&gt;=Assumptions!$F$211*Assumptions!$B$55)),Assumptions!$D$211,0)</f>
        <v/>
      </c>
      <c r="AY13" s="41">
        <f>IF(OR(AX13&gt;0,AND(AY$3&gt;=Assumptions!$E$211,AY$3&gt;=Assumptions!$B$14,Revenue_Build!AY10&gt;=Assumptions!$F$211*Assumptions!$B$55)),Assumptions!$D$211,0)</f>
        <v/>
      </c>
      <c r="AZ13" s="41">
        <f>IF(OR(AY13&gt;0,AND(AZ$3&gt;=Assumptions!$E$211,AZ$3&gt;=Assumptions!$B$14,Revenue_Build!AZ10&gt;=Assumptions!$F$211*Assumptions!$B$55)),Assumptions!$D$211,0)</f>
        <v/>
      </c>
      <c r="BA13" s="41">
        <f>IF(OR(AZ13&gt;0,AND(BA$3&gt;=Assumptions!$E$211,BA$3&gt;=Assumptions!$B$14,Revenue_Build!BA10&gt;=Assumptions!$F$211*Assumptions!$B$55)),Assumptions!$D$211,0)</f>
        <v/>
      </c>
      <c r="BB13" s="41">
        <f>IF(OR(BA13&gt;0,AND(BB$3&gt;=Assumptions!$E$211,BB$3&gt;=Assumptions!$B$14,Revenue_Build!BB10&gt;=Assumptions!$F$211*Assumptions!$B$55)),Assumptions!$D$211,0)</f>
        <v/>
      </c>
      <c r="BC13" s="41">
        <f>IF(OR(BB13&gt;0,AND(BC$3&gt;=Assumptions!$E$211,BC$3&gt;=Assumptions!$B$14,Revenue_Build!BC10&gt;=Assumptions!$F$211*Assumptions!$B$55)),Assumptions!$D$211,0)</f>
        <v/>
      </c>
      <c r="BD13" s="41">
        <f>IF(OR(BC13&gt;0,AND(BD$3&gt;=Assumptions!$E$211,BD$3&gt;=Assumptions!$B$14,Revenue_Build!BD10&gt;=Assumptions!$F$211*Assumptions!$B$55)),Assumptions!$D$211,0)</f>
        <v/>
      </c>
      <c r="BE13" s="41">
        <f>IF(OR(BD13&gt;0,AND(BE$3&gt;=Assumptions!$E$211,BE$3&gt;=Assumptions!$B$14,Revenue_Build!BE10&gt;=Assumptions!$F$211*Assumptions!$B$55)),Assumptions!$D$211,0)</f>
        <v/>
      </c>
      <c r="BF13" s="41">
        <f>IF(OR(BE13&gt;0,AND(BF$3&gt;=Assumptions!$E$211,BF$3&gt;=Assumptions!$B$14,Revenue_Build!BF10&gt;=Assumptions!$F$211*Assumptions!$B$55)),Assumptions!$D$211,0)</f>
        <v/>
      </c>
      <c r="BG13" s="41">
        <f>IF(OR(BF13&gt;0,AND(BG$3&gt;=Assumptions!$E$211,BG$3&gt;=Assumptions!$B$14,Revenue_Build!BG10&gt;=Assumptions!$F$211*Assumptions!$B$55)),Assumptions!$D$211,0)</f>
        <v/>
      </c>
      <c r="BH13" s="41">
        <f>IF(OR(BG13&gt;0,AND(BH$3&gt;=Assumptions!$E$211,BH$3&gt;=Assumptions!$B$14,Revenue_Build!BH10&gt;=Assumptions!$F$211*Assumptions!$B$55)),Assumptions!$D$211,0)</f>
        <v/>
      </c>
      <c r="BI13" s="41">
        <f>IF(OR(BH13&gt;0,AND(BI$3&gt;=Assumptions!$E$211,BI$3&gt;=Assumptions!$B$14,Revenue_Build!BI10&gt;=Assumptions!$F$211*Assumptions!$B$55)),Assumptions!$D$211,0)</f>
        <v/>
      </c>
      <c r="BJ13" s="41">
        <f>IF(OR(BI13&gt;0,AND(BJ$3&gt;=Assumptions!$E$211,BJ$3&gt;=Assumptions!$B$14,Revenue_Build!BJ10&gt;=Assumptions!$F$211*Assumptions!$B$55)),Assumptions!$D$211,0)</f>
        <v/>
      </c>
    </row>
    <row r="14">
      <c r="A14" s="4" t="inlineStr">
        <is>
          <t>DevOps / QA engineer</t>
        </is>
      </c>
      <c r="B14" s="17" t="inlineStr">
        <is>
          <t>FTE</t>
        </is>
      </c>
      <c r="C14" s="41">
        <f>IF(AND(C$3&gt;=Assumptions!$E$212,C$3&gt;=Assumptions!$B$14,Revenue_Build!C10&gt;=Assumptions!$F$212*Assumptions!$B$55),Assumptions!$D$212,0)</f>
        <v/>
      </c>
      <c r="D14" s="41">
        <f>IF(OR(C14&gt;0,AND(D$3&gt;=Assumptions!$E$212,D$3&gt;=Assumptions!$B$14,Revenue_Build!D10&gt;=Assumptions!$F$212*Assumptions!$B$55)),Assumptions!$D$212,0)</f>
        <v/>
      </c>
      <c r="E14" s="41">
        <f>IF(OR(D14&gt;0,AND(E$3&gt;=Assumptions!$E$212,E$3&gt;=Assumptions!$B$14,Revenue_Build!E10&gt;=Assumptions!$F$212*Assumptions!$B$55)),Assumptions!$D$212,0)</f>
        <v/>
      </c>
      <c r="F14" s="41">
        <f>IF(OR(E14&gt;0,AND(F$3&gt;=Assumptions!$E$212,F$3&gt;=Assumptions!$B$14,Revenue_Build!F10&gt;=Assumptions!$F$212*Assumptions!$B$55)),Assumptions!$D$212,0)</f>
        <v/>
      </c>
      <c r="G14" s="41">
        <f>IF(OR(F14&gt;0,AND(G$3&gt;=Assumptions!$E$212,G$3&gt;=Assumptions!$B$14,Revenue_Build!G10&gt;=Assumptions!$F$212*Assumptions!$B$55)),Assumptions!$D$212,0)</f>
        <v/>
      </c>
      <c r="H14" s="41">
        <f>IF(OR(G14&gt;0,AND(H$3&gt;=Assumptions!$E$212,H$3&gt;=Assumptions!$B$14,Revenue_Build!H10&gt;=Assumptions!$F$212*Assumptions!$B$55)),Assumptions!$D$212,0)</f>
        <v/>
      </c>
      <c r="I14" s="41">
        <f>IF(OR(H14&gt;0,AND(I$3&gt;=Assumptions!$E$212,I$3&gt;=Assumptions!$B$14,Revenue_Build!I10&gt;=Assumptions!$F$212*Assumptions!$B$55)),Assumptions!$D$212,0)</f>
        <v/>
      </c>
      <c r="J14" s="41">
        <f>IF(OR(I14&gt;0,AND(J$3&gt;=Assumptions!$E$212,J$3&gt;=Assumptions!$B$14,Revenue_Build!J10&gt;=Assumptions!$F$212*Assumptions!$B$55)),Assumptions!$D$212,0)</f>
        <v/>
      </c>
      <c r="K14" s="41">
        <f>IF(OR(J14&gt;0,AND(K$3&gt;=Assumptions!$E$212,K$3&gt;=Assumptions!$B$14,Revenue_Build!K10&gt;=Assumptions!$F$212*Assumptions!$B$55)),Assumptions!$D$212,0)</f>
        <v/>
      </c>
      <c r="L14" s="41">
        <f>IF(OR(K14&gt;0,AND(L$3&gt;=Assumptions!$E$212,L$3&gt;=Assumptions!$B$14,Revenue_Build!L10&gt;=Assumptions!$F$212*Assumptions!$B$55)),Assumptions!$D$212,0)</f>
        <v/>
      </c>
      <c r="M14" s="41">
        <f>IF(OR(L14&gt;0,AND(M$3&gt;=Assumptions!$E$212,M$3&gt;=Assumptions!$B$14,Revenue_Build!M10&gt;=Assumptions!$F$212*Assumptions!$B$55)),Assumptions!$D$212,0)</f>
        <v/>
      </c>
      <c r="N14" s="41">
        <f>IF(OR(M14&gt;0,AND(N$3&gt;=Assumptions!$E$212,N$3&gt;=Assumptions!$B$14,Revenue_Build!N10&gt;=Assumptions!$F$212*Assumptions!$B$55)),Assumptions!$D$212,0)</f>
        <v/>
      </c>
      <c r="O14" s="41">
        <f>IF(OR(N14&gt;0,AND(O$3&gt;=Assumptions!$E$212,O$3&gt;=Assumptions!$B$14,Revenue_Build!O10&gt;=Assumptions!$F$212*Assumptions!$B$55)),Assumptions!$D$212,0)</f>
        <v/>
      </c>
      <c r="P14" s="41">
        <f>IF(OR(O14&gt;0,AND(P$3&gt;=Assumptions!$E$212,P$3&gt;=Assumptions!$B$14,Revenue_Build!P10&gt;=Assumptions!$F$212*Assumptions!$B$55)),Assumptions!$D$212,0)</f>
        <v/>
      </c>
      <c r="Q14" s="41">
        <f>IF(OR(P14&gt;0,AND(Q$3&gt;=Assumptions!$E$212,Q$3&gt;=Assumptions!$B$14,Revenue_Build!Q10&gt;=Assumptions!$F$212*Assumptions!$B$55)),Assumptions!$D$212,0)</f>
        <v/>
      </c>
      <c r="R14" s="41">
        <f>IF(OR(Q14&gt;0,AND(R$3&gt;=Assumptions!$E$212,R$3&gt;=Assumptions!$B$14,Revenue_Build!R10&gt;=Assumptions!$F$212*Assumptions!$B$55)),Assumptions!$D$212,0)</f>
        <v/>
      </c>
      <c r="S14" s="41">
        <f>IF(OR(R14&gt;0,AND(S$3&gt;=Assumptions!$E$212,S$3&gt;=Assumptions!$B$14,Revenue_Build!S10&gt;=Assumptions!$F$212*Assumptions!$B$55)),Assumptions!$D$212,0)</f>
        <v/>
      </c>
      <c r="T14" s="41">
        <f>IF(OR(S14&gt;0,AND(T$3&gt;=Assumptions!$E$212,T$3&gt;=Assumptions!$B$14,Revenue_Build!T10&gt;=Assumptions!$F$212*Assumptions!$B$55)),Assumptions!$D$212,0)</f>
        <v/>
      </c>
      <c r="U14" s="41">
        <f>IF(OR(T14&gt;0,AND(U$3&gt;=Assumptions!$E$212,U$3&gt;=Assumptions!$B$14,Revenue_Build!U10&gt;=Assumptions!$F$212*Assumptions!$B$55)),Assumptions!$D$212,0)</f>
        <v/>
      </c>
      <c r="V14" s="41">
        <f>IF(OR(U14&gt;0,AND(V$3&gt;=Assumptions!$E$212,V$3&gt;=Assumptions!$B$14,Revenue_Build!V10&gt;=Assumptions!$F$212*Assumptions!$B$55)),Assumptions!$D$212,0)</f>
        <v/>
      </c>
      <c r="W14" s="41">
        <f>IF(OR(V14&gt;0,AND(W$3&gt;=Assumptions!$E$212,W$3&gt;=Assumptions!$B$14,Revenue_Build!W10&gt;=Assumptions!$F$212*Assumptions!$B$55)),Assumptions!$D$212,0)</f>
        <v/>
      </c>
      <c r="X14" s="41">
        <f>IF(OR(W14&gt;0,AND(X$3&gt;=Assumptions!$E$212,X$3&gt;=Assumptions!$B$14,Revenue_Build!X10&gt;=Assumptions!$F$212*Assumptions!$B$55)),Assumptions!$D$212,0)</f>
        <v/>
      </c>
      <c r="Y14" s="41">
        <f>IF(OR(X14&gt;0,AND(Y$3&gt;=Assumptions!$E$212,Y$3&gt;=Assumptions!$B$14,Revenue_Build!Y10&gt;=Assumptions!$F$212*Assumptions!$B$55)),Assumptions!$D$212,0)</f>
        <v/>
      </c>
      <c r="Z14" s="41">
        <f>IF(OR(Y14&gt;0,AND(Z$3&gt;=Assumptions!$E$212,Z$3&gt;=Assumptions!$B$14,Revenue_Build!Z10&gt;=Assumptions!$F$212*Assumptions!$B$55)),Assumptions!$D$212,0)</f>
        <v/>
      </c>
      <c r="AA14" s="41">
        <f>IF(OR(Z14&gt;0,AND(AA$3&gt;=Assumptions!$E$212,AA$3&gt;=Assumptions!$B$14,Revenue_Build!AA10&gt;=Assumptions!$F$212*Assumptions!$B$55)),Assumptions!$D$212,0)</f>
        <v/>
      </c>
      <c r="AB14" s="41">
        <f>IF(OR(AA14&gt;0,AND(AB$3&gt;=Assumptions!$E$212,AB$3&gt;=Assumptions!$B$14,Revenue_Build!AB10&gt;=Assumptions!$F$212*Assumptions!$B$55)),Assumptions!$D$212,0)</f>
        <v/>
      </c>
      <c r="AC14" s="41">
        <f>IF(OR(AB14&gt;0,AND(AC$3&gt;=Assumptions!$E$212,AC$3&gt;=Assumptions!$B$14,Revenue_Build!AC10&gt;=Assumptions!$F$212*Assumptions!$B$55)),Assumptions!$D$212,0)</f>
        <v/>
      </c>
      <c r="AD14" s="41">
        <f>IF(OR(AC14&gt;0,AND(AD$3&gt;=Assumptions!$E$212,AD$3&gt;=Assumptions!$B$14,Revenue_Build!AD10&gt;=Assumptions!$F$212*Assumptions!$B$55)),Assumptions!$D$212,0)</f>
        <v/>
      </c>
      <c r="AE14" s="41">
        <f>IF(OR(AD14&gt;0,AND(AE$3&gt;=Assumptions!$E$212,AE$3&gt;=Assumptions!$B$14,Revenue_Build!AE10&gt;=Assumptions!$F$212*Assumptions!$B$55)),Assumptions!$D$212,0)</f>
        <v/>
      </c>
      <c r="AF14" s="41">
        <f>IF(OR(AE14&gt;0,AND(AF$3&gt;=Assumptions!$E$212,AF$3&gt;=Assumptions!$B$14,Revenue_Build!AF10&gt;=Assumptions!$F$212*Assumptions!$B$55)),Assumptions!$D$212,0)</f>
        <v/>
      </c>
      <c r="AG14" s="41">
        <f>IF(OR(AF14&gt;0,AND(AG$3&gt;=Assumptions!$E$212,AG$3&gt;=Assumptions!$B$14,Revenue_Build!AG10&gt;=Assumptions!$F$212*Assumptions!$B$55)),Assumptions!$D$212,0)</f>
        <v/>
      </c>
      <c r="AH14" s="41">
        <f>IF(OR(AG14&gt;0,AND(AH$3&gt;=Assumptions!$E$212,AH$3&gt;=Assumptions!$B$14,Revenue_Build!AH10&gt;=Assumptions!$F$212*Assumptions!$B$55)),Assumptions!$D$212,0)</f>
        <v/>
      </c>
      <c r="AI14" s="41">
        <f>IF(OR(AH14&gt;0,AND(AI$3&gt;=Assumptions!$E$212,AI$3&gt;=Assumptions!$B$14,Revenue_Build!AI10&gt;=Assumptions!$F$212*Assumptions!$B$55)),Assumptions!$D$212,0)</f>
        <v/>
      </c>
      <c r="AJ14" s="41">
        <f>IF(OR(AI14&gt;0,AND(AJ$3&gt;=Assumptions!$E$212,AJ$3&gt;=Assumptions!$B$14,Revenue_Build!AJ10&gt;=Assumptions!$F$212*Assumptions!$B$55)),Assumptions!$D$212,0)</f>
        <v/>
      </c>
      <c r="AK14" s="41">
        <f>IF(OR(AJ14&gt;0,AND(AK$3&gt;=Assumptions!$E$212,AK$3&gt;=Assumptions!$B$14,Revenue_Build!AK10&gt;=Assumptions!$F$212*Assumptions!$B$55)),Assumptions!$D$212,0)</f>
        <v/>
      </c>
      <c r="AL14" s="41">
        <f>IF(OR(AK14&gt;0,AND(AL$3&gt;=Assumptions!$E$212,AL$3&gt;=Assumptions!$B$14,Revenue_Build!AL10&gt;=Assumptions!$F$212*Assumptions!$B$55)),Assumptions!$D$212,0)</f>
        <v/>
      </c>
      <c r="AM14" s="41">
        <f>IF(OR(AL14&gt;0,AND(AM$3&gt;=Assumptions!$E$212,AM$3&gt;=Assumptions!$B$14,Revenue_Build!AM10&gt;=Assumptions!$F$212*Assumptions!$B$55)),Assumptions!$D$212,0)</f>
        <v/>
      </c>
      <c r="AN14" s="41">
        <f>IF(OR(AM14&gt;0,AND(AN$3&gt;=Assumptions!$E$212,AN$3&gt;=Assumptions!$B$14,Revenue_Build!AN10&gt;=Assumptions!$F$212*Assumptions!$B$55)),Assumptions!$D$212,0)</f>
        <v/>
      </c>
      <c r="AO14" s="41">
        <f>IF(OR(AN14&gt;0,AND(AO$3&gt;=Assumptions!$E$212,AO$3&gt;=Assumptions!$B$14,Revenue_Build!AO10&gt;=Assumptions!$F$212*Assumptions!$B$55)),Assumptions!$D$212,0)</f>
        <v/>
      </c>
      <c r="AP14" s="41">
        <f>IF(OR(AO14&gt;0,AND(AP$3&gt;=Assumptions!$E$212,AP$3&gt;=Assumptions!$B$14,Revenue_Build!AP10&gt;=Assumptions!$F$212*Assumptions!$B$55)),Assumptions!$D$212,0)</f>
        <v/>
      </c>
      <c r="AQ14" s="41">
        <f>IF(OR(AP14&gt;0,AND(AQ$3&gt;=Assumptions!$E$212,AQ$3&gt;=Assumptions!$B$14,Revenue_Build!AQ10&gt;=Assumptions!$F$212*Assumptions!$B$55)),Assumptions!$D$212,0)</f>
        <v/>
      </c>
      <c r="AR14" s="41">
        <f>IF(OR(AQ14&gt;0,AND(AR$3&gt;=Assumptions!$E$212,AR$3&gt;=Assumptions!$B$14,Revenue_Build!AR10&gt;=Assumptions!$F$212*Assumptions!$B$55)),Assumptions!$D$212,0)</f>
        <v/>
      </c>
      <c r="AS14" s="41">
        <f>IF(OR(AR14&gt;0,AND(AS$3&gt;=Assumptions!$E$212,AS$3&gt;=Assumptions!$B$14,Revenue_Build!AS10&gt;=Assumptions!$F$212*Assumptions!$B$55)),Assumptions!$D$212,0)</f>
        <v/>
      </c>
      <c r="AT14" s="41">
        <f>IF(OR(AS14&gt;0,AND(AT$3&gt;=Assumptions!$E$212,AT$3&gt;=Assumptions!$B$14,Revenue_Build!AT10&gt;=Assumptions!$F$212*Assumptions!$B$55)),Assumptions!$D$212,0)</f>
        <v/>
      </c>
      <c r="AU14" s="41">
        <f>IF(OR(AT14&gt;0,AND(AU$3&gt;=Assumptions!$E$212,AU$3&gt;=Assumptions!$B$14,Revenue_Build!AU10&gt;=Assumptions!$F$212*Assumptions!$B$55)),Assumptions!$D$212,0)</f>
        <v/>
      </c>
      <c r="AV14" s="41">
        <f>IF(OR(AU14&gt;0,AND(AV$3&gt;=Assumptions!$E$212,AV$3&gt;=Assumptions!$B$14,Revenue_Build!AV10&gt;=Assumptions!$F$212*Assumptions!$B$55)),Assumptions!$D$212,0)</f>
        <v/>
      </c>
      <c r="AW14" s="41">
        <f>IF(OR(AV14&gt;0,AND(AW$3&gt;=Assumptions!$E$212,AW$3&gt;=Assumptions!$B$14,Revenue_Build!AW10&gt;=Assumptions!$F$212*Assumptions!$B$55)),Assumptions!$D$212,0)</f>
        <v/>
      </c>
      <c r="AX14" s="41">
        <f>IF(OR(AW14&gt;0,AND(AX$3&gt;=Assumptions!$E$212,AX$3&gt;=Assumptions!$B$14,Revenue_Build!AX10&gt;=Assumptions!$F$212*Assumptions!$B$55)),Assumptions!$D$212,0)</f>
        <v/>
      </c>
      <c r="AY14" s="41">
        <f>IF(OR(AX14&gt;0,AND(AY$3&gt;=Assumptions!$E$212,AY$3&gt;=Assumptions!$B$14,Revenue_Build!AY10&gt;=Assumptions!$F$212*Assumptions!$B$55)),Assumptions!$D$212,0)</f>
        <v/>
      </c>
      <c r="AZ14" s="41">
        <f>IF(OR(AY14&gt;0,AND(AZ$3&gt;=Assumptions!$E$212,AZ$3&gt;=Assumptions!$B$14,Revenue_Build!AZ10&gt;=Assumptions!$F$212*Assumptions!$B$55)),Assumptions!$D$212,0)</f>
        <v/>
      </c>
      <c r="BA14" s="41">
        <f>IF(OR(AZ14&gt;0,AND(BA$3&gt;=Assumptions!$E$212,BA$3&gt;=Assumptions!$B$14,Revenue_Build!BA10&gt;=Assumptions!$F$212*Assumptions!$B$55)),Assumptions!$D$212,0)</f>
        <v/>
      </c>
      <c r="BB14" s="41">
        <f>IF(OR(BA14&gt;0,AND(BB$3&gt;=Assumptions!$E$212,BB$3&gt;=Assumptions!$B$14,Revenue_Build!BB10&gt;=Assumptions!$F$212*Assumptions!$B$55)),Assumptions!$D$212,0)</f>
        <v/>
      </c>
      <c r="BC14" s="41">
        <f>IF(OR(BB14&gt;0,AND(BC$3&gt;=Assumptions!$E$212,BC$3&gt;=Assumptions!$B$14,Revenue_Build!BC10&gt;=Assumptions!$F$212*Assumptions!$B$55)),Assumptions!$D$212,0)</f>
        <v/>
      </c>
      <c r="BD14" s="41">
        <f>IF(OR(BC14&gt;0,AND(BD$3&gt;=Assumptions!$E$212,BD$3&gt;=Assumptions!$B$14,Revenue_Build!BD10&gt;=Assumptions!$F$212*Assumptions!$B$55)),Assumptions!$D$212,0)</f>
        <v/>
      </c>
      <c r="BE14" s="41">
        <f>IF(OR(BD14&gt;0,AND(BE$3&gt;=Assumptions!$E$212,BE$3&gt;=Assumptions!$B$14,Revenue_Build!BE10&gt;=Assumptions!$F$212*Assumptions!$B$55)),Assumptions!$D$212,0)</f>
        <v/>
      </c>
      <c r="BF14" s="41">
        <f>IF(OR(BE14&gt;0,AND(BF$3&gt;=Assumptions!$E$212,BF$3&gt;=Assumptions!$B$14,Revenue_Build!BF10&gt;=Assumptions!$F$212*Assumptions!$B$55)),Assumptions!$D$212,0)</f>
        <v/>
      </c>
      <c r="BG14" s="41">
        <f>IF(OR(BF14&gt;0,AND(BG$3&gt;=Assumptions!$E$212,BG$3&gt;=Assumptions!$B$14,Revenue_Build!BG10&gt;=Assumptions!$F$212*Assumptions!$B$55)),Assumptions!$D$212,0)</f>
        <v/>
      </c>
      <c r="BH14" s="41">
        <f>IF(OR(BG14&gt;0,AND(BH$3&gt;=Assumptions!$E$212,BH$3&gt;=Assumptions!$B$14,Revenue_Build!BH10&gt;=Assumptions!$F$212*Assumptions!$B$55)),Assumptions!$D$212,0)</f>
        <v/>
      </c>
      <c r="BI14" s="41">
        <f>IF(OR(BH14&gt;0,AND(BI$3&gt;=Assumptions!$E$212,BI$3&gt;=Assumptions!$B$14,Revenue_Build!BI10&gt;=Assumptions!$F$212*Assumptions!$B$55)),Assumptions!$D$212,0)</f>
        <v/>
      </c>
      <c r="BJ14" s="41">
        <f>IF(OR(BI14&gt;0,AND(BJ$3&gt;=Assumptions!$E$212,BJ$3&gt;=Assumptions!$B$14,Revenue_Build!BJ10&gt;=Assumptions!$F$212*Assumptions!$B$55)),Assumptions!$D$212,0)</f>
        <v/>
      </c>
    </row>
    <row r="15">
      <c r="A15" s="4" t="inlineStr">
        <is>
          <t>Integrations engineers (social adapters, commerce, CRM)</t>
        </is>
      </c>
      <c r="B15" s="17" t="inlineStr">
        <is>
          <t>FTE</t>
        </is>
      </c>
      <c r="C15" s="41">
        <f>IF(AND(C$3&gt;=Assumptions!$E$213,C$3&gt;=Assumptions!$B$14,Revenue_Build!C10&gt;=Assumptions!$F$213*Assumptions!$B$55),Assumptions!$D$213,0)</f>
        <v/>
      </c>
      <c r="D15" s="41">
        <f>IF(OR(C15&gt;0,AND(D$3&gt;=Assumptions!$E$213,D$3&gt;=Assumptions!$B$14,Revenue_Build!D10&gt;=Assumptions!$F$213*Assumptions!$B$55)),Assumptions!$D$213,0)</f>
        <v/>
      </c>
      <c r="E15" s="41">
        <f>IF(OR(D15&gt;0,AND(E$3&gt;=Assumptions!$E$213,E$3&gt;=Assumptions!$B$14,Revenue_Build!E10&gt;=Assumptions!$F$213*Assumptions!$B$55)),Assumptions!$D$213,0)</f>
        <v/>
      </c>
      <c r="F15" s="41">
        <f>IF(OR(E15&gt;0,AND(F$3&gt;=Assumptions!$E$213,F$3&gt;=Assumptions!$B$14,Revenue_Build!F10&gt;=Assumptions!$F$213*Assumptions!$B$55)),Assumptions!$D$213,0)</f>
        <v/>
      </c>
      <c r="G15" s="41">
        <f>IF(OR(F15&gt;0,AND(G$3&gt;=Assumptions!$E$213,G$3&gt;=Assumptions!$B$14,Revenue_Build!G10&gt;=Assumptions!$F$213*Assumptions!$B$55)),Assumptions!$D$213,0)</f>
        <v/>
      </c>
      <c r="H15" s="41">
        <f>IF(OR(G15&gt;0,AND(H$3&gt;=Assumptions!$E$213,H$3&gt;=Assumptions!$B$14,Revenue_Build!H10&gt;=Assumptions!$F$213*Assumptions!$B$55)),Assumptions!$D$213,0)</f>
        <v/>
      </c>
      <c r="I15" s="41">
        <f>IF(OR(H15&gt;0,AND(I$3&gt;=Assumptions!$E$213,I$3&gt;=Assumptions!$B$14,Revenue_Build!I10&gt;=Assumptions!$F$213*Assumptions!$B$55)),Assumptions!$D$213,0)</f>
        <v/>
      </c>
      <c r="J15" s="41">
        <f>IF(OR(I15&gt;0,AND(J$3&gt;=Assumptions!$E$213,J$3&gt;=Assumptions!$B$14,Revenue_Build!J10&gt;=Assumptions!$F$213*Assumptions!$B$55)),Assumptions!$D$213,0)</f>
        <v/>
      </c>
      <c r="K15" s="41">
        <f>IF(OR(J15&gt;0,AND(K$3&gt;=Assumptions!$E$213,K$3&gt;=Assumptions!$B$14,Revenue_Build!K10&gt;=Assumptions!$F$213*Assumptions!$B$55)),Assumptions!$D$213,0)</f>
        <v/>
      </c>
      <c r="L15" s="41">
        <f>IF(OR(K15&gt;0,AND(L$3&gt;=Assumptions!$E$213,L$3&gt;=Assumptions!$B$14,Revenue_Build!L10&gt;=Assumptions!$F$213*Assumptions!$B$55)),Assumptions!$D$213,0)</f>
        <v/>
      </c>
      <c r="M15" s="41">
        <f>IF(OR(L15&gt;0,AND(M$3&gt;=Assumptions!$E$213,M$3&gt;=Assumptions!$B$14,Revenue_Build!M10&gt;=Assumptions!$F$213*Assumptions!$B$55)),Assumptions!$D$213,0)</f>
        <v/>
      </c>
      <c r="N15" s="41">
        <f>IF(OR(M15&gt;0,AND(N$3&gt;=Assumptions!$E$213,N$3&gt;=Assumptions!$B$14,Revenue_Build!N10&gt;=Assumptions!$F$213*Assumptions!$B$55)),Assumptions!$D$213,0)</f>
        <v/>
      </c>
      <c r="O15" s="41">
        <f>IF(OR(N15&gt;0,AND(O$3&gt;=Assumptions!$E$213,O$3&gt;=Assumptions!$B$14,Revenue_Build!O10&gt;=Assumptions!$F$213*Assumptions!$B$55)),Assumptions!$D$213,0)</f>
        <v/>
      </c>
      <c r="P15" s="41">
        <f>IF(OR(O15&gt;0,AND(P$3&gt;=Assumptions!$E$213,P$3&gt;=Assumptions!$B$14,Revenue_Build!P10&gt;=Assumptions!$F$213*Assumptions!$B$55)),Assumptions!$D$213,0)</f>
        <v/>
      </c>
      <c r="Q15" s="41">
        <f>IF(OR(P15&gt;0,AND(Q$3&gt;=Assumptions!$E$213,Q$3&gt;=Assumptions!$B$14,Revenue_Build!Q10&gt;=Assumptions!$F$213*Assumptions!$B$55)),Assumptions!$D$213,0)</f>
        <v/>
      </c>
      <c r="R15" s="41">
        <f>IF(OR(Q15&gt;0,AND(R$3&gt;=Assumptions!$E$213,R$3&gt;=Assumptions!$B$14,Revenue_Build!R10&gt;=Assumptions!$F$213*Assumptions!$B$55)),Assumptions!$D$213,0)</f>
        <v/>
      </c>
      <c r="S15" s="41">
        <f>IF(OR(R15&gt;0,AND(S$3&gt;=Assumptions!$E$213,S$3&gt;=Assumptions!$B$14,Revenue_Build!S10&gt;=Assumptions!$F$213*Assumptions!$B$55)),Assumptions!$D$213,0)</f>
        <v/>
      </c>
      <c r="T15" s="41">
        <f>IF(OR(S15&gt;0,AND(T$3&gt;=Assumptions!$E$213,T$3&gt;=Assumptions!$B$14,Revenue_Build!T10&gt;=Assumptions!$F$213*Assumptions!$B$55)),Assumptions!$D$213,0)</f>
        <v/>
      </c>
      <c r="U15" s="41">
        <f>IF(OR(T15&gt;0,AND(U$3&gt;=Assumptions!$E$213,U$3&gt;=Assumptions!$B$14,Revenue_Build!U10&gt;=Assumptions!$F$213*Assumptions!$B$55)),Assumptions!$D$213,0)</f>
        <v/>
      </c>
      <c r="V15" s="41">
        <f>IF(OR(U15&gt;0,AND(V$3&gt;=Assumptions!$E$213,V$3&gt;=Assumptions!$B$14,Revenue_Build!V10&gt;=Assumptions!$F$213*Assumptions!$B$55)),Assumptions!$D$213,0)</f>
        <v/>
      </c>
      <c r="W15" s="41">
        <f>IF(OR(V15&gt;0,AND(W$3&gt;=Assumptions!$E$213,W$3&gt;=Assumptions!$B$14,Revenue_Build!W10&gt;=Assumptions!$F$213*Assumptions!$B$55)),Assumptions!$D$213,0)</f>
        <v/>
      </c>
      <c r="X15" s="41">
        <f>IF(OR(W15&gt;0,AND(X$3&gt;=Assumptions!$E$213,X$3&gt;=Assumptions!$B$14,Revenue_Build!X10&gt;=Assumptions!$F$213*Assumptions!$B$55)),Assumptions!$D$213,0)</f>
        <v/>
      </c>
      <c r="Y15" s="41">
        <f>IF(OR(X15&gt;0,AND(Y$3&gt;=Assumptions!$E$213,Y$3&gt;=Assumptions!$B$14,Revenue_Build!Y10&gt;=Assumptions!$F$213*Assumptions!$B$55)),Assumptions!$D$213,0)</f>
        <v/>
      </c>
      <c r="Z15" s="41">
        <f>IF(OR(Y15&gt;0,AND(Z$3&gt;=Assumptions!$E$213,Z$3&gt;=Assumptions!$B$14,Revenue_Build!Z10&gt;=Assumptions!$F$213*Assumptions!$B$55)),Assumptions!$D$213,0)</f>
        <v/>
      </c>
      <c r="AA15" s="41">
        <f>IF(OR(Z15&gt;0,AND(AA$3&gt;=Assumptions!$E$213,AA$3&gt;=Assumptions!$B$14,Revenue_Build!AA10&gt;=Assumptions!$F$213*Assumptions!$B$55)),Assumptions!$D$213,0)</f>
        <v/>
      </c>
      <c r="AB15" s="41">
        <f>IF(OR(AA15&gt;0,AND(AB$3&gt;=Assumptions!$E$213,AB$3&gt;=Assumptions!$B$14,Revenue_Build!AB10&gt;=Assumptions!$F$213*Assumptions!$B$55)),Assumptions!$D$213,0)</f>
        <v/>
      </c>
      <c r="AC15" s="41">
        <f>IF(OR(AB15&gt;0,AND(AC$3&gt;=Assumptions!$E$213,AC$3&gt;=Assumptions!$B$14,Revenue_Build!AC10&gt;=Assumptions!$F$213*Assumptions!$B$55)),Assumptions!$D$213,0)</f>
        <v/>
      </c>
      <c r="AD15" s="41">
        <f>IF(OR(AC15&gt;0,AND(AD$3&gt;=Assumptions!$E$213,AD$3&gt;=Assumptions!$B$14,Revenue_Build!AD10&gt;=Assumptions!$F$213*Assumptions!$B$55)),Assumptions!$D$213,0)</f>
        <v/>
      </c>
      <c r="AE15" s="41">
        <f>IF(OR(AD15&gt;0,AND(AE$3&gt;=Assumptions!$E$213,AE$3&gt;=Assumptions!$B$14,Revenue_Build!AE10&gt;=Assumptions!$F$213*Assumptions!$B$55)),Assumptions!$D$213,0)</f>
        <v/>
      </c>
      <c r="AF15" s="41">
        <f>IF(OR(AE15&gt;0,AND(AF$3&gt;=Assumptions!$E$213,AF$3&gt;=Assumptions!$B$14,Revenue_Build!AF10&gt;=Assumptions!$F$213*Assumptions!$B$55)),Assumptions!$D$213,0)</f>
        <v/>
      </c>
      <c r="AG15" s="41">
        <f>IF(OR(AF15&gt;0,AND(AG$3&gt;=Assumptions!$E$213,AG$3&gt;=Assumptions!$B$14,Revenue_Build!AG10&gt;=Assumptions!$F$213*Assumptions!$B$55)),Assumptions!$D$213,0)</f>
        <v/>
      </c>
      <c r="AH15" s="41">
        <f>IF(OR(AG15&gt;0,AND(AH$3&gt;=Assumptions!$E$213,AH$3&gt;=Assumptions!$B$14,Revenue_Build!AH10&gt;=Assumptions!$F$213*Assumptions!$B$55)),Assumptions!$D$213,0)</f>
        <v/>
      </c>
      <c r="AI15" s="41">
        <f>IF(OR(AH15&gt;0,AND(AI$3&gt;=Assumptions!$E$213,AI$3&gt;=Assumptions!$B$14,Revenue_Build!AI10&gt;=Assumptions!$F$213*Assumptions!$B$55)),Assumptions!$D$213,0)</f>
        <v/>
      </c>
      <c r="AJ15" s="41">
        <f>IF(OR(AI15&gt;0,AND(AJ$3&gt;=Assumptions!$E$213,AJ$3&gt;=Assumptions!$B$14,Revenue_Build!AJ10&gt;=Assumptions!$F$213*Assumptions!$B$55)),Assumptions!$D$213,0)</f>
        <v/>
      </c>
      <c r="AK15" s="41">
        <f>IF(OR(AJ15&gt;0,AND(AK$3&gt;=Assumptions!$E$213,AK$3&gt;=Assumptions!$B$14,Revenue_Build!AK10&gt;=Assumptions!$F$213*Assumptions!$B$55)),Assumptions!$D$213,0)</f>
        <v/>
      </c>
      <c r="AL15" s="41">
        <f>IF(OR(AK15&gt;0,AND(AL$3&gt;=Assumptions!$E$213,AL$3&gt;=Assumptions!$B$14,Revenue_Build!AL10&gt;=Assumptions!$F$213*Assumptions!$B$55)),Assumptions!$D$213,0)</f>
        <v/>
      </c>
      <c r="AM15" s="41">
        <f>IF(OR(AL15&gt;0,AND(AM$3&gt;=Assumptions!$E$213,AM$3&gt;=Assumptions!$B$14,Revenue_Build!AM10&gt;=Assumptions!$F$213*Assumptions!$B$55)),Assumptions!$D$213,0)</f>
        <v/>
      </c>
      <c r="AN15" s="41">
        <f>IF(OR(AM15&gt;0,AND(AN$3&gt;=Assumptions!$E$213,AN$3&gt;=Assumptions!$B$14,Revenue_Build!AN10&gt;=Assumptions!$F$213*Assumptions!$B$55)),Assumptions!$D$213,0)</f>
        <v/>
      </c>
      <c r="AO15" s="41">
        <f>IF(OR(AN15&gt;0,AND(AO$3&gt;=Assumptions!$E$213,AO$3&gt;=Assumptions!$B$14,Revenue_Build!AO10&gt;=Assumptions!$F$213*Assumptions!$B$55)),Assumptions!$D$213,0)</f>
        <v/>
      </c>
      <c r="AP15" s="41">
        <f>IF(OR(AO15&gt;0,AND(AP$3&gt;=Assumptions!$E$213,AP$3&gt;=Assumptions!$B$14,Revenue_Build!AP10&gt;=Assumptions!$F$213*Assumptions!$B$55)),Assumptions!$D$213,0)</f>
        <v/>
      </c>
      <c r="AQ15" s="41">
        <f>IF(OR(AP15&gt;0,AND(AQ$3&gt;=Assumptions!$E$213,AQ$3&gt;=Assumptions!$B$14,Revenue_Build!AQ10&gt;=Assumptions!$F$213*Assumptions!$B$55)),Assumptions!$D$213,0)</f>
        <v/>
      </c>
      <c r="AR15" s="41">
        <f>IF(OR(AQ15&gt;0,AND(AR$3&gt;=Assumptions!$E$213,AR$3&gt;=Assumptions!$B$14,Revenue_Build!AR10&gt;=Assumptions!$F$213*Assumptions!$B$55)),Assumptions!$D$213,0)</f>
        <v/>
      </c>
      <c r="AS15" s="41">
        <f>IF(OR(AR15&gt;0,AND(AS$3&gt;=Assumptions!$E$213,AS$3&gt;=Assumptions!$B$14,Revenue_Build!AS10&gt;=Assumptions!$F$213*Assumptions!$B$55)),Assumptions!$D$213,0)</f>
        <v/>
      </c>
      <c r="AT15" s="41">
        <f>IF(OR(AS15&gt;0,AND(AT$3&gt;=Assumptions!$E$213,AT$3&gt;=Assumptions!$B$14,Revenue_Build!AT10&gt;=Assumptions!$F$213*Assumptions!$B$55)),Assumptions!$D$213,0)</f>
        <v/>
      </c>
      <c r="AU15" s="41">
        <f>IF(OR(AT15&gt;0,AND(AU$3&gt;=Assumptions!$E$213,AU$3&gt;=Assumptions!$B$14,Revenue_Build!AU10&gt;=Assumptions!$F$213*Assumptions!$B$55)),Assumptions!$D$213,0)</f>
        <v/>
      </c>
      <c r="AV15" s="41">
        <f>IF(OR(AU15&gt;0,AND(AV$3&gt;=Assumptions!$E$213,AV$3&gt;=Assumptions!$B$14,Revenue_Build!AV10&gt;=Assumptions!$F$213*Assumptions!$B$55)),Assumptions!$D$213,0)</f>
        <v/>
      </c>
      <c r="AW15" s="41">
        <f>IF(OR(AV15&gt;0,AND(AW$3&gt;=Assumptions!$E$213,AW$3&gt;=Assumptions!$B$14,Revenue_Build!AW10&gt;=Assumptions!$F$213*Assumptions!$B$55)),Assumptions!$D$213,0)</f>
        <v/>
      </c>
      <c r="AX15" s="41">
        <f>IF(OR(AW15&gt;0,AND(AX$3&gt;=Assumptions!$E$213,AX$3&gt;=Assumptions!$B$14,Revenue_Build!AX10&gt;=Assumptions!$F$213*Assumptions!$B$55)),Assumptions!$D$213,0)</f>
        <v/>
      </c>
      <c r="AY15" s="41">
        <f>IF(OR(AX15&gt;0,AND(AY$3&gt;=Assumptions!$E$213,AY$3&gt;=Assumptions!$B$14,Revenue_Build!AY10&gt;=Assumptions!$F$213*Assumptions!$B$55)),Assumptions!$D$213,0)</f>
        <v/>
      </c>
      <c r="AZ15" s="41">
        <f>IF(OR(AY15&gt;0,AND(AZ$3&gt;=Assumptions!$E$213,AZ$3&gt;=Assumptions!$B$14,Revenue_Build!AZ10&gt;=Assumptions!$F$213*Assumptions!$B$55)),Assumptions!$D$213,0)</f>
        <v/>
      </c>
      <c r="BA15" s="41">
        <f>IF(OR(AZ15&gt;0,AND(BA$3&gt;=Assumptions!$E$213,BA$3&gt;=Assumptions!$B$14,Revenue_Build!BA10&gt;=Assumptions!$F$213*Assumptions!$B$55)),Assumptions!$D$213,0)</f>
        <v/>
      </c>
      <c r="BB15" s="41">
        <f>IF(OR(BA15&gt;0,AND(BB$3&gt;=Assumptions!$E$213,BB$3&gt;=Assumptions!$B$14,Revenue_Build!BB10&gt;=Assumptions!$F$213*Assumptions!$B$55)),Assumptions!$D$213,0)</f>
        <v/>
      </c>
      <c r="BC15" s="41">
        <f>IF(OR(BB15&gt;0,AND(BC$3&gt;=Assumptions!$E$213,BC$3&gt;=Assumptions!$B$14,Revenue_Build!BC10&gt;=Assumptions!$F$213*Assumptions!$B$55)),Assumptions!$D$213,0)</f>
        <v/>
      </c>
      <c r="BD15" s="41">
        <f>IF(OR(BC15&gt;0,AND(BD$3&gt;=Assumptions!$E$213,BD$3&gt;=Assumptions!$B$14,Revenue_Build!BD10&gt;=Assumptions!$F$213*Assumptions!$B$55)),Assumptions!$D$213,0)</f>
        <v/>
      </c>
      <c r="BE15" s="41">
        <f>IF(OR(BD15&gt;0,AND(BE$3&gt;=Assumptions!$E$213,BE$3&gt;=Assumptions!$B$14,Revenue_Build!BE10&gt;=Assumptions!$F$213*Assumptions!$B$55)),Assumptions!$D$213,0)</f>
        <v/>
      </c>
      <c r="BF15" s="41">
        <f>IF(OR(BE15&gt;0,AND(BF$3&gt;=Assumptions!$E$213,BF$3&gt;=Assumptions!$B$14,Revenue_Build!BF10&gt;=Assumptions!$F$213*Assumptions!$B$55)),Assumptions!$D$213,0)</f>
        <v/>
      </c>
      <c r="BG15" s="41">
        <f>IF(OR(BF15&gt;0,AND(BG$3&gt;=Assumptions!$E$213,BG$3&gt;=Assumptions!$B$14,Revenue_Build!BG10&gt;=Assumptions!$F$213*Assumptions!$B$55)),Assumptions!$D$213,0)</f>
        <v/>
      </c>
      <c r="BH15" s="41">
        <f>IF(OR(BG15&gt;0,AND(BH$3&gt;=Assumptions!$E$213,BH$3&gt;=Assumptions!$B$14,Revenue_Build!BH10&gt;=Assumptions!$F$213*Assumptions!$B$55)),Assumptions!$D$213,0)</f>
        <v/>
      </c>
      <c r="BI15" s="41">
        <f>IF(OR(BH15&gt;0,AND(BI$3&gt;=Assumptions!$E$213,BI$3&gt;=Assumptions!$B$14,Revenue_Build!BI10&gt;=Assumptions!$F$213*Assumptions!$B$55)),Assumptions!$D$213,0)</f>
        <v/>
      </c>
      <c r="BJ15" s="41">
        <f>IF(OR(BI15&gt;0,AND(BJ$3&gt;=Assumptions!$E$213,BJ$3&gt;=Assumptions!$B$14,Revenue_Build!BJ10&gt;=Assumptions!$F$213*Assumptions!$B$55)),Assumptions!$D$213,0)</f>
        <v/>
      </c>
    </row>
    <row r="16">
      <c r="A16" s="4" t="inlineStr">
        <is>
          <t>Product manager</t>
        </is>
      </c>
      <c r="B16" s="17" t="inlineStr">
        <is>
          <t>FTE</t>
        </is>
      </c>
      <c r="C16" s="41">
        <f>IF(AND(C$3&gt;=Assumptions!$E$214,C$3&gt;=Assumptions!$B$14,Revenue_Build!C10&gt;=Assumptions!$F$214*Assumptions!$B$55),Assumptions!$D$214,0)</f>
        <v/>
      </c>
      <c r="D16" s="41">
        <f>IF(OR(C16&gt;0,AND(D$3&gt;=Assumptions!$E$214,D$3&gt;=Assumptions!$B$14,Revenue_Build!D10&gt;=Assumptions!$F$214*Assumptions!$B$55)),Assumptions!$D$214,0)</f>
        <v/>
      </c>
      <c r="E16" s="41">
        <f>IF(OR(D16&gt;0,AND(E$3&gt;=Assumptions!$E$214,E$3&gt;=Assumptions!$B$14,Revenue_Build!E10&gt;=Assumptions!$F$214*Assumptions!$B$55)),Assumptions!$D$214,0)</f>
        <v/>
      </c>
      <c r="F16" s="41">
        <f>IF(OR(E16&gt;0,AND(F$3&gt;=Assumptions!$E$214,F$3&gt;=Assumptions!$B$14,Revenue_Build!F10&gt;=Assumptions!$F$214*Assumptions!$B$55)),Assumptions!$D$214,0)</f>
        <v/>
      </c>
      <c r="G16" s="41">
        <f>IF(OR(F16&gt;0,AND(G$3&gt;=Assumptions!$E$214,G$3&gt;=Assumptions!$B$14,Revenue_Build!G10&gt;=Assumptions!$F$214*Assumptions!$B$55)),Assumptions!$D$214,0)</f>
        <v/>
      </c>
      <c r="H16" s="41">
        <f>IF(OR(G16&gt;0,AND(H$3&gt;=Assumptions!$E$214,H$3&gt;=Assumptions!$B$14,Revenue_Build!H10&gt;=Assumptions!$F$214*Assumptions!$B$55)),Assumptions!$D$214,0)</f>
        <v/>
      </c>
      <c r="I16" s="41">
        <f>IF(OR(H16&gt;0,AND(I$3&gt;=Assumptions!$E$214,I$3&gt;=Assumptions!$B$14,Revenue_Build!I10&gt;=Assumptions!$F$214*Assumptions!$B$55)),Assumptions!$D$214,0)</f>
        <v/>
      </c>
      <c r="J16" s="41">
        <f>IF(OR(I16&gt;0,AND(J$3&gt;=Assumptions!$E$214,J$3&gt;=Assumptions!$B$14,Revenue_Build!J10&gt;=Assumptions!$F$214*Assumptions!$B$55)),Assumptions!$D$214,0)</f>
        <v/>
      </c>
      <c r="K16" s="41">
        <f>IF(OR(J16&gt;0,AND(K$3&gt;=Assumptions!$E$214,K$3&gt;=Assumptions!$B$14,Revenue_Build!K10&gt;=Assumptions!$F$214*Assumptions!$B$55)),Assumptions!$D$214,0)</f>
        <v/>
      </c>
      <c r="L16" s="41">
        <f>IF(OR(K16&gt;0,AND(L$3&gt;=Assumptions!$E$214,L$3&gt;=Assumptions!$B$14,Revenue_Build!L10&gt;=Assumptions!$F$214*Assumptions!$B$55)),Assumptions!$D$214,0)</f>
        <v/>
      </c>
      <c r="M16" s="41">
        <f>IF(OR(L16&gt;0,AND(M$3&gt;=Assumptions!$E$214,M$3&gt;=Assumptions!$B$14,Revenue_Build!M10&gt;=Assumptions!$F$214*Assumptions!$B$55)),Assumptions!$D$214,0)</f>
        <v/>
      </c>
      <c r="N16" s="41">
        <f>IF(OR(M16&gt;0,AND(N$3&gt;=Assumptions!$E$214,N$3&gt;=Assumptions!$B$14,Revenue_Build!N10&gt;=Assumptions!$F$214*Assumptions!$B$55)),Assumptions!$D$214,0)</f>
        <v/>
      </c>
      <c r="O16" s="41">
        <f>IF(OR(N16&gt;0,AND(O$3&gt;=Assumptions!$E$214,O$3&gt;=Assumptions!$B$14,Revenue_Build!O10&gt;=Assumptions!$F$214*Assumptions!$B$55)),Assumptions!$D$214,0)</f>
        <v/>
      </c>
      <c r="P16" s="41">
        <f>IF(OR(O16&gt;0,AND(P$3&gt;=Assumptions!$E$214,P$3&gt;=Assumptions!$B$14,Revenue_Build!P10&gt;=Assumptions!$F$214*Assumptions!$B$55)),Assumptions!$D$214,0)</f>
        <v/>
      </c>
      <c r="Q16" s="41">
        <f>IF(OR(P16&gt;0,AND(Q$3&gt;=Assumptions!$E$214,Q$3&gt;=Assumptions!$B$14,Revenue_Build!Q10&gt;=Assumptions!$F$214*Assumptions!$B$55)),Assumptions!$D$214,0)</f>
        <v/>
      </c>
      <c r="R16" s="41">
        <f>IF(OR(Q16&gt;0,AND(R$3&gt;=Assumptions!$E$214,R$3&gt;=Assumptions!$B$14,Revenue_Build!R10&gt;=Assumptions!$F$214*Assumptions!$B$55)),Assumptions!$D$214,0)</f>
        <v/>
      </c>
      <c r="S16" s="41">
        <f>IF(OR(R16&gt;0,AND(S$3&gt;=Assumptions!$E$214,S$3&gt;=Assumptions!$B$14,Revenue_Build!S10&gt;=Assumptions!$F$214*Assumptions!$B$55)),Assumptions!$D$214,0)</f>
        <v/>
      </c>
      <c r="T16" s="41">
        <f>IF(OR(S16&gt;0,AND(T$3&gt;=Assumptions!$E$214,T$3&gt;=Assumptions!$B$14,Revenue_Build!T10&gt;=Assumptions!$F$214*Assumptions!$B$55)),Assumptions!$D$214,0)</f>
        <v/>
      </c>
      <c r="U16" s="41">
        <f>IF(OR(T16&gt;0,AND(U$3&gt;=Assumptions!$E$214,U$3&gt;=Assumptions!$B$14,Revenue_Build!U10&gt;=Assumptions!$F$214*Assumptions!$B$55)),Assumptions!$D$214,0)</f>
        <v/>
      </c>
      <c r="V16" s="41">
        <f>IF(OR(U16&gt;0,AND(V$3&gt;=Assumptions!$E$214,V$3&gt;=Assumptions!$B$14,Revenue_Build!V10&gt;=Assumptions!$F$214*Assumptions!$B$55)),Assumptions!$D$214,0)</f>
        <v/>
      </c>
      <c r="W16" s="41">
        <f>IF(OR(V16&gt;0,AND(W$3&gt;=Assumptions!$E$214,W$3&gt;=Assumptions!$B$14,Revenue_Build!W10&gt;=Assumptions!$F$214*Assumptions!$B$55)),Assumptions!$D$214,0)</f>
        <v/>
      </c>
      <c r="X16" s="41">
        <f>IF(OR(W16&gt;0,AND(X$3&gt;=Assumptions!$E$214,X$3&gt;=Assumptions!$B$14,Revenue_Build!X10&gt;=Assumptions!$F$214*Assumptions!$B$55)),Assumptions!$D$214,0)</f>
        <v/>
      </c>
      <c r="Y16" s="41">
        <f>IF(OR(X16&gt;0,AND(Y$3&gt;=Assumptions!$E$214,Y$3&gt;=Assumptions!$B$14,Revenue_Build!Y10&gt;=Assumptions!$F$214*Assumptions!$B$55)),Assumptions!$D$214,0)</f>
        <v/>
      </c>
      <c r="Z16" s="41">
        <f>IF(OR(Y16&gt;0,AND(Z$3&gt;=Assumptions!$E$214,Z$3&gt;=Assumptions!$B$14,Revenue_Build!Z10&gt;=Assumptions!$F$214*Assumptions!$B$55)),Assumptions!$D$214,0)</f>
        <v/>
      </c>
      <c r="AA16" s="41">
        <f>IF(OR(Z16&gt;0,AND(AA$3&gt;=Assumptions!$E$214,AA$3&gt;=Assumptions!$B$14,Revenue_Build!AA10&gt;=Assumptions!$F$214*Assumptions!$B$55)),Assumptions!$D$214,0)</f>
        <v/>
      </c>
      <c r="AB16" s="41">
        <f>IF(OR(AA16&gt;0,AND(AB$3&gt;=Assumptions!$E$214,AB$3&gt;=Assumptions!$B$14,Revenue_Build!AB10&gt;=Assumptions!$F$214*Assumptions!$B$55)),Assumptions!$D$214,0)</f>
        <v/>
      </c>
      <c r="AC16" s="41">
        <f>IF(OR(AB16&gt;0,AND(AC$3&gt;=Assumptions!$E$214,AC$3&gt;=Assumptions!$B$14,Revenue_Build!AC10&gt;=Assumptions!$F$214*Assumptions!$B$55)),Assumptions!$D$214,0)</f>
        <v/>
      </c>
      <c r="AD16" s="41">
        <f>IF(OR(AC16&gt;0,AND(AD$3&gt;=Assumptions!$E$214,AD$3&gt;=Assumptions!$B$14,Revenue_Build!AD10&gt;=Assumptions!$F$214*Assumptions!$B$55)),Assumptions!$D$214,0)</f>
        <v/>
      </c>
      <c r="AE16" s="41">
        <f>IF(OR(AD16&gt;0,AND(AE$3&gt;=Assumptions!$E$214,AE$3&gt;=Assumptions!$B$14,Revenue_Build!AE10&gt;=Assumptions!$F$214*Assumptions!$B$55)),Assumptions!$D$214,0)</f>
        <v/>
      </c>
      <c r="AF16" s="41">
        <f>IF(OR(AE16&gt;0,AND(AF$3&gt;=Assumptions!$E$214,AF$3&gt;=Assumptions!$B$14,Revenue_Build!AF10&gt;=Assumptions!$F$214*Assumptions!$B$55)),Assumptions!$D$214,0)</f>
        <v/>
      </c>
      <c r="AG16" s="41">
        <f>IF(OR(AF16&gt;0,AND(AG$3&gt;=Assumptions!$E$214,AG$3&gt;=Assumptions!$B$14,Revenue_Build!AG10&gt;=Assumptions!$F$214*Assumptions!$B$55)),Assumptions!$D$214,0)</f>
        <v/>
      </c>
      <c r="AH16" s="41">
        <f>IF(OR(AG16&gt;0,AND(AH$3&gt;=Assumptions!$E$214,AH$3&gt;=Assumptions!$B$14,Revenue_Build!AH10&gt;=Assumptions!$F$214*Assumptions!$B$55)),Assumptions!$D$214,0)</f>
        <v/>
      </c>
      <c r="AI16" s="41">
        <f>IF(OR(AH16&gt;0,AND(AI$3&gt;=Assumptions!$E$214,AI$3&gt;=Assumptions!$B$14,Revenue_Build!AI10&gt;=Assumptions!$F$214*Assumptions!$B$55)),Assumptions!$D$214,0)</f>
        <v/>
      </c>
      <c r="AJ16" s="41">
        <f>IF(OR(AI16&gt;0,AND(AJ$3&gt;=Assumptions!$E$214,AJ$3&gt;=Assumptions!$B$14,Revenue_Build!AJ10&gt;=Assumptions!$F$214*Assumptions!$B$55)),Assumptions!$D$214,0)</f>
        <v/>
      </c>
      <c r="AK16" s="41">
        <f>IF(OR(AJ16&gt;0,AND(AK$3&gt;=Assumptions!$E$214,AK$3&gt;=Assumptions!$B$14,Revenue_Build!AK10&gt;=Assumptions!$F$214*Assumptions!$B$55)),Assumptions!$D$214,0)</f>
        <v/>
      </c>
      <c r="AL16" s="41">
        <f>IF(OR(AK16&gt;0,AND(AL$3&gt;=Assumptions!$E$214,AL$3&gt;=Assumptions!$B$14,Revenue_Build!AL10&gt;=Assumptions!$F$214*Assumptions!$B$55)),Assumptions!$D$214,0)</f>
        <v/>
      </c>
      <c r="AM16" s="41">
        <f>IF(OR(AL16&gt;0,AND(AM$3&gt;=Assumptions!$E$214,AM$3&gt;=Assumptions!$B$14,Revenue_Build!AM10&gt;=Assumptions!$F$214*Assumptions!$B$55)),Assumptions!$D$214,0)</f>
        <v/>
      </c>
      <c r="AN16" s="41">
        <f>IF(OR(AM16&gt;0,AND(AN$3&gt;=Assumptions!$E$214,AN$3&gt;=Assumptions!$B$14,Revenue_Build!AN10&gt;=Assumptions!$F$214*Assumptions!$B$55)),Assumptions!$D$214,0)</f>
        <v/>
      </c>
      <c r="AO16" s="41">
        <f>IF(OR(AN16&gt;0,AND(AO$3&gt;=Assumptions!$E$214,AO$3&gt;=Assumptions!$B$14,Revenue_Build!AO10&gt;=Assumptions!$F$214*Assumptions!$B$55)),Assumptions!$D$214,0)</f>
        <v/>
      </c>
      <c r="AP16" s="41">
        <f>IF(OR(AO16&gt;0,AND(AP$3&gt;=Assumptions!$E$214,AP$3&gt;=Assumptions!$B$14,Revenue_Build!AP10&gt;=Assumptions!$F$214*Assumptions!$B$55)),Assumptions!$D$214,0)</f>
        <v/>
      </c>
      <c r="AQ16" s="41">
        <f>IF(OR(AP16&gt;0,AND(AQ$3&gt;=Assumptions!$E$214,AQ$3&gt;=Assumptions!$B$14,Revenue_Build!AQ10&gt;=Assumptions!$F$214*Assumptions!$B$55)),Assumptions!$D$214,0)</f>
        <v/>
      </c>
      <c r="AR16" s="41">
        <f>IF(OR(AQ16&gt;0,AND(AR$3&gt;=Assumptions!$E$214,AR$3&gt;=Assumptions!$B$14,Revenue_Build!AR10&gt;=Assumptions!$F$214*Assumptions!$B$55)),Assumptions!$D$214,0)</f>
        <v/>
      </c>
      <c r="AS16" s="41">
        <f>IF(OR(AR16&gt;0,AND(AS$3&gt;=Assumptions!$E$214,AS$3&gt;=Assumptions!$B$14,Revenue_Build!AS10&gt;=Assumptions!$F$214*Assumptions!$B$55)),Assumptions!$D$214,0)</f>
        <v/>
      </c>
      <c r="AT16" s="41">
        <f>IF(OR(AS16&gt;0,AND(AT$3&gt;=Assumptions!$E$214,AT$3&gt;=Assumptions!$B$14,Revenue_Build!AT10&gt;=Assumptions!$F$214*Assumptions!$B$55)),Assumptions!$D$214,0)</f>
        <v/>
      </c>
      <c r="AU16" s="41">
        <f>IF(OR(AT16&gt;0,AND(AU$3&gt;=Assumptions!$E$214,AU$3&gt;=Assumptions!$B$14,Revenue_Build!AU10&gt;=Assumptions!$F$214*Assumptions!$B$55)),Assumptions!$D$214,0)</f>
        <v/>
      </c>
      <c r="AV16" s="41">
        <f>IF(OR(AU16&gt;0,AND(AV$3&gt;=Assumptions!$E$214,AV$3&gt;=Assumptions!$B$14,Revenue_Build!AV10&gt;=Assumptions!$F$214*Assumptions!$B$55)),Assumptions!$D$214,0)</f>
        <v/>
      </c>
      <c r="AW16" s="41">
        <f>IF(OR(AV16&gt;0,AND(AW$3&gt;=Assumptions!$E$214,AW$3&gt;=Assumptions!$B$14,Revenue_Build!AW10&gt;=Assumptions!$F$214*Assumptions!$B$55)),Assumptions!$D$214,0)</f>
        <v/>
      </c>
      <c r="AX16" s="41">
        <f>IF(OR(AW16&gt;0,AND(AX$3&gt;=Assumptions!$E$214,AX$3&gt;=Assumptions!$B$14,Revenue_Build!AX10&gt;=Assumptions!$F$214*Assumptions!$B$55)),Assumptions!$D$214,0)</f>
        <v/>
      </c>
      <c r="AY16" s="41">
        <f>IF(OR(AX16&gt;0,AND(AY$3&gt;=Assumptions!$E$214,AY$3&gt;=Assumptions!$B$14,Revenue_Build!AY10&gt;=Assumptions!$F$214*Assumptions!$B$55)),Assumptions!$D$214,0)</f>
        <v/>
      </c>
      <c r="AZ16" s="41">
        <f>IF(OR(AY16&gt;0,AND(AZ$3&gt;=Assumptions!$E$214,AZ$3&gt;=Assumptions!$B$14,Revenue_Build!AZ10&gt;=Assumptions!$F$214*Assumptions!$B$55)),Assumptions!$D$214,0)</f>
        <v/>
      </c>
      <c r="BA16" s="41">
        <f>IF(OR(AZ16&gt;0,AND(BA$3&gt;=Assumptions!$E$214,BA$3&gt;=Assumptions!$B$14,Revenue_Build!BA10&gt;=Assumptions!$F$214*Assumptions!$B$55)),Assumptions!$D$214,0)</f>
        <v/>
      </c>
      <c r="BB16" s="41">
        <f>IF(OR(BA16&gt;0,AND(BB$3&gt;=Assumptions!$E$214,BB$3&gt;=Assumptions!$B$14,Revenue_Build!BB10&gt;=Assumptions!$F$214*Assumptions!$B$55)),Assumptions!$D$214,0)</f>
        <v/>
      </c>
      <c r="BC16" s="41">
        <f>IF(OR(BB16&gt;0,AND(BC$3&gt;=Assumptions!$E$214,BC$3&gt;=Assumptions!$B$14,Revenue_Build!BC10&gt;=Assumptions!$F$214*Assumptions!$B$55)),Assumptions!$D$214,0)</f>
        <v/>
      </c>
      <c r="BD16" s="41">
        <f>IF(OR(BC16&gt;0,AND(BD$3&gt;=Assumptions!$E$214,BD$3&gt;=Assumptions!$B$14,Revenue_Build!BD10&gt;=Assumptions!$F$214*Assumptions!$B$55)),Assumptions!$D$214,0)</f>
        <v/>
      </c>
      <c r="BE16" s="41">
        <f>IF(OR(BD16&gt;0,AND(BE$3&gt;=Assumptions!$E$214,BE$3&gt;=Assumptions!$B$14,Revenue_Build!BE10&gt;=Assumptions!$F$214*Assumptions!$B$55)),Assumptions!$D$214,0)</f>
        <v/>
      </c>
      <c r="BF16" s="41">
        <f>IF(OR(BE16&gt;0,AND(BF$3&gt;=Assumptions!$E$214,BF$3&gt;=Assumptions!$B$14,Revenue_Build!BF10&gt;=Assumptions!$F$214*Assumptions!$B$55)),Assumptions!$D$214,0)</f>
        <v/>
      </c>
      <c r="BG16" s="41">
        <f>IF(OR(BF16&gt;0,AND(BG$3&gt;=Assumptions!$E$214,BG$3&gt;=Assumptions!$B$14,Revenue_Build!BG10&gt;=Assumptions!$F$214*Assumptions!$B$55)),Assumptions!$D$214,0)</f>
        <v/>
      </c>
      <c r="BH16" s="41">
        <f>IF(OR(BG16&gt;0,AND(BH$3&gt;=Assumptions!$E$214,BH$3&gt;=Assumptions!$B$14,Revenue_Build!BH10&gt;=Assumptions!$F$214*Assumptions!$B$55)),Assumptions!$D$214,0)</f>
        <v/>
      </c>
      <c r="BI16" s="41">
        <f>IF(OR(BH16&gt;0,AND(BI$3&gt;=Assumptions!$E$214,BI$3&gt;=Assumptions!$B$14,Revenue_Build!BI10&gt;=Assumptions!$F$214*Assumptions!$B$55)),Assumptions!$D$214,0)</f>
        <v/>
      </c>
      <c r="BJ16" s="41">
        <f>IF(OR(BI16&gt;0,AND(BJ$3&gt;=Assumptions!$E$214,BJ$3&gt;=Assumptions!$B$14,Revenue_Build!BJ10&gt;=Assumptions!$F$214*Assumptions!$B$55)),Assumptions!$D$214,0)</f>
        <v/>
      </c>
    </row>
    <row r="17">
      <c r="A17" s="4" t="inlineStr">
        <is>
          <t>Security &amp; compliance engineer</t>
        </is>
      </c>
      <c r="B17" s="17" t="inlineStr">
        <is>
          <t>FTE</t>
        </is>
      </c>
      <c r="C17" s="41">
        <f>IF(AND(C$3&gt;=Assumptions!$E$215,C$3&gt;=Assumptions!$B$14,Revenue_Build!C10&gt;=Assumptions!$F$215*Assumptions!$B$55),Assumptions!$D$215,0)</f>
        <v/>
      </c>
      <c r="D17" s="41">
        <f>IF(OR(C17&gt;0,AND(D$3&gt;=Assumptions!$E$215,D$3&gt;=Assumptions!$B$14,Revenue_Build!D10&gt;=Assumptions!$F$215*Assumptions!$B$55)),Assumptions!$D$215,0)</f>
        <v/>
      </c>
      <c r="E17" s="41">
        <f>IF(OR(D17&gt;0,AND(E$3&gt;=Assumptions!$E$215,E$3&gt;=Assumptions!$B$14,Revenue_Build!E10&gt;=Assumptions!$F$215*Assumptions!$B$55)),Assumptions!$D$215,0)</f>
        <v/>
      </c>
      <c r="F17" s="41">
        <f>IF(OR(E17&gt;0,AND(F$3&gt;=Assumptions!$E$215,F$3&gt;=Assumptions!$B$14,Revenue_Build!F10&gt;=Assumptions!$F$215*Assumptions!$B$55)),Assumptions!$D$215,0)</f>
        <v/>
      </c>
      <c r="G17" s="41">
        <f>IF(OR(F17&gt;0,AND(G$3&gt;=Assumptions!$E$215,G$3&gt;=Assumptions!$B$14,Revenue_Build!G10&gt;=Assumptions!$F$215*Assumptions!$B$55)),Assumptions!$D$215,0)</f>
        <v/>
      </c>
      <c r="H17" s="41">
        <f>IF(OR(G17&gt;0,AND(H$3&gt;=Assumptions!$E$215,H$3&gt;=Assumptions!$B$14,Revenue_Build!H10&gt;=Assumptions!$F$215*Assumptions!$B$55)),Assumptions!$D$215,0)</f>
        <v/>
      </c>
      <c r="I17" s="41">
        <f>IF(OR(H17&gt;0,AND(I$3&gt;=Assumptions!$E$215,I$3&gt;=Assumptions!$B$14,Revenue_Build!I10&gt;=Assumptions!$F$215*Assumptions!$B$55)),Assumptions!$D$215,0)</f>
        <v/>
      </c>
      <c r="J17" s="41">
        <f>IF(OR(I17&gt;0,AND(J$3&gt;=Assumptions!$E$215,J$3&gt;=Assumptions!$B$14,Revenue_Build!J10&gt;=Assumptions!$F$215*Assumptions!$B$55)),Assumptions!$D$215,0)</f>
        <v/>
      </c>
      <c r="K17" s="41">
        <f>IF(OR(J17&gt;0,AND(K$3&gt;=Assumptions!$E$215,K$3&gt;=Assumptions!$B$14,Revenue_Build!K10&gt;=Assumptions!$F$215*Assumptions!$B$55)),Assumptions!$D$215,0)</f>
        <v/>
      </c>
      <c r="L17" s="41">
        <f>IF(OR(K17&gt;0,AND(L$3&gt;=Assumptions!$E$215,L$3&gt;=Assumptions!$B$14,Revenue_Build!L10&gt;=Assumptions!$F$215*Assumptions!$B$55)),Assumptions!$D$215,0)</f>
        <v/>
      </c>
      <c r="M17" s="41">
        <f>IF(OR(L17&gt;0,AND(M$3&gt;=Assumptions!$E$215,M$3&gt;=Assumptions!$B$14,Revenue_Build!M10&gt;=Assumptions!$F$215*Assumptions!$B$55)),Assumptions!$D$215,0)</f>
        <v/>
      </c>
      <c r="N17" s="41">
        <f>IF(OR(M17&gt;0,AND(N$3&gt;=Assumptions!$E$215,N$3&gt;=Assumptions!$B$14,Revenue_Build!N10&gt;=Assumptions!$F$215*Assumptions!$B$55)),Assumptions!$D$215,0)</f>
        <v/>
      </c>
      <c r="O17" s="41">
        <f>IF(OR(N17&gt;0,AND(O$3&gt;=Assumptions!$E$215,O$3&gt;=Assumptions!$B$14,Revenue_Build!O10&gt;=Assumptions!$F$215*Assumptions!$B$55)),Assumptions!$D$215,0)</f>
        <v/>
      </c>
      <c r="P17" s="41">
        <f>IF(OR(O17&gt;0,AND(P$3&gt;=Assumptions!$E$215,P$3&gt;=Assumptions!$B$14,Revenue_Build!P10&gt;=Assumptions!$F$215*Assumptions!$B$55)),Assumptions!$D$215,0)</f>
        <v/>
      </c>
      <c r="Q17" s="41">
        <f>IF(OR(P17&gt;0,AND(Q$3&gt;=Assumptions!$E$215,Q$3&gt;=Assumptions!$B$14,Revenue_Build!Q10&gt;=Assumptions!$F$215*Assumptions!$B$55)),Assumptions!$D$215,0)</f>
        <v/>
      </c>
      <c r="R17" s="41">
        <f>IF(OR(Q17&gt;0,AND(R$3&gt;=Assumptions!$E$215,R$3&gt;=Assumptions!$B$14,Revenue_Build!R10&gt;=Assumptions!$F$215*Assumptions!$B$55)),Assumptions!$D$215,0)</f>
        <v/>
      </c>
      <c r="S17" s="41">
        <f>IF(OR(R17&gt;0,AND(S$3&gt;=Assumptions!$E$215,S$3&gt;=Assumptions!$B$14,Revenue_Build!S10&gt;=Assumptions!$F$215*Assumptions!$B$55)),Assumptions!$D$215,0)</f>
        <v/>
      </c>
      <c r="T17" s="41">
        <f>IF(OR(S17&gt;0,AND(T$3&gt;=Assumptions!$E$215,T$3&gt;=Assumptions!$B$14,Revenue_Build!T10&gt;=Assumptions!$F$215*Assumptions!$B$55)),Assumptions!$D$215,0)</f>
        <v/>
      </c>
      <c r="U17" s="41">
        <f>IF(OR(T17&gt;0,AND(U$3&gt;=Assumptions!$E$215,U$3&gt;=Assumptions!$B$14,Revenue_Build!U10&gt;=Assumptions!$F$215*Assumptions!$B$55)),Assumptions!$D$215,0)</f>
        <v/>
      </c>
      <c r="V17" s="41">
        <f>IF(OR(U17&gt;0,AND(V$3&gt;=Assumptions!$E$215,V$3&gt;=Assumptions!$B$14,Revenue_Build!V10&gt;=Assumptions!$F$215*Assumptions!$B$55)),Assumptions!$D$215,0)</f>
        <v/>
      </c>
      <c r="W17" s="41">
        <f>IF(OR(V17&gt;0,AND(W$3&gt;=Assumptions!$E$215,W$3&gt;=Assumptions!$B$14,Revenue_Build!W10&gt;=Assumptions!$F$215*Assumptions!$B$55)),Assumptions!$D$215,0)</f>
        <v/>
      </c>
      <c r="X17" s="41">
        <f>IF(OR(W17&gt;0,AND(X$3&gt;=Assumptions!$E$215,X$3&gt;=Assumptions!$B$14,Revenue_Build!X10&gt;=Assumptions!$F$215*Assumptions!$B$55)),Assumptions!$D$215,0)</f>
        <v/>
      </c>
      <c r="Y17" s="41">
        <f>IF(OR(X17&gt;0,AND(Y$3&gt;=Assumptions!$E$215,Y$3&gt;=Assumptions!$B$14,Revenue_Build!Y10&gt;=Assumptions!$F$215*Assumptions!$B$55)),Assumptions!$D$215,0)</f>
        <v/>
      </c>
      <c r="Z17" s="41">
        <f>IF(OR(Y17&gt;0,AND(Z$3&gt;=Assumptions!$E$215,Z$3&gt;=Assumptions!$B$14,Revenue_Build!Z10&gt;=Assumptions!$F$215*Assumptions!$B$55)),Assumptions!$D$215,0)</f>
        <v/>
      </c>
      <c r="AA17" s="41">
        <f>IF(OR(Z17&gt;0,AND(AA$3&gt;=Assumptions!$E$215,AA$3&gt;=Assumptions!$B$14,Revenue_Build!AA10&gt;=Assumptions!$F$215*Assumptions!$B$55)),Assumptions!$D$215,0)</f>
        <v/>
      </c>
      <c r="AB17" s="41">
        <f>IF(OR(AA17&gt;0,AND(AB$3&gt;=Assumptions!$E$215,AB$3&gt;=Assumptions!$B$14,Revenue_Build!AB10&gt;=Assumptions!$F$215*Assumptions!$B$55)),Assumptions!$D$215,0)</f>
        <v/>
      </c>
      <c r="AC17" s="41">
        <f>IF(OR(AB17&gt;0,AND(AC$3&gt;=Assumptions!$E$215,AC$3&gt;=Assumptions!$B$14,Revenue_Build!AC10&gt;=Assumptions!$F$215*Assumptions!$B$55)),Assumptions!$D$215,0)</f>
        <v/>
      </c>
      <c r="AD17" s="41">
        <f>IF(OR(AC17&gt;0,AND(AD$3&gt;=Assumptions!$E$215,AD$3&gt;=Assumptions!$B$14,Revenue_Build!AD10&gt;=Assumptions!$F$215*Assumptions!$B$55)),Assumptions!$D$215,0)</f>
        <v/>
      </c>
      <c r="AE17" s="41">
        <f>IF(OR(AD17&gt;0,AND(AE$3&gt;=Assumptions!$E$215,AE$3&gt;=Assumptions!$B$14,Revenue_Build!AE10&gt;=Assumptions!$F$215*Assumptions!$B$55)),Assumptions!$D$215,0)</f>
        <v/>
      </c>
      <c r="AF17" s="41">
        <f>IF(OR(AE17&gt;0,AND(AF$3&gt;=Assumptions!$E$215,AF$3&gt;=Assumptions!$B$14,Revenue_Build!AF10&gt;=Assumptions!$F$215*Assumptions!$B$55)),Assumptions!$D$215,0)</f>
        <v/>
      </c>
      <c r="AG17" s="41">
        <f>IF(OR(AF17&gt;0,AND(AG$3&gt;=Assumptions!$E$215,AG$3&gt;=Assumptions!$B$14,Revenue_Build!AG10&gt;=Assumptions!$F$215*Assumptions!$B$55)),Assumptions!$D$215,0)</f>
        <v/>
      </c>
      <c r="AH17" s="41">
        <f>IF(OR(AG17&gt;0,AND(AH$3&gt;=Assumptions!$E$215,AH$3&gt;=Assumptions!$B$14,Revenue_Build!AH10&gt;=Assumptions!$F$215*Assumptions!$B$55)),Assumptions!$D$215,0)</f>
        <v/>
      </c>
      <c r="AI17" s="41">
        <f>IF(OR(AH17&gt;0,AND(AI$3&gt;=Assumptions!$E$215,AI$3&gt;=Assumptions!$B$14,Revenue_Build!AI10&gt;=Assumptions!$F$215*Assumptions!$B$55)),Assumptions!$D$215,0)</f>
        <v/>
      </c>
      <c r="AJ17" s="41">
        <f>IF(OR(AI17&gt;0,AND(AJ$3&gt;=Assumptions!$E$215,AJ$3&gt;=Assumptions!$B$14,Revenue_Build!AJ10&gt;=Assumptions!$F$215*Assumptions!$B$55)),Assumptions!$D$215,0)</f>
        <v/>
      </c>
      <c r="AK17" s="41">
        <f>IF(OR(AJ17&gt;0,AND(AK$3&gt;=Assumptions!$E$215,AK$3&gt;=Assumptions!$B$14,Revenue_Build!AK10&gt;=Assumptions!$F$215*Assumptions!$B$55)),Assumptions!$D$215,0)</f>
        <v/>
      </c>
      <c r="AL17" s="41">
        <f>IF(OR(AK17&gt;0,AND(AL$3&gt;=Assumptions!$E$215,AL$3&gt;=Assumptions!$B$14,Revenue_Build!AL10&gt;=Assumptions!$F$215*Assumptions!$B$55)),Assumptions!$D$215,0)</f>
        <v/>
      </c>
      <c r="AM17" s="41">
        <f>IF(OR(AL17&gt;0,AND(AM$3&gt;=Assumptions!$E$215,AM$3&gt;=Assumptions!$B$14,Revenue_Build!AM10&gt;=Assumptions!$F$215*Assumptions!$B$55)),Assumptions!$D$215,0)</f>
        <v/>
      </c>
      <c r="AN17" s="41">
        <f>IF(OR(AM17&gt;0,AND(AN$3&gt;=Assumptions!$E$215,AN$3&gt;=Assumptions!$B$14,Revenue_Build!AN10&gt;=Assumptions!$F$215*Assumptions!$B$55)),Assumptions!$D$215,0)</f>
        <v/>
      </c>
      <c r="AO17" s="41">
        <f>IF(OR(AN17&gt;0,AND(AO$3&gt;=Assumptions!$E$215,AO$3&gt;=Assumptions!$B$14,Revenue_Build!AO10&gt;=Assumptions!$F$215*Assumptions!$B$55)),Assumptions!$D$215,0)</f>
        <v/>
      </c>
      <c r="AP17" s="41">
        <f>IF(OR(AO17&gt;0,AND(AP$3&gt;=Assumptions!$E$215,AP$3&gt;=Assumptions!$B$14,Revenue_Build!AP10&gt;=Assumptions!$F$215*Assumptions!$B$55)),Assumptions!$D$215,0)</f>
        <v/>
      </c>
      <c r="AQ17" s="41">
        <f>IF(OR(AP17&gt;0,AND(AQ$3&gt;=Assumptions!$E$215,AQ$3&gt;=Assumptions!$B$14,Revenue_Build!AQ10&gt;=Assumptions!$F$215*Assumptions!$B$55)),Assumptions!$D$215,0)</f>
        <v/>
      </c>
      <c r="AR17" s="41">
        <f>IF(OR(AQ17&gt;0,AND(AR$3&gt;=Assumptions!$E$215,AR$3&gt;=Assumptions!$B$14,Revenue_Build!AR10&gt;=Assumptions!$F$215*Assumptions!$B$55)),Assumptions!$D$215,0)</f>
        <v/>
      </c>
      <c r="AS17" s="41">
        <f>IF(OR(AR17&gt;0,AND(AS$3&gt;=Assumptions!$E$215,AS$3&gt;=Assumptions!$B$14,Revenue_Build!AS10&gt;=Assumptions!$F$215*Assumptions!$B$55)),Assumptions!$D$215,0)</f>
        <v/>
      </c>
      <c r="AT17" s="41">
        <f>IF(OR(AS17&gt;0,AND(AT$3&gt;=Assumptions!$E$215,AT$3&gt;=Assumptions!$B$14,Revenue_Build!AT10&gt;=Assumptions!$F$215*Assumptions!$B$55)),Assumptions!$D$215,0)</f>
        <v/>
      </c>
      <c r="AU17" s="41">
        <f>IF(OR(AT17&gt;0,AND(AU$3&gt;=Assumptions!$E$215,AU$3&gt;=Assumptions!$B$14,Revenue_Build!AU10&gt;=Assumptions!$F$215*Assumptions!$B$55)),Assumptions!$D$215,0)</f>
        <v/>
      </c>
      <c r="AV17" s="41">
        <f>IF(OR(AU17&gt;0,AND(AV$3&gt;=Assumptions!$E$215,AV$3&gt;=Assumptions!$B$14,Revenue_Build!AV10&gt;=Assumptions!$F$215*Assumptions!$B$55)),Assumptions!$D$215,0)</f>
        <v/>
      </c>
      <c r="AW17" s="41">
        <f>IF(OR(AV17&gt;0,AND(AW$3&gt;=Assumptions!$E$215,AW$3&gt;=Assumptions!$B$14,Revenue_Build!AW10&gt;=Assumptions!$F$215*Assumptions!$B$55)),Assumptions!$D$215,0)</f>
        <v/>
      </c>
      <c r="AX17" s="41">
        <f>IF(OR(AW17&gt;0,AND(AX$3&gt;=Assumptions!$E$215,AX$3&gt;=Assumptions!$B$14,Revenue_Build!AX10&gt;=Assumptions!$F$215*Assumptions!$B$55)),Assumptions!$D$215,0)</f>
        <v/>
      </c>
      <c r="AY17" s="41">
        <f>IF(OR(AX17&gt;0,AND(AY$3&gt;=Assumptions!$E$215,AY$3&gt;=Assumptions!$B$14,Revenue_Build!AY10&gt;=Assumptions!$F$215*Assumptions!$B$55)),Assumptions!$D$215,0)</f>
        <v/>
      </c>
      <c r="AZ17" s="41">
        <f>IF(OR(AY17&gt;0,AND(AZ$3&gt;=Assumptions!$E$215,AZ$3&gt;=Assumptions!$B$14,Revenue_Build!AZ10&gt;=Assumptions!$F$215*Assumptions!$B$55)),Assumptions!$D$215,0)</f>
        <v/>
      </c>
      <c r="BA17" s="41">
        <f>IF(OR(AZ17&gt;0,AND(BA$3&gt;=Assumptions!$E$215,BA$3&gt;=Assumptions!$B$14,Revenue_Build!BA10&gt;=Assumptions!$F$215*Assumptions!$B$55)),Assumptions!$D$215,0)</f>
        <v/>
      </c>
      <c r="BB17" s="41">
        <f>IF(OR(BA17&gt;0,AND(BB$3&gt;=Assumptions!$E$215,BB$3&gt;=Assumptions!$B$14,Revenue_Build!BB10&gt;=Assumptions!$F$215*Assumptions!$B$55)),Assumptions!$D$215,0)</f>
        <v/>
      </c>
      <c r="BC17" s="41">
        <f>IF(OR(BB17&gt;0,AND(BC$3&gt;=Assumptions!$E$215,BC$3&gt;=Assumptions!$B$14,Revenue_Build!BC10&gt;=Assumptions!$F$215*Assumptions!$B$55)),Assumptions!$D$215,0)</f>
        <v/>
      </c>
      <c r="BD17" s="41">
        <f>IF(OR(BC17&gt;0,AND(BD$3&gt;=Assumptions!$E$215,BD$3&gt;=Assumptions!$B$14,Revenue_Build!BD10&gt;=Assumptions!$F$215*Assumptions!$B$55)),Assumptions!$D$215,0)</f>
        <v/>
      </c>
      <c r="BE17" s="41">
        <f>IF(OR(BD17&gt;0,AND(BE$3&gt;=Assumptions!$E$215,BE$3&gt;=Assumptions!$B$14,Revenue_Build!BE10&gt;=Assumptions!$F$215*Assumptions!$B$55)),Assumptions!$D$215,0)</f>
        <v/>
      </c>
      <c r="BF17" s="41">
        <f>IF(OR(BE17&gt;0,AND(BF$3&gt;=Assumptions!$E$215,BF$3&gt;=Assumptions!$B$14,Revenue_Build!BF10&gt;=Assumptions!$F$215*Assumptions!$B$55)),Assumptions!$D$215,0)</f>
        <v/>
      </c>
      <c r="BG17" s="41">
        <f>IF(OR(BF17&gt;0,AND(BG$3&gt;=Assumptions!$E$215,BG$3&gt;=Assumptions!$B$14,Revenue_Build!BG10&gt;=Assumptions!$F$215*Assumptions!$B$55)),Assumptions!$D$215,0)</f>
        <v/>
      </c>
      <c r="BH17" s="41">
        <f>IF(OR(BG17&gt;0,AND(BH$3&gt;=Assumptions!$E$215,BH$3&gt;=Assumptions!$B$14,Revenue_Build!BH10&gt;=Assumptions!$F$215*Assumptions!$B$55)),Assumptions!$D$215,0)</f>
        <v/>
      </c>
      <c r="BI17" s="41">
        <f>IF(OR(BH17&gt;0,AND(BI$3&gt;=Assumptions!$E$215,BI$3&gt;=Assumptions!$B$14,Revenue_Build!BI10&gt;=Assumptions!$F$215*Assumptions!$B$55)),Assumptions!$D$215,0)</f>
        <v/>
      </c>
      <c r="BJ17" s="41">
        <f>IF(OR(BI17&gt;0,AND(BJ$3&gt;=Assumptions!$E$215,BJ$3&gt;=Assumptions!$B$14,Revenue_Build!BJ10&gt;=Assumptions!$F$215*Assumptions!$B$55)),Assumptions!$D$215,0)</f>
        <v/>
      </c>
    </row>
    <row r="18">
      <c r="A18" s="4" t="inlineStr">
        <is>
          <t>Payments &amp; data engineers</t>
        </is>
      </c>
      <c r="B18" s="17" t="inlineStr">
        <is>
          <t>FTE</t>
        </is>
      </c>
      <c r="C18" s="41">
        <f>IF(AND(C$3&gt;=Assumptions!$E$216,C$3&gt;=Assumptions!$B$14,Revenue_Build!C10&gt;=Assumptions!$F$216*Assumptions!$B$55),Assumptions!$D$216,0)</f>
        <v/>
      </c>
      <c r="D18" s="41">
        <f>IF(OR(C18&gt;0,AND(D$3&gt;=Assumptions!$E$216,D$3&gt;=Assumptions!$B$14,Revenue_Build!D10&gt;=Assumptions!$F$216*Assumptions!$B$55)),Assumptions!$D$216,0)</f>
        <v/>
      </c>
      <c r="E18" s="41">
        <f>IF(OR(D18&gt;0,AND(E$3&gt;=Assumptions!$E$216,E$3&gt;=Assumptions!$B$14,Revenue_Build!E10&gt;=Assumptions!$F$216*Assumptions!$B$55)),Assumptions!$D$216,0)</f>
        <v/>
      </c>
      <c r="F18" s="41">
        <f>IF(OR(E18&gt;0,AND(F$3&gt;=Assumptions!$E$216,F$3&gt;=Assumptions!$B$14,Revenue_Build!F10&gt;=Assumptions!$F$216*Assumptions!$B$55)),Assumptions!$D$216,0)</f>
        <v/>
      </c>
      <c r="G18" s="41">
        <f>IF(OR(F18&gt;0,AND(G$3&gt;=Assumptions!$E$216,G$3&gt;=Assumptions!$B$14,Revenue_Build!G10&gt;=Assumptions!$F$216*Assumptions!$B$55)),Assumptions!$D$216,0)</f>
        <v/>
      </c>
      <c r="H18" s="41">
        <f>IF(OR(G18&gt;0,AND(H$3&gt;=Assumptions!$E$216,H$3&gt;=Assumptions!$B$14,Revenue_Build!H10&gt;=Assumptions!$F$216*Assumptions!$B$55)),Assumptions!$D$216,0)</f>
        <v/>
      </c>
      <c r="I18" s="41">
        <f>IF(OR(H18&gt;0,AND(I$3&gt;=Assumptions!$E$216,I$3&gt;=Assumptions!$B$14,Revenue_Build!I10&gt;=Assumptions!$F$216*Assumptions!$B$55)),Assumptions!$D$216,0)</f>
        <v/>
      </c>
      <c r="J18" s="41">
        <f>IF(OR(I18&gt;0,AND(J$3&gt;=Assumptions!$E$216,J$3&gt;=Assumptions!$B$14,Revenue_Build!J10&gt;=Assumptions!$F$216*Assumptions!$B$55)),Assumptions!$D$216,0)</f>
        <v/>
      </c>
      <c r="K18" s="41">
        <f>IF(OR(J18&gt;0,AND(K$3&gt;=Assumptions!$E$216,K$3&gt;=Assumptions!$B$14,Revenue_Build!K10&gt;=Assumptions!$F$216*Assumptions!$B$55)),Assumptions!$D$216,0)</f>
        <v/>
      </c>
      <c r="L18" s="41">
        <f>IF(OR(K18&gt;0,AND(L$3&gt;=Assumptions!$E$216,L$3&gt;=Assumptions!$B$14,Revenue_Build!L10&gt;=Assumptions!$F$216*Assumptions!$B$55)),Assumptions!$D$216,0)</f>
        <v/>
      </c>
      <c r="M18" s="41">
        <f>IF(OR(L18&gt;0,AND(M$3&gt;=Assumptions!$E$216,M$3&gt;=Assumptions!$B$14,Revenue_Build!M10&gt;=Assumptions!$F$216*Assumptions!$B$55)),Assumptions!$D$216,0)</f>
        <v/>
      </c>
      <c r="N18" s="41">
        <f>IF(OR(M18&gt;0,AND(N$3&gt;=Assumptions!$E$216,N$3&gt;=Assumptions!$B$14,Revenue_Build!N10&gt;=Assumptions!$F$216*Assumptions!$B$55)),Assumptions!$D$216,0)</f>
        <v/>
      </c>
      <c r="O18" s="41">
        <f>IF(OR(N18&gt;0,AND(O$3&gt;=Assumptions!$E$216,O$3&gt;=Assumptions!$B$14,Revenue_Build!O10&gt;=Assumptions!$F$216*Assumptions!$B$55)),Assumptions!$D$216,0)</f>
        <v/>
      </c>
      <c r="P18" s="41">
        <f>IF(OR(O18&gt;0,AND(P$3&gt;=Assumptions!$E$216,P$3&gt;=Assumptions!$B$14,Revenue_Build!P10&gt;=Assumptions!$F$216*Assumptions!$B$55)),Assumptions!$D$216,0)</f>
        <v/>
      </c>
      <c r="Q18" s="41">
        <f>IF(OR(P18&gt;0,AND(Q$3&gt;=Assumptions!$E$216,Q$3&gt;=Assumptions!$B$14,Revenue_Build!Q10&gt;=Assumptions!$F$216*Assumptions!$B$55)),Assumptions!$D$216,0)</f>
        <v/>
      </c>
      <c r="R18" s="41">
        <f>IF(OR(Q18&gt;0,AND(R$3&gt;=Assumptions!$E$216,R$3&gt;=Assumptions!$B$14,Revenue_Build!R10&gt;=Assumptions!$F$216*Assumptions!$B$55)),Assumptions!$D$216,0)</f>
        <v/>
      </c>
      <c r="S18" s="41">
        <f>IF(OR(R18&gt;0,AND(S$3&gt;=Assumptions!$E$216,S$3&gt;=Assumptions!$B$14,Revenue_Build!S10&gt;=Assumptions!$F$216*Assumptions!$B$55)),Assumptions!$D$216,0)</f>
        <v/>
      </c>
      <c r="T18" s="41">
        <f>IF(OR(S18&gt;0,AND(T$3&gt;=Assumptions!$E$216,T$3&gt;=Assumptions!$B$14,Revenue_Build!T10&gt;=Assumptions!$F$216*Assumptions!$B$55)),Assumptions!$D$216,0)</f>
        <v/>
      </c>
      <c r="U18" s="41">
        <f>IF(OR(T18&gt;0,AND(U$3&gt;=Assumptions!$E$216,U$3&gt;=Assumptions!$B$14,Revenue_Build!U10&gt;=Assumptions!$F$216*Assumptions!$B$55)),Assumptions!$D$216,0)</f>
        <v/>
      </c>
      <c r="V18" s="41">
        <f>IF(OR(U18&gt;0,AND(V$3&gt;=Assumptions!$E$216,V$3&gt;=Assumptions!$B$14,Revenue_Build!V10&gt;=Assumptions!$F$216*Assumptions!$B$55)),Assumptions!$D$216,0)</f>
        <v/>
      </c>
      <c r="W18" s="41">
        <f>IF(OR(V18&gt;0,AND(W$3&gt;=Assumptions!$E$216,W$3&gt;=Assumptions!$B$14,Revenue_Build!W10&gt;=Assumptions!$F$216*Assumptions!$B$55)),Assumptions!$D$216,0)</f>
        <v/>
      </c>
      <c r="X18" s="41">
        <f>IF(OR(W18&gt;0,AND(X$3&gt;=Assumptions!$E$216,X$3&gt;=Assumptions!$B$14,Revenue_Build!X10&gt;=Assumptions!$F$216*Assumptions!$B$55)),Assumptions!$D$216,0)</f>
        <v/>
      </c>
      <c r="Y18" s="41">
        <f>IF(OR(X18&gt;0,AND(Y$3&gt;=Assumptions!$E$216,Y$3&gt;=Assumptions!$B$14,Revenue_Build!Y10&gt;=Assumptions!$F$216*Assumptions!$B$55)),Assumptions!$D$216,0)</f>
        <v/>
      </c>
      <c r="Z18" s="41">
        <f>IF(OR(Y18&gt;0,AND(Z$3&gt;=Assumptions!$E$216,Z$3&gt;=Assumptions!$B$14,Revenue_Build!Z10&gt;=Assumptions!$F$216*Assumptions!$B$55)),Assumptions!$D$216,0)</f>
        <v/>
      </c>
      <c r="AA18" s="41">
        <f>IF(OR(Z18&gt;0,AND(AA$3&gt;=Assumptions!$E$216,AA$3&gt;=Assumptions!$B$14,Revenue_Build!AA10&gt;=Assumptions!$F$216*Assumptions!$B$55)),Assumptions!$D$216,0)</f>
        <v/>
      </c>
      <c r="AB18" s="41">
        <f>IF(OR(AA18&gt;0,AND(AB$3&gt;=Assumptions!$E$216,AB$3&gt;=Assumptions!$B$14,Revenue_Build!AB10&gt;=Assumptions!$F$216*Assumptions!$B$55)),Assumptions!$D$216,0)</f>
        <v/>
      </c>
      <c r="AC18" s="41">
        <f>IF(OR(AB18&gt;0,AND(AC$3&gt;=Assumptions!$E$216,AC$3&gt;=Assumptions!$B$14,Revenue_Build!AC10&gt;=Assumptions!$F$216*Assumptions!$B$55)),Assumptions!$D$216,0)</f>
        <v/>
      </c>
      <c r="AD18" s="41">
        <f>IF(OR(AC18&gt;0,AND(AD$3&gt;=Assumptions!$E$216,AD$3&gt;=Assumptions!$B$14,Revenue_Build!AD10&gt;=Assumptions!$F$216*Assumptions!$B$55)),Assumptions!$D$216,0)</f>
        <v/>
      </c>
      <c r="AE18" s="41">
        <f>IF(OR(AD18&gt;0,AND(AE$3&gt;=Assumptions!$E$216,AE$3&gt;=Assumptions!$B$14,Revenue_Build!AE10&gt;=Assumptions!$F$216*Assumptions!$B$55)),Assumptions!$D$216,0)</f>
        <v/>
      </c>
      <c r="AF18" s="41">
        <f>IF(OR(AE18&gt;0,AND(AF$3&gt;=Assumptions!$E$216,AF$3&gt;=Assumptions!$B$14,Revenue_Build!AF10&gt;=Assumptions!$F$216*Assumptions!$B$55)),Assumptions!$D$216,0)</f>
        <v/>
      </c>
      <c r="AG18" s="41">
        <f>IF(OR(AF18&gt;0,AND(AG$3&gt;=Assumptions!$E$216,AG$3&gt;=Assumptions!$B$14,Revenue_Build!AG10&gt;=Assumptions!$F$216*Assumptions!$B$55)),Assumptions!$D$216,0)</f>
        <v/>
      </c>
      <c r="AH18" s="41">
        <f>IF(OR(AG18&gt;0,AND(AH$3&gt;=Assumptions!$E$216,AH$3&gt;=Assumptions!$B$14,Revenue_Build!AH10&gt;=Assumptions!$F$216*Assumptions!$B$55)),Assumptions!$D$216,0)</f>
        <v/>
      </c>
      <c r="AI18" s="41">
        <f>IF(OR(AH18&gt;0,AND(AI$3&gt;=Assumptions!$E$216,AI$3&gt;=Assumptions!$B$14,Revenue_Build!AI10&gt;=Assumptions!$F$216*Assumptions!$B$55)),Assumptions!$D$216,0)</f>
        <v/>
      </c>
      <c r="AJ18" s="41">
        <f>IF(OR(AI18&gt;0,AND(AJ$3&gt;=Assumptions!$E$216,AJ$3&gt;=Assumptions!$B$14,Revenue_Build!AJ10&gt;=Assumptions!$F$216*Assumptions!$B$55)),Assumptions!$D$216,0)</f>
        <v/>
      </c>
      <c r="AK18" s="41">
        <f>IF(OR(AJ18&gt;0,AND(AK$3&gt;=Assumptions!$E$216,AK$3&gt;=Assumptions!$B$14,Revenue_Build!AK10&gt;=Assumptions!$F$216*Assumptions!$B$55)),Assumptions!$D$216,0)</f>
        <v/>
      </c>
      <c r="AL18" s="41">
        <f>IF(OR(AK18&gt;0,AND(AL$3&gt;=Assumptions!$E$216,AL$3&gt;=Assumptions!$B$14,Revenue_Build!AL10&gt;=Assumptions!$F$216*Assumptions!$B$55)),Assumptions!$D$216,0)</f>
        <v/>
      </c>
      <c r="AM18" s="41">
        <f>IF(OR(AL18&gt;0,AND(AM$3&gt;=Assumptions!$E$216,AM$3&gt;=Assumptions!$B$14,Revenue_Build!AM10&gt;=Assumptions!$F$216*Assumptions!$B$55)),Assumptions!$D$216,0)</f>
        <v/>
      </c>
      <c r="AN18" s="41">
        <f>IF(OR(AM18&gt;0,AND(AN$3&gt;=Assumptions!$E$216,AN$3&gt;=Assumptions!$B$14,Revenue_Build!AN10&gt;=Assumptions!$F$216*Assumptions!$B$55)),Assumptions!$D$216,0)</f>
        <v/>
      </c>
      <c r="AO18" s="41">
        <f>IF(OR(AN18&gt;0,AND(AO$3&gt;=Assumptions!$E$216,AO$3&gt;=Assumptions!$B$14,Revenue_Build!AO10&gt;=Assumptions!$F$216*Assumptions!$B$55)),Assumptions!$D$216,0)</f>
        <v/>
      </c>
      <c r="AP18" s="41">
        <f>IF(OR(AO18&gt;0,AND(AP$3&gt;=Assumptions!$E$216,AP$3&gt;=Assumptions!$B$14,Revenue_Build!AP10&gt;=Assumptions!$F$216*Assumptions!$B$55)),Assumptions!$D$216,0)</f>
        <v/>
      </c>
      <c r="AQ18" s="41">
        <f>IF(OR(AP18&gt;0,AND(AQ$3&gt;=Assumptions!$E$216,AQ$3&gt;=Assumptions!$B$14,Revenue_Build!AQ10&gt;=Assumptions!$F$216*Assumptions!$B$55)),Assumptions!$D$216,0)</f>
        <v/>
      </c>
      <c r="AR18" s="41">
        <f>IF(OR(AQ18&gt;0,AND(AR$3&gt;=Assumptions!$E$216,AR$3&gt;=Assumptions!$B$14,Revenue_Build!AR10&gt;=Assumptions!$F$216*Assumptions!$B$55)),Assumptions!$D$216,0)</f>
        <v/>
      </c>
      <c r="AS18" s="41">
        <f>IF(OR(AR18&gt;0,AND(AS$3&gt;=Assumptions!$E$216,AS$3&gt;=Assumptions!$B$14,Revenue_Build!AS10&gt;=Assumptions!$F$216*Assumptions!$B$55)),Assumptions!$D$216,0)</f>
        <v/>
      </c>
      <c r="AT18" s="41">
        <f>IF(OR(AS18&gt;0,AND(AT$3&gt;=Assumptions!$E$216,AT$3&gt;=Assumptions!$B$14,Revenue_Build!AT10&gt;=Assumptions!$F$216*Assumptions!$B$55)),Assumptions!$D$216,0)</f>
        <v/>
      </c>
      <c r="AU18" s="41">
        <f>IF(OR(AT18&gt;0,AND(AU$3&gt;=Assumptions!$E$216,AU$3&gt;=Assumptions!$B$14,Revenue_Build!AU10&gt;=Assumptions!$F$216*Assumptions!$B$55)),Assumptions!$D$216,0)</f>
        <v/>
      </c>
      <c r="AV18" s="41">
        <f>IF(OR(AU18&gt;0,AND(AV$3&gt;=Assumptions!$E$216,AV$3&gt;=Assumptions!$B$14,Revenue_Build!AV10&gt;=Assumptions!$F$216*Assumptions!$B$55)),Assumptions!$D$216,0)</f>
        <v/>
      </c>
      <c r="AW18" s="41">
        <f>IF(OR(AV18&gt;0,AND(AW$3&gt;=Assumptions!$E$216,AW$3&gt;=Assumptions!$B$14,Revenue_Build!AW10&gt;=Assumptions!$F$216*Assumptions!$B$55)),Assumptions!$D$216,0)</f>
        <v/>
      </c>
      <c r="AX18" s="41">
        <f>IF(OR(AW18&gt;0,AND(AX$3&gt;=Assumptions!$E$216,AX$3&gt;=Assumptions!$B$14,Revenue_Build!AX10&gt;=Assumptions!$F$216*Assumptions!$B$55)),Assumptions!$D$216,0)</f>
        <v/>
      </c>
      <c r="AY18" s="41">
        <f>IF(OR(AX18&gt;0,AND(AY$3&gt;=Assumptions!$E$216,AY$3&gt;=Assumptions!$B$14,Revenue_Build!AY10&gt;=Assumptions!$F$216*Assumptions!$B$55)),Assumptions!$D$216,0)</f>
        <v/>
      </c>
      <c r="AZ18" s="41">
        <f>IF(OR(AY18&gt;0,AND(AZ$3&gt;=Assumptions!$E$216,AZ$3&gt;=Assumptions!$B$14,Revenue_Build!AZ10&gt;=Assumptions!$F$216*Assumptions!$B$55)),Assumptions!$D$216,0)</f>
        <v/>
      </c>
      <c r="BA18" s="41">
        <f>IF(OR(AZ18&gt;0,AND(BA$3&gt;=Assumptions!$E$216,BA$3&gt;=Assumptions!$B$14,Revenue_Build!BA10&gt;=Assumptions!$F$216*Assumptions!$B$55)),Assumptions!$D$216,0)</f>
        <v/>
      </c>
      <c r="BB18" s="41">
        <f>IF(OR(BA18&gt;0,AND(BB$3&gt;=Assumptions!$E$216,BB$3&gt;=Assumptions!$B$14,Revenue_Build!BB10&gt;=Assumptions!$F$216*Assumptions!$B$55)),Assumptions!$D$216,0)</f>
        <v/>
      </c>
      <c r="BC18" s="41">
        <f>IF(OR(BB18&gt;0,AND(BC$3&gt;=Assumptions!$E$216,BC$3&gt;=Assumptions!$B$14,Revenue_Build!BC10&gt;=Assumptions!$F$216*Assumptions!$B$55)),Assumptions!$D$216,0)</f>
        <v/>
      </c>
      <c r="BD18" s="41">
        <f>IF(OR(BC18&gt;0,AND(BD$3&gt;=Assumptions!$E$216,BD$3&gt;=Assumptions!$B$14,Revenue_Build!BD10&gt;=Assumptions!$F$216*Assumptions!$B$55)),Assumptions!$D$216,0)</f>
        <v/>
      </c>
      <c r="BE18" s="41">
        <f>IF(OR(BD18&gt;0,AND(BE$3&gt;=Assumptions!$E$216,BE$3&gt;=Assumptions!$B$14,Revenue_Build!BE10&gt;=Assumptions!$F$216*Assumptions!$B$55)),Assumptions!$D$216,0)</f>
        <v/>
      </c>
      <c r="BF18" s="41">
        <f>IF(OR(BE18&gt;0,AND(BF$3&gt;=Assumptions!$E$216,BF$3&gt;=Assumptions!$B$14,Revenue_Build!BF10&gt;=Assumptions!$F$216*Assumptions!$B$55)),Assumptions!$D$216,0)</f>
        <v/>
      </c>
      <c r="BG18" s="41">
        <f>IF(OR(BF18&gt;0,AND(BG$3&gt;=Assumptions!$E$216,BG$3&gt;=Assumptions!$B$14,Revenue_Build!BG10&gt;=Assumptions!$F$216*Assumptions!$B$55)),Assumptions!$D$216,0)</f>
        <v/>
      </c>
      <c r="BH18" s="41">
        <f>IF(OR(BG18&gt;0,AND(BH$3&gt;=Assumptions!$E$216,BH$3&gt;=Assumptions!$B$14,Revenue_Build!BH10&gt;=Assumptions!$F$216*Assumptions!$B$55)),Assumptions!$D$216,0)</f>
        <v/>
      </c>
      <c r="BI18" s="41">
        <f>IF(OR(BH18&gt;0,AND(BI$3&gt;=Assumptions!$E$216,BI$3&gt;=Assumptions!$B$14,Revenue_Build!BI10&gt;=Assumptions!$F$216*Assumptions!$B$55)),Assumptions!$D$216,0)</f>
        <v/>
      </c>
      <c r="BJ18" s="41">
        <f>IF(OR(BI18&gt;0,AND(BJ$3&gt;=Assumptions!$E$216,BJ$3&gt;=Assumptions!$B$14,Revenue_Build!BJ10&gt;=Assumptions!$F$216*Assumptions!$B$55)),Assumptions!$D$216,0)</f>
        <v/>
      </c>
    </row>
    <row r="19">
      <c r="A19" s="4" t="inlineStr">
        <is>
          <t>Engineers (scale-up I)</t>
        </is>
      </c>
      <c r="B19" s="17" t="inlineStr">
        <is>
          <t>FTE</t>
        </is>
      </c>
      <c r="C19" s="41">
        <f>IF(AND(C$3&gt;=Assumptions!$E$217,C$3&gt;=Assumptions!$B$14,Revenue_Build!C10&gt;=Assumptions!$F$217*Assumptions!$B$55),Assumptions!$D$217,0)</f>
        <v/>
      </c>
      <c r="D19" s="41">
        <f>IF(OR(C19&gt;0,AND(D$3&gt;=Assumptions!$E$217,D$3&gt;=Assumptions!$B$14,Revenue_Build!D10&gt;=Assumptions!$F$217*Assumptions!$B$55)),Assumptions!$D$217,0)</f>
        <v/>
      </c>
      <c r="E19" s="41">
        <f>IF(OR(D19&gt;0,AND(E$3&gt;=Assumptions!$E$217,E$3&gt;=Assumptions!$B$14,Revenue_Build!E10&gt;=Assumptions!$F$217*Assumptions!$B$55)),Assumptions!$D$217,0)</f>
        <v/>
      </c>
      <c r="F19" s="41">
        <f>IF(OR(E19&gt;0,AND(F$3&gt;=Assumptions!$E$217,F$3&gt;=Assumptions!$B$14,Revenue_Build!F10&gt;=Assumptions!$F$217*Assumptions!$B$55)),Assumptions!$D$217,0)</f>
        <v/>
      </c>
      <c r="G19" s="41">
        <f>IF(OR(F19&gt;0,AND(G$3&gt;=Assumptions!$E$217,G$3&gt;=Assumptions!$B$14,Revenue_Build!G10&gt;=Assumptions!$F$217*Assumptions!$B$55)),Assumptions!$D$217,0)</f>
        <v/>
      </c>
      <c r="H19" s="41">
        <f>IF(OR(G19&gt;0,AND(H$3&gt;=Assumptions!$E$217,H$3&gt;=Assumptions!$B$14,Revenue_Build!H10&gt;=Assumptions!$F$217*Assumptions!$B$55)),Assumptions!$D$217,0)</f>
        <v/>
      </c>
      <c r="I19" s="41">
        <f>IF(OR(H19&gt;0,AND(I$3&gt;=Assumptions!$E$217,I$3&gt;=Assumptions!$B$14,Revenue_Build!I10&gt;=Assumptions!$F$217*Assumptions!$B$55)),Assumptions!$D$217,0)</f>
        <v/>
      </c>
      <c r="J19" s="41">
        <f>IF(OR(I19&gt;0,AND(J$3&gt;=Assumptions!$E$217,J$3&gt;=Assumptions!$B$14,Revenue_Build!J10&gt;=Assumptions!$F$217*Assumptions!$B$55)),Assumptions!$D$217,0)</f>
        <v/>
      </c>
      <c r="K19" s="41">
        <f>IF(OR(J19&gt;0,AND(K$3&gt;=Assumptions!$E$217,K$3&gt;=Assumptions!$B$14,Revenue_Build!K10&gt;=Assumptions!$F$217*Assumptions!$B$55)),Assumptions!$D$217,0)</f>
        <v/>
      </c>
      <c r="L19" s="41">
        <f>IF(OR(K19&gt;0,AND(L$3&gt;=Assumptions!$E$217,L$3&gt;=Assumptions!$B$14,Revenue_Build!L10&gt;=Assumptions!$F$217*Assumptions!$B$55)),Assumptions!$D$217,0)</f>
        <v/>
      </c>
      <c r="M19" s="41">
        <f>IF(OR(L19&gt;0,AND(M$3&gt;=Assumptions!$E$217,M$3&gt;=Assumptions!$B$14,Revenue_Build!M10&gt;=Assumptions!$F$217*Assumptions!$B$55)),Assumptions!$D$217,0)</f>
        <v/>
      </c>
      <c r="N19" s="41">
        <f>IF(OR(M19&gt;0,AND(N$3&gt;=Assumptions!$E$217,N$3&gt;=Assumptions!$B$14,Revenue_Build!N10&gt;=Assumptions!$F$217*Assumptions!$B$55)),Assumptions!$D$217,0)</f>
        <v/>
      </c>
      <c r="O19" s="41">
        <f>IF(OR(N19&gt;0,AND(O$3&gt;=Assumptions!$E$217,O$3&gt;=Assumptions!$B$14,Revenue_Build!O10&gt;=Assumptions!$F$217*Assumptions!$B$55)),Assumptions!$D$217,0)</f>
        <v/>
      </c>
      <c r="P19" s="41">
        <f>IF(OR(O19&gt;0,AND(P$3&gt;=Assumptions!$E$217,P$3&gt;=Assumptions!$B$14,Revenue_Build!P10&gt;=Assumptions!$F$217*Assumptions!$B$55)),Assumptions!$D$217,0)</f>
        <v/>
      </c>
      <c r="Q19" s="41">
        <f>IF(OR(P19&gt;0,AND(Q$3&gt;=Assumptions!$E$217,Q$3&gt;=Assumptions!$B$14,Revenue_Build!Q10&gt;=Assumptions!$F$217*Assumptions!$B$55)),Assumptions!$D$217,0)</f>
        <v/>
      </c>
      <c r="R19" s="41">
        <f>IF(OR(Q19&gt;0,AND(R$3&gt;=Assumptions!$E$217,R$3&gt;=Assumptions!$B$14,Revenue_Build!R10&gt;=Assumptions!$F$217*Assumptions!$B$55)),Assumptions!$D$217,0)</f>
        <v/>
      </c>
      <c r="S19" s="41">
        <f>IF(OR(R19&gt;0,AND(S$3&gt;=Assumptions!$E$217,S$3&gt;=Assumptions!$B$14,Revenue_Build!S10&gt;=Assumptions!$F$217*Assumptions!$B$55)),Assumptions!$D$217,0)</f>
        <v/>
      </c>
      <c r="T19" s="41">
        <f>IF(OR(S19&gt;0,AND(T$3&gt;=Assumptions!$E$217,T$3&gt;=Assumptions!$B$14,Revenue_Build!T10&gt;=Assumptions!$F$217*Assumptions!$B$55)),Assumptions!$D$217,0)</f>
        <v/>
      </c>
      <c r="U19" s="41">
        <f>IF(OR(T19&gt;0,AND(U$3&gt;=Assumptions!$E$217,U$3&gt;=Assumptions!$B$14,Revenue_Build!U10&gt;=Assumptions!$F$217*Assumptions!$B$55)),Assumptions!$D$217,0)</f>
        <v/>
      </c>
      <c r="V19" s="41">
        <f>IF(OR(U19&gt;0,AND(V$3&gt;=Assumptions!$E$217,V$3&gt;=Assumptions!$B$14,Revenue_Build!V10&gt;=Assumptions!$F$217*Assumptions!$B$55)),Assumptions!$D$217,0)</f>
        <v/>
      </c>
      <c r="W19" s="41">
        <f>IF(OR(V19&gt;0,AND(W$3&gt;=Assumptions!$E$217,W$3&gt;=Assumptions!$B$14,Revenue_Build!W10&gt;=Assumptions!$F$217*Assumptions!$B$55)),Assumptions!$D$217,0)</f>
        <v/>
      </c>
      <c r="X19" s="41">
        <f>IF(OR(W19&gt;0,AND(X$3&gt;=Assumptions!$E$217,X$3&gt;=Assumptions!$B$14,Revenue_Build!X10&gt;=Assumptions!$F$217*Assumptions!$B$55)),Assumptions!$D$217,0)</f>
        <v/>
      </c>
      <c r="Y19" s="41">
        <f>IF(OR(X19&gt;0,AND(Y$3&gt;=Assumptions!$E$217,Y$3&gt;=Assumptions!$B$14,Revenue_Build!Y10&gt;=Assumptions!$F$217*Assumptions!$B$55)),Assumptions!$D$217,0)</f>
        <v/>
      </c>
      <c r="Z19" s="41">
        <f>IF(OR(Y19&gt;0,AND(Z$3&gt;=Assumptions!$E$217,Z$3&gt;=Assumptions!$B$14,Revenue_Build!Z10&gt;=Assumptions!$F$217*Assumptions!$B$55)),Assumptions!$D$217,0)</f>
        <v/>
      </c>
      <c r="AA19" s="41">
        <f>IF(OR(Z19&gt;0,AND(AA$3&gt;=Assumptions!$E$217,AA$3&gt;=Assumptions!$B$14,Revenue_Build!AA10&gt;=Assumptions!$F$217*Assumptions!$B$55)),Assumptions!$D$217,0)</f>
        <v/>
      </c>
      <c r="AB19" s="41">
        <f>IF(OR(AA19&gt;0,AND(AB$3&gt;=Assumptions!$E$217,AB$3&gt;=Assumptions!$B$14,Revenue_Build!AB10&gt;=Assumptions!$F$217*Assumptions!$B$55)),Assumptions!$D$217,0)</f>
        <v/>
      </c>
      <c r="AC19" s="41">
        <f>IF(OR(AB19&gt;0,AND(AC$3&gt;=Assumptions!$E$217,AC$3&gt;=Assumptions!$B$14,Revenue_Build!AC10&gt;=Assumptions!$F$217*Assumptions!$B$55)),Assumptions!$D$217,0)</f>
        <v/>
      </c>
      <c r="AD19" s="41">
        <f>IF(OR(AC19&gt;0,AND(AD$3&gt;=Assumptions!$E$217,AD$3&gt;=Assumptions!$B$14,Revenue_Build!AD10&gt;=Assumptions!$F$217*Assumptions!$B$55)),Assumptions!$D$217,0)</f>
        <v/>
      </c>
      <c r="AE19" s="41">
        <f>IF(OR(AD19&gt;0,AND(AE$3&gt;=Assumptions!$E$217,AE$3&gt;=Assumptions!$B$14,Revenue_Build!AE10&gt;=Assumptions!$F$217*Assumptions!$B$55)),Assumptions!$D$217,0)</f>
        <v/>
      </c>
      <c r="AF19" s="41">
        <f>IF(OR(AE19&gt;0,AND(AF$3&gt;=Assumptions!$E$217,AF$3&gt;=Assumptions!$B$14,Revenue_Build!AF10&gt;=Assumptions!$F$217*Assumptions!$B$55)),Assumptions!$D$217,0)</f>
        <v/>
      </c>
      <c r="AG19" s="41">
        <f>IF(OR(AF19&gt;0,AND(AG$3&gt;=Assumptions!$E$217,AG$3&gt;=Assumptions!$B$14,Revenue_Build!AG10&gt;=Assumptions!$F$217*Assumptions!$B$55)),Assumptions!$D$217,0)</f>
        <v/>
      </c>
      <c r="AH19" s="41">
        <f>IF(OR(AG19&gt;0,AND(AH$3&gt;=Assumptions!$E$217,AH$3&gt;=Assumptions!$B$14,Revenue_Build!AH10&gt;=Assumptions!$F$217*Assumptions!$B$55)),Assumptions!$D$217,0)</f>
        <v/>
      </c>
      <c r="AI19" s="41">
        <f>IF(OR(AH19&gt;0,AND(AI$3&gt;=Assumptions!$E$217,AI$3&gt;=Assumptions!$B$14,Revenue_Build!AI10&gt;=Assumptions!$F$217*Assumptions!$B$55)),Assumptions!$D$217,0)</f>
        <v/>
      </c>
      <c r="AJ19" s="41">
        <f>IF(OR(AI19&gt;0,AND(AJ$3&gt;=Assumptions!$E$217,AJ$3&gt;=Assumptions!$B$14,Revenue_Build!AJ10&gt;=Assumptions!$F$217*Assumptions!$B$55)),Assumptions!$D$217,0)</f>
        <v/>
      </c>
      <c r="AK19" s="41">
        <f>IF(OR(AJ19&gt;0,AND(AK$3&gt;=Assumptions!$E$217,AK$3&gt;=Assumptions!$B$14,Revenue_Build!AK10&gt;=Assumptions!$F$217*Assumptions!$B$55)),Assumptions!$D$217,0)</f>
        <v/>
      </c>
      <c r="AL19" s="41">
        <f>IF(OR(AK19&gt;0,AND(AL$3&gt;=Assumptions!$E$217,AL$3&gt;=Assumptions!$B$14,Revenue_Build!AL10&gt;=Assumptions!$F$217*Assumptions!$B$55)),Assumptions!$D$217,0)</f>
        <v/>
      </c>
      <c r="AM19" s="41">
        <f>IF(OR(AL19&gt;0,AND(AM$3&gt;=Assumptions!$E$217,AM$3&gt;=Assumptions!$B$14,Revenue_Build!AM10&gt;=Assumptions!$F$217*Assumptions!$B$55)),Assumptions!$D$217,0)</f>
        <v/>
      </c>
      <c r="AN19" s="41">
        <f>IF(OR(AM19&gt;0,AND(AN$3&gt;=Assumptions!$E$217,AN$3&gt;=Assumptions!$B$14,Revenue_Build!AN10&gt;=Assumptions!$F$217*Assumptions!$B$55)),Assumptions!$D$217,0)</f>
        <v/>
      </c>
      <c r="AO19" s="41">
        <f>IF(OR(AN19&gt;0,AND(AO$3&gt;=Assumptions!$E$217,AO$3&gt;=Assumptions!$B$14,Revenue_Build!AO10&gt;=Assumptions!$F$217*Assumptions!$B$55)),Assumptions!$D$217,0)</f>
        <v/>
      </c>
      <c r="AP19" s="41">
        <f>IF(OR(AO19&gt;0,AND(AP$3&gt;=Assumptions!$E$217,AP$3&gt;=Assumptions!$B$14,Revenue_Build!AP10&gt;=Assumptions!$F$217*Assumptions!$B$55)),Assumptions!$D$217,0)</f>
        <v/>
      </c>
      <c r="AQ19" s="41">
        <f>IF(OR(AP19&gt;0,AND(AQ$3&gt;=Assumptions!$E$217,AQ$3&gt;=Assumptions!$B$14,Revenue_Build!AQ10&gt;=Assumptions!$F$217*Assumptions!$B$55)),Assumptions!$D$217,0)</f>
        <v/>
      </c>
      <c r="AR19" s="41">
        <f>IF(OR(AQ19&gt;0,AND(AR$3&gt;=Assumptions!$E$217,AR$3&gt;=Assumptions!$B$14,Revenue_Build!AR10&gt;=Assumptions!$F$217*Assumptions!$B$55)),Assumptions!$D$217,0)</f>
        <v/>
      </c>
      <c r="AS19" s="41">
        <f>IF(OR(AR19&gt;0,AND(AS$3&gt;=Assumptions!$E$217,AS$3&gt;=Assumptions!$B$14,Revenue_Build!AS10&gt;=Assumptions!$F$217*Assumptions!$B$55)),Assumptions!$D$217,0)</f>
        <v/>
      </c>
      <c r="AT19" s="41">
        <f>IF(OR(AS19&gt;0,AND(AT$3&gt;=Assumptions!$E$217,AT$3&gt;=Assumptions!$B$14,Revenue_Build!AT10&gt;=Assumptions!$F$217*Assumptions!$B$55)),Assumptions!$D$217,0)</f>
        <v/>
      </c>
      <c r="AU19" s="41">
        <f>IF(OR(AT19&gt;0,AND(AU$3&gt;=Assumptions!$E$217,AU$3&gt;=Assumptions!$B$14,Revenue_Build!AU10&gt;=Assumptions!$F$217*Assumptions!$B$55)),Assumptions!$D$217,0)</f>
        <v/>
      </c>
      <c r="AV19" s="41">
        <f>IF(OR(AU19&gt;0,AND(AV$3&gt;=Assumptions!$E$217,AV$3&gt;=Assumptions!$B$14,Revenue_Build!AV10&gt;=Assumptions!$F$217*Assumptions!$B$55)),Assumptions!$D$217,0)</f>
        <v/>
      </c>
      <c r="AW19" s="41">
        <f>IF(OR(AV19&gt;0,AND(AW$3&gt;=Assumptions!$E$217,AW$3&gt;=Assumptions!$B$14,Revenue_Build!AW10&gt;=Assumptions!$F$217*Assumptions!$B$55)),Assumptions!$D$217,0)</f>
        <v/>
      </c>
      <c r="AX19" s="41">
        <f>IF(OR(AW19&gt;0,AND(AX$3&gt;=Assumptions!$E$217,AX$3&gt;=Assumptions!$B$14,Revenue_Build!AX10&gt;=Assumptions!$F$217*Assumptions!$B$55)),Assumptions!$D$217,0)</f>
        <v/>
      </c>
      <c r="AY19" s="41">
        <f>IF(OR(AX19&gt;0,AND(AY$3&gt;=Assumptions!$E$217,AY$3&gt;=Assumptions!$B$14,Revenue_Build!AY10&gt;=Assumptions!$F$217*Assumptions!$B$55)),Assumptions!$D$217,0)</f>
        <v/>
      </c>
      <c r="AZ19" s="41">
        <f>IF(OR(AY19&gt;0,AND(AZ$3&gt;=Assumptions!$E$217,AZ$3&gt;=Assumptions!$B$14,Revenue_Build!AZ10&gt;=Assumptions!$F$217*Assumptions!$B$55)),Assumptions!$D$217,0)</f>
        <v/>
      </c>
      <c r="BA19" s="41">
        <f>IF(OR(AZ19&gt;0,AND(BA$3&gt;=Assumptions!$E$217,BA$3&gt;=Assumptions!$B$14,Revenue_Build!BA10&gt;=Assumptions!$F$217*Assumptions!$B$55)),Assumptions!$D$217,0)</f>
        <v/>
      </c>
      <c r="BB19" s="41">
        <f>IF(OR(BA19&gt;0,AND(BB$3&gt;=Assumptions!$E$217,BB$3&gt;=Assumptions!$B$14,Revenue_Build!BB10&gt;=Assumptions!$F$217*Assumptions!$B$55)),Assumptions!$D$217,0)</f>
        <v/>
      </c>
      <c r="BC19" s="41">
        <f>IF(OR(BB19&gt;0,AND(BC$3&gt;=Assumptions!$E$217,BC$3&gt;=Assumptions!$B$14,Revenue_Build!BC10&gt;=Assumptions!$F$217*Assumptions!$B$55)),Assumptions!$D$217,0)</f>
        <v/>
      </c>
      <c r="BD19" s="41">
        <f>IF(OR(BC19&gt;0,AND(BD$3&gt;=Assumptions!$E$217,BD$3&gt;=Assumptions!$B$14,Revenue_Build!BD10&gt;=Assumptions!$F$217*Assumptions!$B$55)),Assumptions!$D$217,0)</f>
        <v/>
      </c>
      <c r="BE19" s="41">
        <f>IF(OR(BD19&gt;0,AND(BE$3&gt;=Assumptions!$E$217,BE$3&gt;=Assumptions!$B$14,Revenue_Build!BE10&gt;=Assumptions!$F$217*Assumptions!$B$55)),Assumptions!$D$217,0)</f>
        <v/>
      </c>
      <c r="BF19" s="41">
        <f>IF(OR(BE19&gt;0,AND(BF$3&gt;=Assumptions!$E$217,BF$3&gt;=Assumptions!$B$14,Revenue_Build!BF10&gt;=Assumptions!$F$217*Assumptions!$B$55)),Assumptions!$D$217,0)</f>
        <v/>
      </c>
      <c r="BG19" s="41">
        <f>IF(OR(BF19&gt;0,AND(BG$3&gt;=Assumptions!$E$217,BG$3&gt;=Assumptions!$B$14,Revenue_Build!BG10&gt;=Assumptions!$F$217*Assumptions!$B$55)),Assumptions!$D$217,0)</f>
        <v/>
      </c>
      <c r="BH19" s="41">
        <f>IF(OR(BG19&gt;0,AND(BH$3&gt;=Assumptions!$E$217,BH$3&gt;=Assumptions!$B$14,Revenue_Build!BH10&gt;=Assumptions!$F$217*Assumptions!$B$55)),Assumptions!$D$217,0)</f>
        <v/>
      </c>
      <c r="BI19" s="41">
        <f>IF(OR(BH19&gt;0,AND(BI$3&gt;=Assumptions!$E$217,BI$3&gt;=Assumptions!$B$14,Revenue_Build!BI10&gt;=Assumptions!$F$217*Assumptions!$B$55)),Assumptions!$D$217,0)</f>
        <v/>
      </c>
      <c r="BJ19" s="41">
        <f>IF(OR(BI19&gt;0,AND(BJ$3&gt;=Assumptions!$E$217,BJ$3&gt;=Assumptions!$B$14,Revenue_Build!BJ10&gt;=Assumptions!$F$217*Assumptions!$B$55)),Assumptions!$D$217,0)</f>
        <v/>
      </c>
    </row>
    <row r="20">
      <c r="A20" s="4" t="inlineStr">
        <is>
          <t>VP Engineering</t>
        </is>
      </c>
      <c r="B20" s="17" t="inlineStr">
        <is>
          <t>FTE</t>
        </is>
      </c>
      <c r="C20" s="41">
        <f>IF(AND(C$3&gt;=Assumptions!$E$218,C$3&gt;=Assumptions!$B$14,Revenue_Build!C10&gt;=Assumptions!$F$218*Assumptions!$B$55),Assumptions!$D$218,0)</f>
        <v/>
      </c>
      <c r="D20" s="41">
        <f>IF(OR(C20&gt;0,AND(D$3&gt;=Assumptions!$E$218,D$3&gt;=Assumptions!$B$14,Revenue_Build!D10&gt;=Assumptions!$F$218*Assumptions!$B$55)),Assumptions!$D$218,0)</f>
        <v/>
      </c>
      <c r="E20" s="41">
        <f>IF(OR(D20&gt;0,AND(E$3&gt;=Assumptions!$E$218,E$3&gt;=Assumptions!$B$14,Revenue_Build!E10&gt;=Assumptions!$F$218*Assumptions!$B$55)),Assumptions!$D$218,0)</f>
        <v/>
      </c>
      <c r="F20" s="41">
        <f>IF(OR(E20&gt;0,AND(F$3&gt;=Assumptions!$E$218,F$3&gt;=Assumptions!$B$14,Revenue_Build!F10&gt;=Assumptions!$F$218*Assumptions!$B$55)),Assumptions!$D$218,0)</f>
        <v/>
      </c>
      <c r="G20" s="41">
        <f>IF(OR(F20&gt;0,AND(G$3&gt;=Assumptions!$E$218,G$3&gt;=Assumptions!$B$14,Revenue_Build!G10&gt;=Assumptions!$F$218*Assumptions!$B$55)),Assumptions!$D$218,0)</f>
        <v/>
      </c>
      <c r="H20" s="41">
        <f>IF(OR(G20&gt;0,AND(H$3&gt;=Assumptions!$E$218,H$3&gt;=Assumptions!$B$14,Revenue_Build!H10&gt;=Assumptions!$F$218*Assumptions!$B$55)),Assumptions!$D$218,0)</f>
        <v/>
      </c>
      <c r="I20" s="41">
        <f>IF(OR(H20&gt;0,AND(I$3&gt;=Assumptions!$E$218,I$3&gt;=Assumptions!$B$14,Revenue_Build!I10&gt;=Assumptions!$F$218*Assumptions!$B$55)),Assumptions!$D$218,0)</f>
        <v/>
      </c>
      <c r="J20" s="41">
        <f>IF(OR(I20&gt;0,AND(J$3&gt;=Assumptions!$E$218,J$3&gt;=Assumptions!$B$14,Revenue_Build!J10&gt;=Assumptions!$F$218*Assumptions!$B$55)),Assumptions!$D$218,0)</f>
        <v/>
      </c>
      <c r="K20" s="41">
        <f>IF(OR(J20&gt;0,AND(K$3&gt;=Assumptions!$E$218,K$3&gt;=Assumptions!$B$14,Revenue_Build!K10&gt;=Assumptions!$F$218*Assumptions!$B$55)),Assumptions!$D$218,0)</f>
        <v/>
      </c>
      <c r="L20" s="41">
        <f>IF(OR(K20&gt;0,AND(L$3&gt;=Assumptions!$E$218,L$3&gt;=Assumptions!$B$14,Revenue_Build!L10&gt;=Assumptions!$F$218*Assumptions!$B$55)),Assumptions!$D$218,0)</f>
        <v/>
      </c>
      <c r="M20" s="41">
        <f>IF(OR(L20&gt;0,AND(M$3&gt;=Assumptions!$E$218,M$3&gt;=Assumptions!$B$14,Revenue_Build!M10&gt;=Assumptions!$F$218*Assumptions!$B$55)),Assumptions!$D$218,0)</f>
        <v/>
      </c>
      <c r="N20" s="41">
        <f>IF(OR(M20&gt;0,AND(N$3&gt;=Assumptions!$E$218,N$3&gt;=Assumptions!$B$14,Revenue_Build!N10&gt;=Assumptions!$F$218*Assumptions!$B$55)),Assumptions!$D$218,0)</f>
        <v/>
      </c>
      <c r="O20" s="41">
        <f>IF(OR(N20&gt;0,AND(O$3&gt;=Assumptions!$E$218,O$3&gt;=Assumptions!$B$14,Revenue_Build!O10&gt;=Assumptions!$F$218*Assumptions!$B$55)),Assumptions!$D$218,0)</f>
        <v/>
      </c>
      <c r="P20" s="41">
        <f>IF(OR(O20&gt;0,AND(P$3&gt;=Assumptions!$E$218,P$3&gt;=Assumptions!$B$14,Revenue_Build!P10&gt;=Assumptions!$F$218*Assumptions!$B$55)),Assumptions!$D$218,0)</f>
        <v/>
      </c>
      <c r="Q20" s="41">
        <f>IF(OR(P20&gt;0,AND(Q$3&gt;=Assumptions!$E$218,Q$3&gt;=Assumptions!$B$14,Revenue_Build!Q10&gt;=Assumptions!$F$218*Assumptions!$B$55)),Assumptions!$D$218,0)</f>
        <v/>
      </c>
      <c r="R20" s="41">
        <f>IF(OR(Q20&gt;0,AND(R$3&gt;=Assumptions!$E$218,R$3&gt;=Assumptions!$B$14,Revenue_Build!R10&gt;=Assumptions!$F$218*Assumptions!$B$55)),Assumptions!$D$218,0)</f>
        <v/>
      </c>
      <c r="S20" s="41">
        <f>IF(OR(R20&gt;0,AND(S$3&gt;=Assumptions!$E$218,S$3&gt;=Assumptions!$B$14,Revenue_Build!S10&gt;=Assumptions!$F$218*Assumptions!$B$55)),Assumptions!$D$218,0)</f>
        <v/>
      </c>
      <c r="T20" s="41">
        <f>IF(OR(S20&gt;0,AND(T$3&gt;=Assumptions!$E$218,T$3&gt;=Assumptions!$B$14,Revenue_Build!T10&gt;=Assumptions!$F$218*Assumptions!$B$55)),Assumptions!$D$218,0)</f>
        <v/>
      </c>
      <c r="U20" s="41">
        <f>IF(OR(T20&gt;0,AND(U$3&gt;=Assumptions!$E$218,U$3&gt;=Assumptions!$B$14,Revenue_Build!U10&gt;=Assumptions!$F$218*Assumptions!$B$55)),Assumptions!$D$218,0)</f>
        <v/>
      </c>
      <c r="V20" s="41">
        <f>IF(OR(U20&gt;0,AND(V$3&gt;=Assumptions!$E$218,V$3&gt;=Assumptions!$B$14,Revenue_Build!V10&gt;=Assumptions!$F$218*Assumptions!$B$55)),Assumptions!$D$218,0)</f>
        <v/>
      </c>
      <c r="W20" s="41">
        <f>IF(OR(V20&gt;0,AND(W$3&gt;=Assumptions!$E$218,W$3&gt;=Assumptions!$B$14,Revenue_Build!W10&gt;=Assumptions!$F$218*Assumptions!$B$55)),Assumptions!$D$218,0)</f>
        <v/>
      </c>
      <c r="X20" s="41">
        <f>IF(OR(W20&gt;0,AND(X$3&gt;=Assumptions!$E$218,X$3&gt;=Assumptions!$B$14,Revenue_Build!X10&gt;=Assumptions!$F$218*Assumptions!$B$55)),Assumptions!$D$218,0)</f>
        <v/>
      </c>
      <c r="Y20" s="41">
        <f>IF(OR(X20&gt;0,AND(Y$3&gt;=Assumptions!$E$218,Y$3&gt;=Assumptions!$B$14,Revenue_Build!Y10&gt;=Assumptions!$F$218*Assumptions!$B$55)),Assumptions!$D$218,0)</f>
        <v/>
      </c>
      <c r="Z20" s="41">
        <f>IF(OR(Y20&gt;0,AND(Z$3&gt;=Assumptions!$E$218,Z$3&gt;=Assumptions!$B$14,Revenue_Build!Z10&gt;=Assumptions!$F$218*Assumptions!$B$55)),Assumptions!$D$218,0)</f>
        <v/>
      </c>
      <c r="AA20" s="41">
        <f>IF(OR(Z20&gt;0,AND(AA$3&gt;=Assumptions!$E$218,AA$3&gt;=Assumptions!$B$14,Revenue_Build!AA10&gt;=Assumptions!$F$218*Assumptions!$B$55)),Assumptions!$D$218,0)</f>
        <v/>
      </c>
      <c r="AB20" s="41">
        <f>IF(OR(AA20&gt;0,AND(AB$3&gt;=Assumptions!$E$218,AB$3&gt;=Assumptions!$B$14,Revenue_Build!AB10&gt;=Assumptions!$F$218*Assumptions!$B$55)),Assumptions!$D$218,0)</f>
        <v/>
      </c>
      <c r="AC20" s="41">
        <f>IF(OR(AB20&gt;0,AND(AC$3&gt;=Assumptions!$E$218,AC$3&gt;=Assumptions!$B$14,Revenue_Build!AC10&gt;=Assumptions!$F$218*Assumptions!$B$55)),Assumptions!$D$218,0)</f>
        <v/>
      </c>
      <c r="AD20" s="41">
        <f>IF(OR(AC20&gt;0,AND(AD$3&gt;=Assumptions!$E$218,AD$3&gt;=Assumptions!$B$14,Revenue_Build!AD10&gt;=Assumptions!$F$218*Assumptions!$B$55)),Assumptions!$D$218,0)</f>
        <v/>
      </c>
      <c r="AE20" s="41">
        <f>IF(OR(AD20&gt;0,AND(AE$3&gt;=Assumptions!$E$218,AE$3&gt;=Assumptions!$B$14,Revenue_Build!AE10&gt;=Assumptions!$F$218*Assumptions!$B$55)),Assumptions!$D$218,0)</f>
        <v/>
      </c>
      <c r="AF20" s="41">
        <f>IF(OR(AE20&gt;0,AND(AF$3&gt;=Assumptions!$E$218,AF$3&gt;=Assumptions!$B$14,Revenue_Build!AF10&gt;=Assumptions!$F$218*Assumptions!$B$55)),Assumptions!$D$218,0)</f>
        <v/>
      </c>
      <c r="AG20" s="41">
        <f>IF(OR(AF20&gt;0,AND(AG$3&gt;=Assumptions!$E$218,AG$3&gt;=Assumptions!$B$14,Revenue_Build!AG10&gt;=Assumptions!$F$218*Assumptions!$B$55)),Assumptions!$D$218,0)</f>
        <v/>
      </c>
      <c r="AH20" s="41">
        <f>IF(OR(AG20&gt;0,AND(AH$3&gt;=Assumptions!$E$218,AH$3&gt;=Assumptions!$B$14,Revenue_Build!AH10&gt;=Assumptions!$F$218*Assumptions!$B$55)),Assumptions!$D$218,0)</f>
        <v/>
      </c>
      <c r="AI20" s="41">
        <f>IF(OR(AH20&gt;0,AND(AI$3&gt;=Assumptions!$E$218,AI$3&gt;=Assumptions!$B$14,Revenue_Build!AI10&gt;=Assumptions!$F$218*Assumptions!$B$55)),Assumptions!$D$218,0)</f>
        <v/>
      </c>
      <c r="AJ20" s="41">
        <f>IF(OR(AI20&gt;0,AND(AJ$3&gt;=Assumptions!$E$218,AJ$3&gt;=Assumptions!$B$14,Revenue_Build!AJ10&gt;=Assumptions!$F$218*Assumptions!$B$55)),Assumptions!$D$218,0)</f>
        <v/>
      </c>
      <c r="AK20" s="41">
        <f>IF(OR(AJ20&gt;0,AND(AK$3&gt;=Assumptions!$E$218,AK$3&gt;=Assumptions!$B$14,Revenue_Build!AK10&gt;=Assumptions!$F$218*Assumptions!$B$55)),Assumptions!$D$218,0)</f>
        <v/>
      </c>
      <c r="AL20" s="41">
        <f>IF(OR(AK20&gt;0,AND(AL$3&gt;=Assumptions!$E$218,AL$3&gt;=Assumptions!$B$14,Revenue_Build!AL10&gt;=Assumptions!$F$218*Assumptions!$B$55)),Assumptions!$D$218,0)</f>
        <v/>
      </c>
      <c r="AM20" s="41">
        <f>IF(OR(AL20&gt;0,AND(AM$3&gt;=Assumptions!$E$218,AM$3&gt;=Assumptions!$B$14,Revenue_Build!AM10&gt;=Assumptions!$F$218*Assumptions!$B$55)),Assumptions!$D$218,0)</f>
        <v/>
      </c>
      <c r="AN20" s="41">
        <f>IF(OR(AM20&gt;0,AND(AN$3&gt;=Assumptions!$E$218,AN$3&gt;=Assumptions!$B$14,Revenue_Build!AN10&gt;=Assumptions!$F$218*Assumptions!$B$55)),Assumptions!$D$218,0)</f>
        <v/>
      </c>
      <c r="AO20" s="41">
        <f>IF(OR(AN20&gt;0,AND(AO$3&gt;=Assumptions!$E$218,AO$3&gt;=Assumptions!$B$14,Revenue_Build!AO10&gt;=Assumptions!$F$218*Assumptions!$B$55)),Assumptions!$D$218,0)</f>
        <v/>
      </c>
      <c r="AP20" s="41">
        <f>IF(OR(AO20&gt;0,AND(AP$3&gt;=Assumptions!$E$218,AP$3&gt;=Assumptions!$B$14,Revenue_Build!AP10&gt;=Assumptions!$F$218*Assumptions!$B$55)),Assumptions!$D$218,0)</f>
        <v/>
      </c>
      <c r="AQ20" s="41">
        <f>IF(OR(AP20&gt;0,AND(AQ$3&gt;=Assumptions!$E$218,AQ$3&gt;=Assumptions!$B$14,Revenue_Build!AQ10&gt;=Assumptions!$F$218*Assumptions!$B$55)),Assumptions!$D$218,0)</f>
        <v/>
      </c>
      <c r="AR20" s="41">
        <f>IF(OR(AQ20&gt;0,AND(AR$3&gt;=Assumptions!$E$218,AR$3&gt;=Assumptions!$B$14,Revenue_Build!AR10&gt;=Assumptions!$F$218*Assumptions!$B$55)),Assumptions!$D$218,0)</f>
        <v/>
      </c>
      <c r="AS20" s="41">
        <f>IF(OR(AR20&gt;0,AND(AS$3&gt;=Assumptions!$E$218,AS$3&gt;=Assumptions!$B$14,Revenue_Build!AS10&gt;=Assumptions!$F$218*Assumptions!$B$55)),Assumptions!$D$218,0)</f>
        <v/>
      </c>
      <c r="AT20" s="41">
        <f>IF(OR(AS20&gt;0,AND(AT$3&gt;=Assumptions!$E$218,AT$3&gt;=Assumptions!$B$14,Revenue_Build!AT10&gt;=Assumptions!$F$218*Assumptions!$B$55)),Assumptions!$D$218,0)</f>
        <v/>
      </c>
      <c r="AU20" s="41">
        <f>IF(OR(AT20&gt;0,AND(AU$3&gt;=Assumptions!$E$218,AU$3&gt;=Assumptions!$B$14,Revenue_Build!AU10&gt;=Assumptions!$F$218*Assumptions!$B$55)),Assumptions!$D$218,0)</f>
        <v/>
      </c>
      <c r="AV20" s="41">
        <f>IF(OR(AU20&gt;0,AND(AV$3&gt;=Assumptions!$E$218,AV$3&gt;=Assumptions!$B$14,Revenue_Build!AV10&gt;=Assumptions!$F$218*Assumptions!$B$55)),Assumptions!$D$218,0)</f>
        <v/>
      </c>
      <c r="AW20" s="41">
        <f>IF(OR(AV20&gt;0,AND(AW$3&gt;=Assumptions!$E$218,AW$3&gt;=Assumptions!$B$14,Revenue_Build!AW10&gt;=Assumptions!$F$218*Assumptions!$B$55)),Assumptions!$D$218,0)</f>
        <v/>
      </c>
      <c r="AX20" s="41">
        <f>IF(OR(AW20&gt;0,AND(AX$3&gt;=Assumptions!$E$218,AX$3&gt;=Assumptions!$B$14,Revenue_Build!AX10&gt;=Assumptions!$F$218*Assumptions!$B$55)),Assumptions!$D$218,0)</f>
        <v/>
      </c>
      <c r="AY20" s="41">
        <f>IF(OR(AX20&gt;0,AND(AY$3&gt;=Assumptions!$E$218,AY$3&gt;=Assumptions!$B$14,Revenue_Build!AY10&gt;=Assumptions!$F$218*Assumptions!$B$55)),Assumptions!$D$218,0)</f>
        <v/>
      </c>
      <c r="AZ20" s="41">
        <f>IF(OR(AY20&gt;0,AND(AZ$3&gt;=Assumptions!$E$218,AZ$3&gt;=Assumptions!$B$14,Revenue_Build!AZ10&gt;=Assumptions!$F$218*Assumptions!$B$55)),Assumptions!$D$218,0)</f>
        <v/>
      </c>
      <c r="BA20" s="41">
        <f>IF(OR(AZ20&gt;0,AND(BA$3&gt;=Assumptions!$E$218,BA$3&gt;=Assumptions!$B$14,Revenue_Build!BA10&gt;=Assumptions!$F$218*Assumptions!$B$55)),Assumptions!$D$218,0)</f>
        <v/>
      </c>
      <c r="BB20" s="41">
        <f>IF(OR(BA20&gt;0,AND(BB$3&gt;=Assumptions!$E$218,BB$3&gt;=Assumptions!$B$14,Revenue_Build!BB10&gt;=Assumptions!$F$218*Assumptions!$B$55)),Assumptions!$D$218,0)</f>
        <v/>
      </c>
      <c r="BC20" s="41">
        <f>IF(OR(BB20&gt;0,AND(BC$3&gt;=Assumptions!$E$218,BC$3&gt;=Assumptions!$B$14,Revenue_Build!BC10&gt;=Assumptions!$F$218*Assumptions!$B$55)),Assumptions!$D$218,0)</f>
        <v/>
      </c>
      <c r="BD20" s="41">
        <f>IF(OR(BC20&gt;0,AND(BD$3&gt;=Assumptions!$E$218,BD$3&gt;=Assumptions!$B$14,Revenue_Build!BD10&gt;=Assumptions!$F$218*Assumptions!$B$55)),Assumptions!$D$218,0)</f>
        <v/>
      </c>
      <c r="BE20" s="41">
        <f>IF(OR(BD20&gt;0,AND(BE$3&gt;=Assumptions!$E$218,BE$3&gt;=Assumptions!$B$14,Revenue_Build!BE10&gt;=Assumptions!$F$218*Assumptions!$B$55)),Assumptions!$D$218,0)</f>
        <v/>
      </c>
      <c r="BF20" s="41">
        <f>IF(OR(BE20&gt;0,AND(BF$3&gt;=Assumptions!$E$218,BF$3&gt;=Assumptions!$B$14,Revenue_Build!BF10&gt;=Assumptions!$F$218*Assumptions!$B$55)),Assumptions!$D$218,0)</f>
        <v/>
      </c>
      <c r="BG20" s="41">
        <f>IF(OR(BF20&gt;0,AND(BG$3&gt;=Assumptions!$E$218,BG$3&gt;=Assumptions!$B$14,Revenue_Build!BG10&gt;=Assumptions!$F$218*Assumptions!$B$55)),Assumptions!$D$218,0)</f>
        <v/>
      </c>
      <c r="BH20" s="41">
        <f>IF(OR(BG20&gt;0,AND(BH$3&gt;=Assumptions!$E$218,BH$3&gt;=Assumptions!$B$14,Revenue_Build!BH10&gt;=Assumptions!$F$218*Assumptions!$B$55)),Assumptions!$D$218,0)</f>
        <v/>
      </c>
      <c r="BI20" s="41">
        <f>IF(OR(BH20&gt;0,AND(BI$3&gt;=Assumptions!$E$218,BI$3&gt;=Assumptions!$B$14,Revenue_Build!BI10&gt;=Assumptions!$F$218*Assumptions!$B$55)),Assumptions!$D$218,0)</f>
        <v/>
      </c>
      <c r="BJ20" s="41">
        <f>IF(OR(BI20&gt;0,AND(BJ$3&gt;=Assumptions!$E$218,BJ$3&gt;=Assumptions!$B$14,Revenue_Build!BJ10&gt;=Assumptions!$F$218*Assumptions!$B$55)),Assumptions!$D$218,0)</f>
        <v/>
      </c>
    </row>
    <row r="21">
      <c r="A21" s="4" t="inlineStr">
        <is>
          <t>Product manager #2</t>
        </is>
      </c>
      <c r="B21" s="17" t="inlineStr">
        <is>
          <t>FTE</t>
        </is>
      </c>
      <c r="C21" s="41">
        <f>IF(AND(C$3&gt;=Assumptions!$E$219,C$3&gt;=Assumptions!$B$14,Revenue_Build!C10&gt;=Assumptions!$F$219*Assumptions!$B$55),Assumptions!$D$219,0)</f>
        <v/>
      </c>
      <c r="D21" s="41">
        <f>IF(OR(C21&gt;0,AND(D$3&gt;=Assumptions!$E$219,D$3&gt;=Assumptions!$B$14,Revenue_Build!D10&gt;=Assumptions!$F$219*Assumptions!$B$55)),Assumptions!$D$219,0)</f>
        <v/>
      </c>
      <c r="E21" s="41">
        <f>IF(OR(D21&gt;0,AND(E$3&gt;=Assumptions!$E$219,E$3&gt;=Assumptions!$B$14,Revenue_Build!E10&gt;=Assumptions!$F$219*Assumptions!$B$55)),Assumptions!$D$219,0)</f>
        <v/>
      </c>
      <c r="F21" s="41">
        <f>IF(OR(E21&gt;0,AND(F$3&gt;=Assumptions!$E$219,F$3&gt;=Assumptions!$B$14,Revenue_Build!F10&gt;=Assumptions!$F$219*Assumptions!$B$55)),Assumptions!$D$219,0)</f>
        <v/>
      </c>
      <c r="G21" s="41">
        <f>IF(OR(F21&gt;0,AND(G$3&gt;=Assumptions!$E$219,G$3&gt;=Assumptions!$B$14,Revenue_Build!G10&gt;=Assumptions!$F$219*Assumptions!$B$55)),Assumptions!$D$219,0)</f>
        <v/>
      </c>
      <c r="H21" s="41">
        <f>IF(OR(G21&gt;0,AND(H$3&gt;=Assumptions!$E$219,H$3&gt;=Assumptions!$B$14,Revenue_Build!H10&gt;=Assumptions!$F$219*Assumptions!$B$55)),Assumptions!$D$219,0)</f>
        <v/>
      </c>
      <c r="I21" s="41">
        <f>IF(OR(H21&gt;0,AND(I$3&gt;=Assumptions!$E$219,I$3&gt;=Assumptions!$B$14,Revenue_Build!I10&gt;=Assumptions!$F$219*Assumptions!$B$55)),Assumptions!$D$219,0)</f>
        <v/>
      </c>
      <c r="J21" s="41">
        <f>IF(OR(I21&gt;0,AND(J$3&gt;=Assumptions!$E$219,J$3&gt;=Assumptions!$B$14,Revenue_Build!J10&gt;=Assumptions!$F$219*Assumptions!$B$55)),Assumptions!$D$219,0)</f>
        <v/>
      </c>
      <c r="K21" s="41">
        <f>IF(OR(J21&gt;0,AND(K$3&gt;=Assumptions!$E$219,K$3&gt;=Assumptions!$B$14,Revenue_Build!K10&gt;=Assumptions!$F$219*Assumptions!$B$55)),Assumptions!$D$219,0)</f>
        <v/>
      </c>
      <c r="L21" s="41">
        <f>IF(OR(K21&gt;0,AND(L$3&gt;=Assumptions!$E$219,L$3&gt;=Assumptions!$B$14,Revenue_Build!L10&gt;=Assumptions!$F$219*Assumptions!$B$55)),Assumptions!$D$219,0)</f>
        <v/>
      </c>
      <c r="M21" s="41">
        <f>IF(OR(L21&gt;0,AND(M$3&gt;=Assumptions!$E$219,M$3&gt;=Assumptions!$B$14,Revenue_Build!M10&gt;=Assumptions!$F$219*Assumptions!$B$55)),Assumptions!$D$219,0)</f>
        <v/>
      </c>
      <c r="N21" s="41">
        <f>IF(OR(M21&gt;0,AND(N$3&gt;=Assumptions!$E$219,N$3&gt;=Assumptions!$B$14,Revenue_Build!N10&gt;=Assumptions!$F$219*Assumptions!$B$55)),Assumptions!$D$219,0)</f>
        <v/>
      </c>
      <c r="O21" s="41">
        <f>IF(OR(N21&gt;0,AND(O$3&gt;=Assumptions!$E$219,O$3&gt;=Assumptions!$B$14,Revenue_Build!O10&gt;=Assumptions!$F$219*Assumptions!$B$55)),Assumptions!$D$219,0)</f>
        <v/>
      </c>
      <c r="P21" s="41">
        <f>IF(OR(O21&gt;0,AND(P$3&gt;=Assumptions!$E$219,P$3&gt;=Assumptions!$B$14,Revenue_Build!P10&gt;=Assumptions!$F$219*Assumptions!$B$55)),Assumptions!$D$219,0)</f>
        <v/>
      </c>
      <c r="Q21" s="41">
        <f>IF(OR(P21&gt;0,AND(Q$3&gt;=Assumptions!$E$219,Q$3&gt;=Assumptions!$B$14,Revenue_Build!Q10&gt;=Assumptions!$F$219*Assumptions!$B$55)),Assumptions!$D$219,0)</f>
        <v/>
      </c>
      <c r="R21" s="41">
        <f>IF(OR(Q21&gt;0,AND(R$3&gt;=Assumptions!$E$219,R$3&gt;=Assumptions!$B$14,Revenue_Build!R10&gt;=Assumptions!$F$219*Assumptions!$B$55)),Assumptions!$D$219,0)</f>
        <v/>
      </c>
      <c r="S21" s="41">
        <f>IF(OR(R21&gt;0,AND(S$3&gt;=Assumptions!$E$219,S$3&gt;=Assumptions!$B$14,Revenue_Build!S10&gt;=Assumptions!$F$219*Assumptions!$B$55)),Assumptions!$D$219,0)</f>
        <v/>
      </c>
      <c r="T21" s="41">
        <f>IF(OR(S21&gt;0,AND(T$3&gt;=Assumptions!$E$219,T$3&gt;=Assumptions!$B$14,Revenue_Build!T10&gt;=Assumptions!$F$219*Assumptions!$B$55)),Assumptions!$D$219,0)</f>
        <v/>
      </c>
      <c r="U21" s="41">
        <f>IF(OR(T21&gt;0,AND(U$3&gt;=Assumptions!$E$219,U$3&gt;=Assumptions!$B$14,Revenue_Build!U10&gt;=Assumptions!$F$219*Assumptions!$B$55)),Assumptions!$D$219,0)</f>
        <v/>
      </c>
      <c r="V21" s="41">
        <f>IF(OR(U21&gt;0,AND(V$3&gt;=Assumptions!$E$219,V$3&gt;=Assumptions!$B$14,Revenue_Build!V10&gt;=Assumptions!$F$219*Assumptions!$B$55)),Assumptions!$D$219,0)</f>
        <v/>
      </c>
      <c r="W21" s="41">
        <f>IF(OR(V21&gt;0,AND(W$3&gt;=Assumptions!$E$219,W$3&gt;=Assumptions!$B$14,Revenue_Build!W10&gt;=Assumptions!$F$219*Assumptions!$B$55)),Assumptions!$D$219,0)</f>
        <v/>
      </c>
      <c r="X21" s="41">
        <f>IF(OR(W21&gt;0,AND(X$3&gt;=Assumptions!$E$219,X$3&gt;=Assumptions!$B$14,Revenue_Build!X10&gt;=Assumptions!$F$219*Assumptions!$B$55)),Assumptions!$D$219,0)</f>
        <v/>
      </c>
      <c r="Y21" s="41">
        <f>IF(OR(X21&gt;0,AND(Y$3&gt;=Assumptions!$E$219,Y$3&gt;=Assumptions!$B$14,Revenue_Build!Y10&gt;=Assumptions!$F$219*Assumptions!$B$55)),Assumptions!$D$219,0)</f>
        <v/>
      </c>
      <c r="Z21" s="41">
        <f>IF(OR(Y21&gt;0,AND(Z$3&gt;=Assumptions!$E$219,Z$3&gt;=Assumptions!$B$14,Revenue_Build!Z10&gt;=Assumptions!$F$219*Assumptions!$B$55)),Assumptions!$D$219,0)</f>
        <v/>
      </c>
      <c r="AA21" s="41">
        <f>IF(OR(Z21&gt;0,AND(AA$3&gt;=Assumptions!$E$219,AA$3&gt;=Assumptions!$B$14,Revenue_Build!AA10&gt;=Assumptions!$F$219*Assumptions!$B$55)),Assumptions!$D$219,0)</f>
        <v/>
      </c>
      <c r="AB21" s="41">
        <f>IF(OR(AA21&gt;0,AND(AB$3&gt;=Assumptions!$E$219,AB$3&gt;=Assumptions!$B$14,Revenue_Build!AB10&gt;=Assumptions!$F$219*Assumptions!$B$55)),Assumptions!$D$219,0)</f>
        <v/>
      </c>
      <c r="AC21" s="41">
        <f>IF(OR(AB21&gt;0,AND(AC$3&gt;=Assumptions!$E$219,AC$3&gt;=Assumptions!$B$14,Revenue_Build!AC10&gt;=Assumptions!$F$219*Assumptions!$B$55)),Assumptions!$D$219,0)</f>
        <v/>
      </c>
      <c r="AD21" s="41">
        <f>IF(OR(AC21&gt;0,AND(AD$3&gt;=Assumptions!$E$219,AD$3&gt;=Assumptions!$B$14,Revenue_Build!AD10&gt;=Assumptions!$F$219*Assumptions!$B$55)),Assumptions!$D$219,0)</f>
        <v/>
      </c>
      <c r="AE21" s="41">
        <f>IF(OR(AD21&gt;0,AND(AE$3&gt;=Assumptions!$E$219,AE$3&gt;=Assumptions!$B$14,Revenue_Build!AE10&gt;=Assumptions!$F$219*Assumptions!$B$55)),Assumptions!$D$219,0)</f>
        <v/>
      </c>
      <c r="AF21" s="41">
        <f>IF(OR(AE21&gt;0,AND(AF$3&gt;=Assumptions!$E$219,AF$3&gt;=Assumptions!$B$14,Revenue_Build!AF10&gt;=Assumptions!$F$219*Assumptions!$B$55)),Assumptions!$D$219,0)</f>
        <v/>
      </c>
      <c r="AG21" s="41">
        <f>IF(OR(AF21&gt;0,AND(AG$3&gt;=Assumptions!$E$219,AG$3&gt;=Assumptions!$B$14,Revenue_Build!AG10&gt;=Assumptions!$F$219*Assumptions!$B$55)),Assumptions!$D$219,0)</f>
        <v/>
      </c>
      <c r="AH21" s="41">
        <f>IF(OR(AG21&gt;0,AND(AH$3&gt;=Assumptions!$E$219,AH$3&gt;=Assumptions!$B$14,Revenue_Build!AH10&gt;=Assumptions!$F$219*Assumptions!$B$55)),Assumptions!$D$219,0)</f>
        <v/>
      </c>
      <c r="AI21" s="41">
        <f>IF(OR(AH21&gt;0,AND(AI$3&gt;=Assumptions!$E$219,AI$3&gt;=Assumptions!$B$14,Revenue_Build!AI10&gt;=Assumptions!$F$219*Assumptions!$B$55)),Assumptions!$D$219,0)</f>
        <v/>
      </c>
      <c r="AJ21" s="41">
        <f>IF(OR(AI21&gt;0,AND(AJ$3&gt;=Assumptions!$E$219,AJ$3&gt;=Assumptions!$B$14,Revenue_Build!AJ10&gt;=Assumptions!$F$219*Assumptions!$B$55)),Assumptions!$D$219,0)</f>
        <v/>
      </c>
      <c r="AK21" s="41">
        <f>IF(OR(AJ21&gt;0,AND(AK$3&gt;=Assumptions!$E$219,AK$3&gt;=Assumptions!$B$14,Revenue_Build!AK10&gt;=Assumptions!$F$219*Assumptions!$B$55)),Assumptions!$D$219,0)</f>
        <v/>
      </c>
      <c r="AL21" s="41">
        <f>IF(OR(AK21&gt;0,AND(AL$3&gt;=Assumptions!$E$219,AL$3&gt;=Assumptions!$B$14,Revenue_Build!AL10&gt;=Assumptions!$F$219*Assumptions!$B$55)),Assumptions!$D$219,0)</f>
        <v/>
      </c>
      <c r="AM21" s="41">
        <f>IF(OR(AL21&gt;0,AND(AM$3&gt;=Assumptions!$E$219,AM$3&gt;=Assumptions!$B$14,Revenue_Build!AM10&gt;=Assumptions!$F$219*Assumptions!$B$55)),Assumptions!$D$219,0)</f>
        <v/>
      </c>
      <c r="AN21" s="41">
        <f>IF(OR(AM21&gt;0,AND(AN$3&gt;=Assumptions!$E$219,AN$3&gt;=Assumptions!$B$14,Revenue_Build!AN10&gt;=Assumptions!$F$219*Assumptions!$B$55)),Assumptions!$D$219,0)</f>
        <v/>
      </c>
      <c r="AO21" s="41">
        <f>IF(OR(AN21&gt;0,AND(AO$3&gt;=Assumptions!$E$219,AO$3&gt;=Assumptions!$B$14,Revenue_Build!AO10&gt;=Assumptions!$F$219*Assumptions!$B$55)),Assumptions!$D$219,0)</f>
        <v/>
      </c>
      <c r="AP21" s="41">
        <f>IF(OR(AO21&gt;0,AND(AP$3&gt;=Assumptions!$E$219,AP$3&gt;=Assumptions!$B$14,Revenue_Build!AP10&gt;=Assumptions!$F$219*Assumptions!$B$55)),Assumptions!$D$219,0)</f>
        <v/>
      </c>
      <c r="AQ21" s="41">
        <f>IF(OR(AP21&gt;0,AND(AQ$3&gt;=Assumptions!$E$219,AQ$3&gt;=Assumptions!$B$14,Revenue_Build!AQ10&gt;=Assumptions!$F$219*Assumptions!$B$55)),Assumptions!$D$219,0)</f>
        <v/>
      </c>
      <c r="AR21" s="41">
        <f>IF(OR(AQ21&gt;0,AND(AR$3&gt;=Assumptions!$E$219,AR$3&gt;=Assumptions!$B$14,Revenue_Build!AR10&gt;=Assumptions!$F$219*Assumptions!$B$55)),Assumptions!$D$219,0)</f>
        <v/>
      </c>
      <c r="AS21" s="41">
        <f>IF(OR(AR21&gt;0,AND(AS$3&gt;=Assumptions!$E$219,AS$3&gt;=Assumptions!$B$14,Revenue_Build!AS10&gt;=Assumptions!$F$219*Assumptions!$B$55)),Assumptions!$D$219,0)</f>
        <v/>
      </c>
      <c r="AT21" s="41">
        <f>IF(OR(AS21&gt;0,AND(AT$3&gt;=Assumptions!$E$219,AT$3&gt;=Assumptions!$B$14,Revenue_Build!AT10&gt;=Assumptions!$F$219*Assumptions!$B$55)),Assumptions!$D$219,0)</f>
        <v/>
      </c>
      <c r="AU21" s="41">
        <f>IF(OR(AT21&gt;0,AND(AU$3&gt;=Assumptions!$E$219,AU$3&gt;=Assumptions!$B$14,Revenue_Build!AU10&gt;=Assumptions!$F$219*Assumptions!$B$55)),Assumptions!$D$219,0)</f>
        <v/>
      </c>
      <c r="AV21" s="41">
        <f>IF(OR(AU21&gt;0,AND(AV$3&gt;=Assumptions!$E$219,AV$3&gt;=Assumptions!$B$14,Revenue_Build!AV10&gt;=Assumptions!$F$219*Assumptions!$B$55)),Assumptions!$D$219,0)</f>
        <v/>
      </c>
      <c r="AW21" s="41">
        <f>IF(OR(AV21&gt;0,AND(AW$3&gt;=Assumptions!$E$219,AW$3&gt;=Assumptions!$B$14,Revenue_Build!AW10&gt;=Assumptions!$F$219*Assumptions!$B$55)),Assumptions!$D$219,0)</f>
        <v/>
      </c>
      <c r="AX21" s="41">
        <f>IF(OR(AW21&gt;0,AND(AX$3&gt;=Assumptions!$E$219,AX$3&gt;=Assumptions!$B$14,Revenue_Build!AX10&gt;=Assumptions!$F$219*Assumptions!$B$55)),Assumptions!$D$219,0)</f>
        <v/>
      </c>
      <c r="AY21" s="41">
        <f>IF(OR(AX21&gt;0,AND(AY$3&gt;=Assumptions!$E$219,AY$3&gt;=Assumptions!$B$14,Revenue_Build!AY10&gt;=Assumptions!$F$219*Assumptions!$B$55)),Assumptions!$D$219,0)</f>
        <v/>
      </c>
      <c r="AZ21" s="41">
        <f>IF(OR(AY21&gt;0,AND(AZ$3&gt;=Assumptions!$E$219,AZ$3&gt;=Assumptions!$B$14,Revenue_Build!AZ10&gt;=Assumptions!$F$219*Assumptions!$B$55)),Assumptions!$D$219,0)</f>
        <v/>
      </c>
      <c r="BA21" s="41">
        <f>IF(OR(AZ21&gt;0,AND(BA$3&gt;=Assumptions!$E$219,BA$3&gt;=Assumptions!$B$14,Revenue_Build!BA10&gt;=Assumptions!$F$219*Assumptions!$B$55)),Assumptions!$D$219,0)</f>
        <v/>
      </c>
      <c r="BB21" s="41">
        <f>IF(OR(BA21&gt;0,AND(BB$3&gt;=Assumptions!$E$219,BB$3&gt;=Assumptions!$B$14,Revenue_Build!BB10&gt;=Assumptions!$F$219*Assumptions!$B$55)),Assumptions!$D$219,0)</f>
        <v/>
      </c>
      <c r="BC21" s="41">
        <f>IF(OR(BB21&gt;0,AND(BC$3&gt;=Assumptions!$E$219,BC$3&gt;=Assumptions!$B$14,Revenue_Build!BC10&gt;=Assumptions!$F$219*Assumptions!$B$55)),Assumptions!$D$219,0)</f>
        <v/>
      </c>
      <c r="BD21" s="41">
        <f>IF(OR(BC21&gt;0,AND(BD$3&gt;=Assumptions!$E$219,BD$3&gt;=Assumptions!$B$14,Revenue_Build!BD10&gt;=Assumptions!$F$219*Assumptions!$B$55)),Assumptions!$D$219,0)</f>
        <v/>
      </c>
      <c r="BE21" s="41">
        <f>IF(OR(BD21&gt;0,AND(BE$3&gt;=Assumptions!$E$219,BE$3&gt;=Assumptions!$B$14,Revenue_Build!BE10&gt;=Assumptions!$F$219*Assumptions!$B$55)),Assumptions!$D$219,0)</f>
        <v/>
      </c>
      <c r="BF21" s="41">
        <f>IF(OR(BE21&gt;0,AND(BF$3&gt;=Assumptions!$E$219,BF$3&gt;=Assumptions!$B$14,Revenue_Build!BF10&gt;=Assumptions!$F$219*Assumptions!$B$55)),Assumptions!$D$219,0)</f>
        <v/>
      </c>
      <c r="BG21" s="41">
        <f>IF(OR(BF21&gt;0,AND(BG$3&gt;=Assumptions!$E$219,BG$3&gt;=Assumptions!$B$14,Revenue_Build!BG10&gt;=Assumptions!$F$219*Assumptions!$B$55)),Assumptions!$D$219,0)</f>
        <v/>
      </c>
      <c r="BH21" s="41">
        <f>IF(OR(BG21&gt;0,AND(BH$3&gt;=Assumptions!$E$219,BH$3&gt;=Assumptions!$B$14,Revenue_Build!BH10&gt;=Assumptions!$F$219*Assumptions!$B$55)),Assumptions!$D$219,0)</f>
        <v/>
      </c>
      <c r="BI21" s="41">
        <f>IF(OR(BH21&gt;0,AND(BI$3&gt;=Assumptions!$E$219,BI$3&gt;=Assumptions!$B$14,Revenue_Build!BI10&gt;=Assumptions!$F$219*Assumptions!$B$55)),Assumptions!$D$219,0)</f>
        <v/>
      </c>
      <c r="BJ21" s="41">
        <f>IF(OR(BI21&gt;0,AND(BJ$3&gt;=Assumptions!$E$219,BJ$3&gt;=Assumptions!$B$14,Revenue_Build!BJ10&gt;=Assumptions!$F$219*Assumptions!$B$55)),Assumptions!$D$219,0)</f>
        <v/>
      </c>
    </row>
    <row r="22">
      <c r="A22" s="4" t="inlineStr">
        <is>
          <t>Engineers (scale-up II)</t>
        </is>
      </c>
      <c r="B22" s="17" t="inlineStr">
        <is>
          <t>FTE</t>
        </is>
      </c>
      <c r="C22" s="41">
        <f>IF(AND(C$3&gt;=Assumptions!$E$220,C$3&gt;=Assumptions!$B$14,Revenue_Build!C10&gt;=Assumptions!$F$220*Assumptions!$B$55),Assumptions!$D$220,0)</f>
        <v/>
      </c>
      <c r="D22" s="41">
        <f>IF(OR(C22&gt;0,AND(D$3&gt;=Assumptions!$E$220,D$3&gt;=Assumptions!$B$14,Revenue_Build!D10&gt;=Assumptions!$F$220*Assumptions!$B$55)),Assumptions!$D$220,0)</f>
        <v/>
      </c>
      <c r="E22" s="41">
        <f>IF(OR(D22&gt;0,AND(E$3&gt;=Assumptions!$E$220,E$3&gt;=Assumptions!$B$14,Revenue_Build!E10&gt;=Assumptions!$F$220*Assumptions!$B$55)),Assumptions!$D$220,0)</f>
        <v/>
      </c>
      <c r="F22" s="41">
        <f>IF(OR(E22&gt;0,AND(F$3&gt;=Assumptions!$E$220,F$3&gt;=Assumptions!$B$14,Revenue_Build!F10&gt;=Assumptions!$F$220*Assumptions!$B$55)),Assumptions!$D$220,0)</f>
        <v/>
      </c>
      <c r="G22" s="41">
        <f>IF(OR(F22&gt;0,AND(G$3&gt;=Assumptions!$E$220,G$3&gt;=Assumptions!$B$14,Revenue_Build!G10&gt;=Assumptions!$F$220*Assumptions!$B$55)),Assumptions!$D$220,0)</f>
        <v/>
      </c>
      <c r="H22" s="41">
        <f>IF(OR(G22&gt;0,AND(H$3&gt;=Assumptions!$E$220,H$3&gt;=Assumptions!$B$14,Revenue_Build!H10&gt;=Assumptions!$F$220*Assumptions!$B$55)),Assumptions!$D$220,0)</f>
        <v/>
      </c>
      <c r="I22" s="41">
        <f>IF(OR(H22&gt;0,AND(I$3&gt;=Assumptions!$E$220,I$3&gt;=Assumptions!$B$14,Revenue_Build!I10&gt;=Assumptions!$F$220*Assumptions!$B$55)),Assumptions!$D$220,0)</f>
        <v/>
      </c>
      <c r="J22" s="41">
        <f>IF(OR(I22&gt;0,AND(J$3&gt;=Assumptions!$E$220,J$3&gt;=Assumptions!$B$14,Revenue_Build!J10&gt;=Assumptions!$F$220*Assumptions!$B$55)),Assumptions!$D$220,0)</f>
        <v/>
      </c>
      <c r="K22" s="41">
        <f>IF(OR(J22&gt;0,AND(K$3&gt;=Assumptions!$E$220,K$3&gt;=Assumptions!$B$14,Revenue_Build!K10&gt;=Assumptions!$F$220*Assumptions!$B$55)),Assumptions!$D$220,0)</f>
        <v/>
      </c>
      <c r="L22" s="41">
        <f>IF(OR(K22&gt;0,AND(L$3&gt;=Assumptions!$E$220,L$3&gt;=Assumptions!$B$14,Revenue_Build!L10&gt;=Assumptions!$F$220*Assumptions!$B$55)),Assumptions!$D$220,0)</f>
        <v/>
      </c>
      <c r="M22" s="41">
        <f>IF(OR(L22&gt;0,AND(M$3&gt;=Assumptions!$E$220,M$3&gt;=Assumptions!$B$14,Revenue_Build!M10&gt;=Assumptions!$F$220*Assumptions!$B$55)),Assumptions!$D$220,0)</f>
        <v/>
      </c>
      <c r="N22" s="41">
        <f>IF(OR(M22&gt;0,AND(N$3&gt;=Assumptions!$E$220,N$3&gt;=Assumptions!$B$14,Revenue_Build!N10&gt;=Assumptions!$F$220*Assumptions!$B$55)),Assumptions!$D$220,0)</f>
        <v/>
      </c>
      <c r="O22" s="41">
        <f>IF(OR(N22&gt;0,AND(O$3&gt;=Assumptions!$E$220,O$3&gt;=Assumptions!$B$14,Revenue_Build!O10&gt;=Assumptions!$F$220*Assumptions!$B$55)),Assumptions!$D$220,0)</f>
        <v/>
      </c>
      <c r="P22" s="41">
        <f>IF(OR(O22&gt;0,AND(P$3&gt;=Assumptions!$E$220,P$3&gt;=Assumptions!$B$14,Revenue_Build!P10&gt;=Assumptions!$F$220*Assumptions!$B$55)),Assumptions!$D$220,0)</f>
        <v/>
      </c>
      <c r="Q22" s="41">
        <f>IF(OR(P22&gt;0,AND(Q$3&gt;=Assumptions!$E$220,Q$3&gt;=Assumptions!$B$14,Revenue_Build!Q10&gt;=Assumptions!$F$220*Assumptions!$B$55)),Assumptions!$D$220,0)</f>
        <v/>
      </c>
      <c r="R22" s="41">
        <f>IF(OR(Q22&gt;0,AND(R$3&gt;=Assumptions!$E$220,R$3&gt;=Assumptions!$B$14,Revenue_Build!R10&gt;=Assumptions!$F$220*Assumptions!$B$55)),Assumptions!$D$220,0)</f>
        <v/>
      </c>
      <c r="S22" s="41">
        <f>IF(OR(R22&gt;0,AND(S$3&gt;=Assumptions!$E$220,S$3&gt;=Assumptions!$B$14,Revenue_Build!S10&gt;=Assumptions!$F$220*Assumptions!$B$55)),Assumptions!$D$220,0)</f>
        <v/>
      </c>
      <c r="T22" s="41">
        <f>IF(OR(S22&gt;0,AND(T$3&gt;=Assumptions!$E$220,T$3&gt;=Assumptions!$B$14,Revenue_Build!T10&gt;=Assumptions!$F$220*Assumptions!$B$55)),Assumptions!$D$220,0)</f>
        <v/>
      </c>
      <c r="U22" s="41">
        <f>IF(OR(T22&gt;0,AND(U$3&gt;=Assumptions!$E$220,U$3&gt;=Assumptions!$B$14,Revenue_Build!U10&gt;=Assumptions!$F$220*Assumptions!$B$55)),Assumptions!$D$220,0)</f>
        <v/>
      </c>
      <c r="V22" s="41">
        <f>IF(OR(U22&gt;0,AND(V$3&gt;=Assumptions!$E$220,V$3&gt;=Assumptions!$B$14,Revenue_Build!V10&gt;=Assumptions!$F$220*Assumptions!$B$55)),Assumptions!$D$220,0)</f>
        <v/>
      </c>
      <c r="W22" s="41">
        <f>IF(OR(V22&gt;0,AND(W$3&gt;=Assumptions!$E$220,W$3&gt;=Assumptions!$B$14,Revenue_Build!W10&gt;=Assumptions!$F$220*Assumptions!$B$55)),Assumptions!$D$220,0)</f>
        <v/>
      </c>
      <c r="X22" s="41">
        <f>IF(OR(W22&gt;0,AND(X$3&gt;=Assumptions!$E$220,X$3&gt;=Assumptions!$B$14,Revenue_Build!X10&gt;=Assumptions!$F$220*Assumptions!$B$55)),Assumptions!$D$220,0)</f>
        <v/>
      </c>
      <c r="Y22" s="41">
        <f>IF(OR(X22&gt;0,AND(Y$3&gt;=Assumptions!$E$220,Y$3&gt;=Assumptions!$B$14,Revenue_Build!Y10&gt;=Assumptions!$F$220*Assumptions!$B$55)),Assumptions!$D$220,0)</f>
        <v/>
      </c>
      <c r="Z22" s="41">
        <f>IF(OR(Y22&gt;0,AND(Z$3&gt;=Assumptions!$E$220,Z$3&gt;=Assumptions!$B$14,Revenue_Build!Z10&gt;=Assumptions!$F$220*Assumptions!$B$55)),Assumptions!$D$220,0)</f>
        <v/>
      </c>
      <c r="AA22" s="41">
        <f>IF(OR(Z22&gt;0,AND(AA$3&gt;=Assumptions!$E$220,AA$3&gt;=Assumptions!$B$14,Revenue_Build!AA10&gt;=Assumptions!$F$220*Assumptions!$B$55)),Assumptions!$D$220,0)</f>
        <v/>
      </c>
      <c r="AB22" s="41">
        <f>IF(OR(AA22&gt;0,AND(AB$3&gt;=Assumptions!$E$220,AB$3&gt;=Assumptions!$B$14,Revenue_Build!AB10&gt;=Assumptions!$F$220*Assumptions!$B$55)),Assumptions!$D$220,0)</f>
        <v/>
      </c>
      <c r="AC22" s="41">
        <f>IF(OR(AB22&gt;0,AND(AC$3&gt;=Assumptions!$E$220,AC$3&gt;=Assumptions!$B$14,Revenue_Build!AC10&gt;=Assumptions!$F$220*Assumptions!$B$55)),Assumptions!$D$220,0)</f>
        <v/>
      </c>
      <c r="AD22" s="41">
        <f>IF(OR(AC22&gt;0,AND(AD$3&gt;=Assumptions!$E$220,AD$3&gt;=Assumptions!$B$14,Revenue_Build!AD10&gt;=Assumptions!$F$220*Assumptions!$B$55)),Assumptions!$D$220,0)</f>
        <v/>
      </c>
      <c r="AE22" s="41">
        <f>IF(OR(AD22&gt;0,AND(AE$3&gt;=Assumptions!$E$220,AE$3&gt;=Assumptions!$B$14,Revenue_Build!AE10&gt;=Assumptions!$F$220*Assumptions!$B$55)),Assumptions!$D$220,0)</f>
        <v/>
      </c>
      <c r="AF22" s="41">
        <f>IF(OR(AE22&gt;0,AND(AF$3&gt;=Assumptions!$E$220,AF$3&gt;=Assumptions!$B$14,Revenue_Build!AF10&gt;=Assumptions!$F$220*Assumptions!$B$55)),Assumptions!$D$220,0)</f>
        <v/>
      </c>
      <c r="AG22" s="41">
        <f>IF(OR(AF22&gt;0,AND(AG$3&gt;=Assumptions!$E$220,AG$3&gt;=Assumptions!$B$14,Revenue_Build!AG10&gt;=Assumptions!$F$220*Assumptions!$B$55)),Assumptions!$D$220,0)</f>
        <v/>
      </c>
      <c r="AH22" s="41">
        <f>IF(OR(AG22&gt;0,AND(AH$3&gt;=Assumptions!$E$220,AH$3&gt;=Assumptions!$B$14,Revenue_Build!AH10&gt;=Assumptions!$F$220*Assumptions!$B$55)),Assumptions!$D$220,0)</f>
        <v/>
      </c>
      <c r="AI22" s="41">
        <f>IF(OR(AH22&gt;0,AND(AI$3&gt;=Assumptions!$E$220,AI$3&gt;=Assumptions!$B$14,Revenue_Build!AI10&gt;=Assumptions!$F$220*Assumptions!$B$55)),Assumptions!$D$220,0)</f>
        <v/>
      </c>
      <c r="AJ22" s="41">
        <f>IF(OR(AI22&gt;0,AND(AJ$3&gt;=Assumptions!$E$220,AJ$3&gt;=Assumptions!$B$14,Revenue_Build!AJ10&gt;=Assumptions!$F$220*Assumptions!$B$55)),Assumptions!$D$220,0)</f>
        <v/>
      </c>
      <c r="AK22" s="41">
        <f>IF(OR(AJ22&gt;0,AND(AK$3&gt;=Assumptions!$E$220,AK$3&gt;=Assumptions!$B$14,Revenue_Build!AK10&gt;=Assumptions!$F$220*Assumptions!$B$55)),Assumptions!$D$220,0)</f>
        <v/>
      </c>
      <c r="AL22" s="41">
        <f>IF(OR(AK22&gt;0,AND(AL$3&gt;=Assumptions!$E$220,AL$3&gt;=Assumptions!$B$14,Revenue_Build!AL10&gt;=Assumptions!$F$220*Assumptions!$B$55)),Assumptions!$D$220,0)</f>
        <v/>
      </c>
      <c r="AM22" s="41">
        <f>IF(OR(AL22&gt;0,AND(AM$3&gt;=Assumptions!$E$220,AM$3&gt;=Assumptions!$B$14,Revenue_Build!AM10&gt;=Assumptions!$F$220*Assumptions!$B$55)),Assumptions!$D$220,0)</f>
        <v/>
      </c>
      <c r="AN22" s="41">
        <f>IF(OR(AM22&gt;0,AND(AN$3&gt;=Assumptions!$E$220,AN$3&gt;=Assumptions!$B$14,Revenue_Build!AN10&gt;=Assumptions!$F$220*Assumptions!$B$55)),Assumptions!$D$220,0)</f>
        <v/>
      </c>
      <c r="AO22" s="41">
        <f>IF(OR(AN22&gt;0,AND(AO$3&gt;=Assumptions!$E$220,AO$3&gt;=Assumptions!$B$14,Revenue_Build!AO10&gt;=Assumptions!$F$220*Assumptions!$B$55)),Assumptions!$D$220,0)</f>
        <v/>
      </c>
      <c r="AP22" s="41">
        <f>IF(OR(AO22&gt;0,AND(AP$3&gt;=Assumptions!$E$220,AP$3&gt;=Assumptions!$B$14,Revenue_Build!AP10&gt;=Assumptions!$F$220*Assumptions!$B$55)),Assumptions!$D$220,0)</f>
        <v/>
      </c>
      <c r="AQ22" s="41">
        <f>IF(OR(AP22&gt;0,AND(AQ$3&gt;=Assumptions!$E$220,AQ$3&gt;=Assumptions!$B$14,Revenue_Build!AQ10&gt;=Assumptions!$F$220*Assumptions!$B$55)),Assumptions!$D$220,0)</f>
        <v/>
      </c>
      <c r="AR22" s="41">
        <f>IF(OR(AQ22&gt;0,AND(AR$3&gt;=Assumptions!$E$220,AR$3&gt;=Assumptions!$B$14,Revenue_Build!AR10&gt;=Assumptions!$F$220*Assumptions!$B$55)),Assumptions!$D$220,0)</f>
        <v/>
      </c>
      <c r="AS22" s="41">
        <f>IF(OR(AR22&gt;0,AND(AS$3&gt;=Assumptions!$E$220,AS$3&gt;=Assumptions!$B$14,Revenue_Build!AS10&gt;=Assumptions!$F$220*Assumptions!$B$55)),Assumptions!$D$220,0)</f>
        <v/>
      </c>
      <c r="AT22" s="41">
        <f>IF(OR(AS22&gt;0,AND(AT$3&gt;=Assumptions!$E$220,AT$3&gt;=Assumptions!$B$14,Revenue_Build!AT10&gt;=Assumptions!$F$220*Assumptions!$B$55)),Assumptions!$D$220,0)</f>
        <v/>
      </c>
      <c r="AU22" s="41">
        <f>IF(OR(AT22&gt;0,AND(AU$3&gt;=Assumptions!$E$220,AU$3&gt;=Assumptions!$B$14,Revenue_Build!AU10&gt;=Assumptions!$F$220*Assumptions!$B$55)),Assumptions!$D$220,0)</f>
        <v/>
      </c>
      <c r="AV22" s="41">
        <f>IF(OR(AU22&gt;0,AND(AV$3&gt;=Assumptions!$E$220,AV$3&gt;=Assumptions!$B$14,Revenue_Build!AV10&gt;=Assumptions!$F$220*Assumptions!$B$55)),Assumptions!$D$220,0)</f>
        <v/>
      </c>
      <c r="AW22" s="41">
        <f>IF(OR(AV22&gt;0,AND(AW$3&gt;=Assumptions!$E$220,AW$3&gt;=Assumptions!$B$14,Revenue_Build!AW10&gt;=Assumptions!$F$220*Assumptions!$B$55)),Assumptions!$D$220,0)</f>
        <v/>
      </c>
      <c r="AX22" s="41">
        <f>IF(OR(AW22&gt;0,AND(AX$3&gt;=Assumptions!$E$220,AX$3&gt;=Assumptions!$B$14,Revenue_Build!AX10&gt;=Assumptions!$F$220*Assumptions!$B$55)),Assumptions!$D$220,0)</f>
        <v/>
      </c>
      <c r="AY22" s="41">
        <f>IF(OR(AX22&gt;0,AND(AY$3&gt;=Assumptions!$E$220,AY$3&gt;=Assumptions!$B$14,Revenue_Build!AY10&gt;=Assumptions!$F$220*Assumptions!$B$55)),Assumptions!$D$220,0)</f>
        <v/>
      </c>
      <c r="AZ22" s="41">
        <f>IF(OR(AY22&gt;0,AND(AZ$3&gt;=Assumptions!$E$220,AZ$3&gt;=Assumptions!$B$14,Revenue_Build!AZ10&gt;=Assumptions!$F$220*Assumptions!$B$55)),Assumptions!$D$220,0)</f>
        <v/>
      </c>
      <c r="BA22" s="41">
        <f>IF(OR(AZ22&gt;0,AND(BA$3&gt;=Assumptions!$E$220,BA$3&gt;=Assumptions!$B$14,Revenue_Build!BA10&gt;=Assumptions!$F$220*Assumptions!$B$55)),Assumptions!$D$220,0)</f>
        <v/>
      </c>
      <c r="BB22" s="41">
        <f>IF(OR(BA22&gt;0,AND(BB$3&gt;=Assumptions!$E$220,BB$3&gt;=Assumptions!$B$14,Revenue_Build!BB10&gt;=Assumptions!$F$220*Assumptions!$B$55)),Assumptions!$D$220,0)</f>
        <v/>
      </c>
      <c r="BC22" s="41">
        <f>IF(OR(BB22&gt;0,AND(BC$3&gt;=Assumptions!$E$220,BC$3&gt;=Assumptions!$B$14,Revenue_Build!BC10&gt;=Assumptions!$F$220*Assumptions!$B$55)),Assumptions!$D$220,0)</f>
        <v/>
      </c>
      <c r="BD22" s="41">
        <f>IF(OR(BC22&gt;0,AND(BD$3&gt;=Assumptions!$E$220,BD$3&gt;=Assumptions!$B$14,Revenue_Build!BD10&gt;=Assumptions!$F$220*Assumptions!$B$55)),Assumptions!$D$220,0)</f>
        <v/>
      </c>
      <c r="BE22" s="41">
        <f>IF(OR(BD22&gt;0,AND(BE$3&gt;=Assumptions!$E$220,BE$3&gt;=Assumptions!$B$14,Revenue_Build!BE10&gt;=Assumptions!$F$220*Assumptions!$B$55)),Assumptions!$D$220,0)</f>
        <v/>
      </c>
      <c r="BF22" s="41">
        <f>IF(OR(BE22&gt;0,AND(BF$3&gt;=Assumptions!$E$220,BF$3&gt;=Assumptions!$B$14,Revenue_Build!BF10&gt;=Assumptions!$F$220*Assumptions!$B$55)),Assumptions!$D$220,0)</f>
        <v/>
      </c>
      <c r="BG22" s="41">
        <f>IF(OR(BF22&gt;0,AND(BG$3&gt;=Assumptions!$E$220,BG$3&gt;=Assumptions!$B$14,Revenue_Build!BG10&gt;=Assumptions!$F$220*Assumptions!$B$55)),Assumptions!$D$220,0)</f>
        <v/>
      </c>
      <c r="BH22" s="41">
        <f>IF(OR(BG22&gt;0,AND(BH$3&gt;=Assumptions!$E$220,BH$3&gt;=Assumptions!$B$14,Revenue_Build!BH10&gt;=Assumptions!$F$220*Assumptions!$B$55)),Assumptions!$D$220,0)</f>
        <v/>
      </c>
      <c r="BI22" s="41">
        <f>IF(OR(BH22&gt;0,AND(BI$3&gt;=Assumptions!$E$220,BI$3&gt;=Assumptions!$B$14,Revenue_Build!BI10&gt;=Assumptions!$F$220*Assumptions!$B$55)),Assumptions!$D$220,0)</f>
        <v/>
      </c>
      <c r="BJ22" s="41">
        <f>IF(OR(BI22&gt;0,AND(BJ$3&gt;=Assumptions!$E$220,BJ$3&gt;=Assumptions!$B$14,Revenue_Build!BJ10&gt;=Assumptions!$F$220*Assumptions!$B$55)),Assumptions!$D$220,0)</f>
        <v/>
      </c>
    </row>
    <row r="23">
      <c r="A23" s="4" t="inlineStr">
        <is>
          <t>Data / AI engineers</t>
        </is>
      </c>
      <c r="B23" s="17" t="inlineStr">
        <is>
          <t>FTE</t>
        </is>
      </c>
      <c r="C23" s="41">
        <f>IF(AND(C$3&gt;=Assumptions!$E$221,C$3&gt;=Assumptions!$B$14,Revenue_Build!C10&gt;=Assumptions!$F$221*Assumptions!$B$55),Assumptions!$D$221,0)</f>
        <v/>
      </c>
      <c r="D23" s="41">
        <f>IF(OR(C23&gt;0,AND(D$3&gt;=Assumptions!$E$221,D$3&gt;=Assumptions!$B$14,Revenue_Build!D10&gt;=Assumptions!$F$221*Assumptions!$B$55)),Assumptions!$D$221,0)</f>
        <v/>
      </c>
      <c r="E23" s="41">
        <f>IF(OR(D23&gt;0,AND(E$3&gt;=Assumptions!$E$221,E$3&gt;=Assumptions!$B$14,Revenue_Build!E10&gt;=Assumptions!$F$221*Assumptions!$B$55)),Assumptions!$D$221,0)</f>
        <v/>
      </c>
      <c r="F23" s="41">
        <f>IF(OR(E23&gt;0,AND(F$3&gt;=Assumptions!$E$221,F$3&gt;=Assumptions!$B$14,Revenue_Build!F10&gt;=Assumptions!$F$221*Assumptions!$B$55)),Assumptions!$D$221,0)</f>
        <v/>
      </c>
      <c r="G23" s="41">
        <f>IF(OR(F23&gt;0,AND(G$3&gt;=Assumptions!$E$221,G$3&gt;=Assumptions!$B$14,Revenue_Build!G10&gt;=Assumptions!$F$221*Assumptions!$B$55)),Assumptions!$D$221,0)</f>
        <v/>
      </c>
      <c r="H23" s="41">
        <f>IF(OR(G23&gt;0,AND(H$3&gt;=Assumptions!$E$221,H$3&gt;=Assumptions!$B$14,Revenue_Build!H10&gt;=Assumptions!$F$221*Assumptions!$B$55)),Assumptions!$D$221,0)</f>
        <v/>
      </c>
      <c r="I23" s="41">
        <f>IF(OR(H23&gt;0,AND(I$3&gt;=Assumptions!$E$221,I$3&gt;=Assumptions!$B$14,Revenue_Build!I10&gt;=Assumptions!$F$221*Assumptions!$B$55)),Assumptions!$D$221,0)</f>
        <v/>
      </c>
      <c r="J23" s="41">
        <f>IF(OR(I23&gt;0,AND(J$3&gt;=Assumptions!$E$221,J$3&gt;=Assumptions!$B$14,Revenue_Build!J10&gt;=Assumptions!$F$221*Assumptions!$B$55)),Assumptions!$D$221,0)</f>
        <v/>
      </c>
      <c r="K23" s="41">
        <f>IF(OR(J23&gt;0,AND(K$3&gt;=Assumptions!$E$221,K$3&gt;=Assumptions!$B$14,Revenue_Build!K10&gt;=Assumptions!$F$221*Assumptions!$B$55)),Assumptions!$D$221,0)</f>
        <v/>
      </c>
      <c r="L23" s="41">
        <f>IF(OR(K23&gt;0,AND(L$3&gt;=Assumptions!$E$221,L$3&gt;=Assumptions!$B$14,Revenue_Build!L10&gt;=Assumptions!$F$221*Assumptions!$B$55)),Assumptions!$D$221,0)</f>
        <v/>
      </c>
      <c r="M23" s="41">
        <f>IF(OR(L23&gt;0,AND(M$3&gt;=Assumptions!$E$221,M$3&gt;=Assumptions!$B$14,Revenue_Build!M10&gt;=Assumptions!$F$221*Assumptions!$B$55)),Assumptions!$D$221,0)</f>
        <v/>
      </c>
      <c r="N23" s="41">
        <f>IF(OR(M23&gt;0,AND(N$3&gt;=Assumptions!$E$221,N$3&gt;=Assumptions!$B$14,Revenue_Build!N10&gt;=Assumptions!$F$221*Assumptions!$B$55)),Assumptions!$D$221,0)</f>
        <v/>
      </c>
      <c r="O23" s="41">
        <f>IF(OR(N23&gt;0,AND(O$3&gt;=Assumptions!$E$221,O$3&gt;=Assumptions!$B$14,Revenue_Build!O10&gt;=Assumptions!$F$221*Assumptions!$B$55)),Assumptions!$D$221,0)</f>
        <v/>
      </c>
      <c r="P23" s="41">
        <f>IF(OR(O23&gt;0,AND(P$3&gt;=Assumptions!$E$221,P$3&gt;=Assumptions!$B$14,Revenue_Build!P10&gt;=Assumptions!$F$221*Assumptions!$B$55)),Assumptions!$D$221,0)</f>
        <v/>
      </c>
      <c r="Q23" s="41">
        <f>IF(OR(P23&gt;0,AND(Q$3&gt;=Assumptions!$E$221,Q$3&gt;=Assumptions!$B$14,Revenue_Build!Q10&gt;=Assumptions!$F$221*Assumptions!$B$55)),Assumptions!$D$221,0)</f>
        <v/>
      </c>
      <c r="R23" s="41">
        <f>IF(OR(Q23&gt;0,AND(R$3&gt;=Assumptions!$E$221,R$3&gt;=Assumptions!$B$14,Revenue_Build!R10&gt;=Assumptions!$F$221*Assumptions!$B$55)),Assumptions!$D$221,0)</f>
        <v/>
      </c>
      <c r="S23" s="41">
        <f>IF(OR(R23&gt;0,AND(S$3&gt;=Assumptions!$E$221,S$3&gt;=Assumptions!$B$14,Revenue_Build!S10&gt;=Assumptions!$F$221*Assumptions!$B$55)),Assumptions!$D$221,0)</f>
        <v/>
      </c>
      <c r="T23" s="41">
        <f>IF(OR(S23&gt;0,AND(T$3&gt;=Assumptions!$E$221,T$3&gt;=Assumptions!$B$14,Revenue_Build!T10&gt;=Assumptions!$F$221*Assumptions!$B$55)),Assumptions!$D$221,0)</f>
        <v/>
      </c>
      <c r="U23" s="41">
        <f>IF(OR(T23&gt;0,AND(U$3&gt;=Assumptions!$E$221,U$3&gt;=Assumptions!$B$14,Revenue_Build!U10&gt;=Assumptions!$F$221*Assumptions!$B$55)),Assumptions!$D$221,0)</f>
        <v/>
      </c>
      <c r="V23" s="41">
        <f>IF(OR(U23&gt;0,AND(V$3&gt;=Assumptions!$E$221,V$3&gt;=Assumptions!$B$14,Revenue_Build!V10&gt;=Assumptions!$F$221*Assumptions!$B$55)),Assumptions!$D$221,0)</f>
        <v/>
      </c>
      <c r="W23" s="41">
        <f>IF(OR(V23&gt;0,AND(W$3&gt;=Assumptions!$E$221,W$3&gt;=Assumptions!$B$14,Revenue_Build!W10&gt;=Assumptions!$F$221*Assumptions!$B$55)),Assumptions!$D$221,0)</f>
        <v/>
      </c>
      <c r="X23" s="41">
        <f>IF(OR(W23&gt;0,AND(X$3&gt;=Assumptions!$E$221,X$3&gt;=Assumptions!$B$14,Revenue_Build!X10&gt;=Assumptions!$F$221*Assumptions!$B$55)),Assumptions!$D$221,0)</f>
        <v/>
      </c>
      <c r="Y23" s="41">
        <f>IF(OR(X23&gt;0,AND(Y$3&gt;=Assumptions!$E$221,Y$3&gt;=Assumptions!$B$14,Revenue_Build!Y10&gt;=Assumptions!$F$221*Assumptions!$B$55)),Assumptions!$D$221,0)</f>
        <v/>
      </c>
      <c r="Z23" s="41">
        <f>IF(OR(Y23&gt;0,AND(Z$3&gt;=Assumptions!$E$221,Z$3&gt;=Assumptions!$B$14,Revenue_Build!Z10&gt;=Assumptions!$F$221*Assumptions!$B$55)),Assumptions!$D$221,0)</f>
        <v/>
      </c>
      <c r="AA23" s="41">
        <f>IF(OR(Z23&gt;0,AND(AA$3&gt;=Assumptions!$E$221,AA$3&gt;=Assumptions!$B$14,Revenue_Build!AA10&gt;=Assumptions!$F$221*Assumptions!$B$55)),Assumptions!$D$221,0)</f>
        <v/>
      </c>
      <c r="AB23" s="41">
        <f>IF(OR(AA23&gt;0,AND(AB$3&gt;=Assumptions!$E$221,AB$3&gt;=Assumptions!$B$14,Revenue_Build!AB10&gt;=Assumptions!$F$221*Assumptions!$B$55)),Assumptions!$D$221,0)</f>
        <v/>
      </c>
      <c r="AC23" s="41">
        <f>IF(OR(AB23&gt;0,AND(AC$3&gt;=Assumptions!$E$221,AC$3&gt;=Assumptions!$B$14,Revenue_Build!AC10&gt;=Assumptions!$F$221*Assumptions!$B$55)),Assumptions!$D$221,0)</f>
        <v/>
      </c>
      <c r="AD23" s="41">
        <f>IF(OR(AC23&gt;0,AND(AD$3&gt;=Assumptions!$E$221,AD$3&gt;=Assumptions!$B$14,Revenue_Build!AD10&gt;=Assumptions!$F$221*Assumptions!$B$55)),Assumptions!$D$221,0)</f>
        <v/>
      </c>
      <c r="AE23" s="41">
        <f>IF(OR(AD23&gt;0,AND(AE$3&gt;=Assumptions!$E$221,AE$3&gt;=Assumptions!$B$14,Revenue_Build!AE10&gt;=Assumptions!$F$221*Assumptions!$B$55)),Assumptions!$D$221,0)</f>
        <v/>
      </c>
      <c r="AF23" s="41">
        <f>IF(OR(AE23&gt;0,AND(AF$3&gt;=Assumptions!$E$221,AF$3&gt;=Assumptions!$B$14,Revenue_Build!AF10&gt;=Assumptions!$F$221*Assumptions!$B$55)),Assumptions!$D$221,0)</f>
        <v/>
      </c>
      <c r="AG23" s="41">
        <f>IF(OR(AF23&gt;0,AND(AG$3&gt;=Assumptions!$E$221,AG$3&gt;=Assumptions!$B$14,Revenue_Build!AG10&gt;=Assumptions!$F$221*Assumptions!$B$55)),Assumptions!$D$221,0)</f>
        <v/>
      </c>
      <c r="AH23" s="41">
        <f>IF(OR(AG23&gt;0,AND(AH$3&gt;=Assumptions!$E$221,AH$3&gt;=Assumptions!$B$14,Revenue_Build!AH10&gt;=Assumptions!$F$221*Assumptions!$B$55)),Assumptions!$D$221,0)</f>
        <v/>
      </c>
      <c r="AI23" s="41">
        <f>IF(OR(AH23&gt;0,AND(AI$3&gt;=Assumptions!$E$221,AI$3&gt;=Assumptions!$B$14,Revenue_Build!AI10&gt;=Assumptions!$F$221*Assumptions!$B$55)),Assumptions!$D$221,0)</f>
        <v/>
      </c>
      <c r="AJ23" s="41">
        <f>IF(OR(AI23&gt;0,AND(AJ$3&gt;=Assumptions!$E$221,AJ$3&gt;=Assumptions!$B$14,Revenue_Build!AJ10&gt;=Assumptions!$F$221*Assumptions!$B$55)),Assumptions!$D$221,0)</f>
        <v/>
      </c>
      <c r="AK23" s="41">
        <f>IF(OR(AJ23&gt;0,AND(AK$3&gt;=Assumptions!$E$221,AK$3&gt;=Assumptions!$B$14,Revenue_Build!AK10&gt;=Assumptions!$F$221*Assumptions!$B$55)),Assumptions!$D$221,0)</f>
        <v/>
      </c>
      <c r="AL23" s="41">
        <f>IF(OR(AK23&gt;0,AND(AL$3&gt;=Assumptions!$E$221,AL$3&gt;=Assumptions!$B$14,Revenue_Build!AL10&gt;=Assumptions!$F$221*Assumptions!$B$55)),Assumptions!$D$221,0)</f>
        <v/>
      </c>
      <c r="AM23" s="41">
        <f>IF(OR(AL23&gt;0,AND(AM$3&gt;=Assumptions!$E$221,AM$3&gt;=Assumptions!$B$14,Revenue_Build!AM10&gt;=Assumptions!$F$221*Assumptions!$B$55)),Assumptions!$D$221,0)</f>
        <v/>
      </c>
      <c r="AN23" s="41">
        <f>IF(OR(AM23&gt;0,AND(AN$3&gt;=Assumptions!$E$221,AN$3&gt;=Assumptions!$B$14,Revenue_Build!AN10&gt;=Assumptions!$F$221*Assumptions!$B$55)),Assumptions!$D$221,0)</f>
        <v/>
      </c>
      <c r="AO23" s="41">
        <f>IF(OR(AN23&gt;0,AND(AO$3&gt;=Assumptions!$E$221,AO$3&gt;=Assumptions!$B$14,Revenue_Build!AO10&gt;=Assumptions!$F$221*Assumptions!$B$55)),Assumptions!$D$221,0)</f>
        <v/>
      </c>
      <c r="AP23" s="41">
        <f>IF(OR(AO23&gt;0,AND(AP$3&gt;=Assumptions!$E$221,AP$3&gt;=Assumptions!$B$14,Revenue_Build!AP10&gt;=Assumptions!$F$221*Assumptions!$B$55)),Assumptions!$D$221,0)</f>
        <v/>
      </c>
      <c r="AQ23" s="41">
        <f>IF(OR(AP23&gt;0,AND(AQ$3&gt;=Assumptions!$E$221,AQ$3&gt;=Assumptions!$B$14,Revenue_Build!AQ10&gt;=Assumptions!$F$221*Assumptions!$B$55)),Assumptions!$D$221,0)</f>
        <v/>
      </c>
      <c r="AR23" s="41">
        <f>IF(OR(AQ23&gt;0,AND(AR$3&gt;=Assumptions!$E$221,AR$3&gt;=Assumptions!$B$14,Revenue_Build!AR10&gt;=Assumptions!$F$221*Assumptions!$B$55)),Assumptions!$D$221,0)</f>
        <v/>
      </c>
      <c r="AS23" s="41">
        <f>IF(OR(AR23&gt;0,AND(AS$3&gt;=Assumptions!$E$221,AS$3&gt;=Assumptions!$B$14,Revenue_Build!AS10&gt;=Assumptions!$F$221*Assumptions!$B$55)),Assumptions!$D$221,0)</f>
        <v/>
      </c>
      <c r="AT23" s="41">
        <f>IF(OR(AS23&gt;0,AND(AT$3&gt;=Assumptions!$E$221,AT$3&gt;=Assumptions!$B$14,Revenue_Build!AT10&gt;=Assumptions!$F$221*Assumptions!$B$55)),Assumptions!$D$221,0)</f>
        <v/>
      </c>
      <c r="AU23" s="41">
        <f>IF(OR(AT23&gt;0,AND(AU$3&gt;=Assumptions!$E$221,AU$3&gt;=Assumptions!$B$14,Revenue_Build!AU10&gt;=Assumptions!$F$221*Assumptions!$B$55)),Assumptions!$D$221,0)</f>
        <v/>
      </c>
      <c r="AV23" s="41">
        <f>IF(OR(AU23&gt;0,AND(AV$3&gt;=Assumptions!$E$221,AV$3&gt;=Assumptions!$B$14,Revenue_Build!AV10&gt;=Assumptions!$F$221*Assumptions!$B$55)),Assumptions!$D$221,0)</f>
        <v/>
      </c>
      <c r="AW23" s="41">
        <f>IF(OR(AV23&gt;0,AND(AW$3&gt;=Assumptions!$E$221,AW$3&gt;=Assumptions!$B$14,Revenue_Build!AW10&gt;=Assumptions!$F$221*Assumptions!$B$55)),Assumptions!$D$221,0)</f>
        <v/>
      </c>
      <c r="AX23" s="41">
        <f>IF(OR(AW23&gt;0,AND(AX$3&gt;=Assumptions!$E$221,AX$3&gt;=Assumptions!$B$14,Revenue_Build!AX10&gt;=Assumptions!$F$221*Assumptions!$B$55)),Assumptions!$D$221,0)</f>
        <v/>
      </c>
      <c r="AY23" s="41">
        <f>IF(OR(AX23&gt;0,AND(AY$3&gt;=Assumptions!$E$221,AY$3&gt;=Assumptions!$B$14,Revenue_Build!AY10&gt;=Assumptions!$F$221*Assumptions!$B$55)),Assumptions!$D$221,0)</f>
        <v/>
      </c>
      <c r="AZ23" s="41">
        <f>IF(OR(AY23&gt;0,AND(AZ$3&gt;=Assumptions!$E$221,AZ$3&gt;=Assumptions!$B$14,Revenue_Build!AZ10&gt;=Assumptions!$F$221*Assumptions!$B$55)),Assumptions!$D$221,0)</f>
        <v/>
      </c>
      <c r="BA23" s="41">
        <f>IF(OR(AZ23&gt;0,AND(BA$3&gt;=Assumptions!$E$221,BA$3&gt;=Assumptions!$B$14,Revenue_Build!BA10&gt;=Assumptions!$F$221*Assumptions!$B$55)),Assumptions!$D$221,0)</f>
        <v/>
      </c>
      <c r="BB23" s="41">
        <f>IF(OR(BA23&gt;0,AND(BB$3&gt;=Assumptions!$E$221,BB$3&gt;=Assumptions!$B$14,Revenue_Build!BB10&gt;=Assumptions!$F$221*Assumptions!$B$55)),Assumptions!$D$221,0)</f>
        <v/>
      </c>
      <c r="BC23" s="41">
        <f>IF(OR(BB23&gt;0,AND(BC$3&gt;=Assumptions!$E$221,BC$3&gt;=Assumptions!$B$14,Revenue_Build!BC10&gt;=Assumptions!$F$221*Assumptions!$B$55)),Assumptions!$D$221,0)</f>
        <v/>
      </c>
      <c r="BD23" s="41">
        <f>IF(OR(BC23&gt;0,AND(BD$3&gt;=Assumptions!$E$221,BD$3&gt;=Assumptions!$B$14,Revenue_Build!BD10&gt;=Assumptions!$F$221*Assumptions!$B$55)),Assumptions!$D$221,0)</f>
        <v/>
      </c>
      <c r="BE23" s="41">
        <f>IF(OR(BD23&gt;0,AND(BE$3&gt;=Assumptions!$E$221,BE$3&gt;=Assumptions!$B$14,Revenue_Build!BE10&gt;=Assumptions!$F$221*Assumptions!$B$55)),Assumptions!$D$221,0)</f>
        <v/>
      </c>
      <c r="BF23" s="41">
        <f>IF(OR(BE23&gt;0,AND(BF$3&gt;=Assumptions!$E$221,BF$3&gt;=Assumptions!$B$14,Revenue_Build!BF10&gt;=Assumptions!$F$221*Assumptions!$B$55)),Assumptions!$D$221,0)</f>
        <v/>
      </c>
      <c r="BG23" s="41">
        <f>IF(OR(BF23&gt;0,AND(BG$3&gt;=Assumptions!$E$221,BG$3&gt;=Assumptions!$B$14,Revenue_Build!BG10&gt;=Assumptions!$F$221*Assumptions!$B$55)),Assumptions!$D$221,0)</f>
        <v/>
      </c>
      <c r="BH23" s="41">
        <f>IF(OR(BG23&gt;0,AND(BH$3&gt;=Assumptions!$E$221,BH$3&gt;=Assumptions!$B$14,Revenue_Build!BH10&gt;=Assumptions!$F$221*Assumptions!$B$55)),Assumptions!$D$221,0)</f>
        <v/>
      </c>
      <c r="BI23" s="41">
        <f>IF(OR(BH23&gt;0,AND(BI$3&gt;=Assumptions!$E$221,BI$3&gt;=Assumptions!$B$14,Revenue_Build!BI10&gt;=Assumptions!$F$221*Assumptions!$B$55)),Assumptions!$D$221,0)</f>
        <v/>
      </c>
      <c r="BJ23" s="41">
        <f>IF(OR(BI23&gt;0,AND(BJ$3&gt;=Assumptions!$E$221,BJ$3&gt;=Assumptions!$B$14,Revenue_Build!BJ10&gt;=Assumptions!$F$221*Assumptions!$B$55)),Assumptions!$D$221,0)</f>
        <v/>
      </c>
    </row>
    <row r="24">
      <c r="A24" s="4" t="inlineStr">
        <is>
          <t>Engineers (scale-up III)</t>
        </is>
      </c>
      <c r="B24" s="17" t="inlineStr">
        <is>
          <t>FTE</t>
        </is>
      </c>
      <c r="C24" s="41">
        <f>IF(AND(C$3&gt;=Assumptions!$E$222,C$3&gt;=Assumptions!$B$14,Revenue_Build!C10&gt;=Assumptions!$F$222*Assumptions!$B$55),Assumptions!$D$222,0)</f>
        <v/>
      </c>
      <c r="D24" s="41">
        <f>IF(OR(C24&gt;0,AND(D$3&gt;=Assumptions!$E$222,D$3&gt;=Assumptions!$B$14,Revenue_Build!D10&gt;=Assumptions!$F$222*Assumptions!$B$55)),Assumptions!$D$222,0)</f>
        <v/>
      </c>
      <c r="E24" s="41">
        <f>IF(OR(D24&gt;0,AND(E$3&gt;=Assumptions!$E$222,E$3&gt;=Assumptions!$B$14,Revenue_Build!E10&gt;=Assumptions!$F$222*Assumptions!$B$55)),Assumptions!$D$222,0)</f>
        <v/>
      </c>
      <c r="F24" s="41">
        <f>IF(OR(E24&gt;0,AND(F$3&gt;=Assumptions!$E$222,F$3&gt;=Assumptions!$B$14,Revenue_Build!F10&gt;=Assumptions!$F$222*Assumptions!$B$55)),Assumptions!$D$222,0)</f>
        <v/>
      </c>
      <c r="G24" s="41">
        <f>IF(OR(F24&gt;0,AND(G$3&gt;=Assumptions!$E$222,G$3&gt;=Assumptions!$B$14,Revenue_Build!G10&gt;=Assumptions!$F$222*Assumptions!$B$55)),Assumptions!$D$222,0)</f>
        <v/>
      </c>
      <c r="H24" s="41">
        <f>IF(OR(G24&gt;0,AND(H$3&gt;=Assumptions!$E$222,H$3&gt;=Assumptions!$B$14,Revenue_Build!H10&gt;=Assumptions!$F$222*Assumptions!$B$55)),Assumptions!$D$222,0)</f>
        <v/>
      </c>
      <c r="I24" s="41">
        <f>IF(OR(H24&gt;0,AND(I$3&gt;=Assumptions!$E$222,I$3&gt;=Assumptions!$B$14,Revenue_Build!I10&gt;=Assumptions!$F$222*Assumptions!$B$55)),Assumptions!$D$222,0)</f>
        <v/>
      </c>
      <c r="J24" s="41">
        <f>IF(OR(I24&gt;0,AND(J$3&gt;=Assumptions!$E$222,J$3&gt;=Assumptions!$B$14,Revenue_Build!J10&gt;=Assumptions!$F$222*Assumptions!$B$55)),Assumptions!$D$222,0)</f>
        <v/>
      </c>
      <c r="K24" s="41">
        <f>IF(OR(J24&gt;0,AND(K$3&gt;=Assumptions!$E$222,K$3&gt;=Assumptions!$B$14,Revenue_Build!K10&gt;=Assumptions!$F$222*Assumptions!$B$55)),Assumptions!$D$222,0)</f>
        <v/>
      </c>
      <c r="L24" s="41">
        <f>IF(OR(K24&gt;0,AND(L$3&gt;=Assumptions!$E$222,L$3&gt;=Assumptions!$B$14,Revenue_Build!L10&gt;=Assumptions!$F$222*Assumptions!$B$55)),Assumptions!$D$222,0)</f>
        <v/>
      </c>
      <c r="M24" s="41">
        <f>IF(OR(L24&gt;0,AND(M$3&gt;=Assumptions!$E$222,M$3&gt;=Assumptions!$B$14,Revenue_Build!M10&gt;=Assumptions!$F$222*Assumptions!$B$55)),Assumptions!$D$222,0)</f>
        <v/>
      </c>
      <c r="N24" s="41">
        <f>IF(OR(M24&gt;0,AND(N$3&gt;=Assumptions!$E$222,N$3&gt;=Assumptions!$B$14,Revenue_Build!N10&gt;=Assumptions!$F$222*Assumptions!$B$55)),Assumptions!$D$222,0)</f>
        <v/>
      </c>
      <c r="O24" s="41">
        <f>IF(OR(N24&gt;0,AND(O$3&gt;=Assumptions!$E$222,O$3&gt;=Assumptions!$B$14,Revenue_Build!O10&gt;=Assumptions!$F$222*Assumptions!$B$55)),Assumptions!$D$222,0)</f>
        <v/>
      </c>
      <c r="P24" s="41">
        <f>IF(OR(O24&gt;0,AND(P$3&gt;=Assumptions!$E$222,P$3&gt;=Assumptions!$B$14,Revenue_Build!P10&gt;=Assumptions!$F$222*Assumptions!$B$55)),Assumptions!$D$222,0)</f>
        <v/>
      </c>
      <c r="Q24" s="41">
        <f>IF(OR(P24&gt;0,AND(Q$3&gt;=Assumptions!$E$222,Q$3&gt;=Assumptions!$B$14,Revenue_Build!Q10&gt;=Assumptions!$F$222*Assumptions!$B$55)),Assumptions!$D$222,0)</f>
        <v/>
      </c>
      <c r="R24" s="41">
        <f>IF(OR(Q24&gt;0,AND(R$3&gt;=Assumptions!$E$222,R$3&gt;=Assumptions!$B$14,Revenue_Build!R10&gt;=Assumptions!$F$222*Assumptions!$B$55)),Assumptions!$D$222,0)</f>
        <v/>
      </c>
      <c r="S24" s="41">
        <f>IF(OR(R24&gt;0,AND(S$3&gt;=Assumptions!$E$222,S$3&gt;=Assumptions!$B$14,Revenue_Build!S10&gt;=Assumptions!$F$222*Assumptions!$B$55)),Assumptions!$D$222,0)</f>
        <v/>
      </c>
      <c r="T24" s="41">
        <f>IF(OR(S24&gt;0,AND(T$3&gt;=Assumptions!$E$222,T$3&gt;=Assumptions!$B$14,Revenue_Build!T10&gt;=Assumptions!$F$222*Assumptions!$B$55)),Assumptions!$D$222,0)</f>
        <v/>
      </c>
      <c r="U24" s="41">
        <f>IF(OR(T24&gt;0,AND(U$3&gt;=Assumptions!$E$222,U$3&gt;=Assumptions!$B$14,Revenue_Build!U10&gt;=Assumptions!$F$222*Assumptions!$B$55)),Assumptions!$D$222,0)</f>
        <v/>
      </c>
      <c r="V24" s="41">
        <f>IF(OR(U24&gt;0,AND(V$3&gt;=Assumptions!$E$222,V$3&gt;=Assumptions!$B$14,Revenue_Build!V10&gt;=Assumptions!$F$222*Assumptions!$B$55)),Assumptions!$D$222,0)</f>
        <v/>
      </c>
      <c r="W24" s="41">
        <f>IF(OR(V24&gt;0,AND(W$3&gt;=Assumptions!$E$222,W$3&gt;=Assumptions!$B$14,Revenue_Build!W10&gt;=Assumptions!$F$222*Assumptions!$B$55)),Assumptions!$D$222,0)</f>
        <v/>
      </c>
      <c r="X24" s="41">
        <f>IF(OR(W24&gt;0,AND(X$3&gt;=Assumptions!$E$222,X$3&gt;=Assumptions!$B$14,Revenue_Build!X10&gt;=Assumptions!$F$222*Assumptions!$B$55)),Assumptions!$D$222,0)</f>
        <v/>
      </c>
      <c r="Y24" s="41">
        <f>IF(OR(X24&gt;0,AND(Y$3&gt;=Assumptions!$E$222,Y$3&gt;=Assumptions!$B$14,Revenue_Build!Y10&gt;=Assumptions!$F$222*Assumptions!$B$55)),Assumptions!$D$222,0)</f>
        <v/>
      </c>
      <c r="Z24" s="41">
        <f>IF(OR(Y24&gt;0,AND(Z$3&gt;=Assumptions!$E$222,Z$3&gt;=Assumptions!$B$14,Revenue_Build!Z10&gt;=Assumptions!$F$222*Assumptions!$B$55)),Assumptions!$D$222,0)</f>
        <v/>
      </c>
      <c r="AA24" s="41">
        <f>IF(OR(Z24&gt;0,AND(AA$3&gt;=Assumptions!$E$222,AA$3&gt;=Assumptions!$B$14,Revenue_Build!AA10&gt;=Assumptions!$F$222*Assumptions!$B$55)),Assumptions!$D$222,0)</f>
        <v/>
      </c>
      <c r="AB24" s="41">
        <f>IF(OR(AA24&gt;0,AND(AB$3&gt;=Assumptions!$E$222,AB$3&gt;=Assumptions!$B$14,Revenue_Build!AB10&gt;=Assumptions!$F$222*Assumptions!$B$55)),Assumptions!$D$222,0)</f>
        <v/>
      </c>
      <c r="AC24" s="41">
        <f>IF(OR(AB24&gt;0,AND(AC$3&gt;=Assumptions!$E$222,AC$3&gt;=Assumptions!$B$14,Revenue_Build!AC10&gt;=Assumptions!$F$222*Assumptions!$B$55)),Assumptions!$D$222,0)</f>
        <v/>
      </c>
      <c r="AD24" s="41">
        <f>IF(OR(AC24&gt;0,AND(AD$3&gt;=Assumptions!$E$222,AD$3&gt;=Assumptions!$B$14,Revenue_Build!AD10&gt;=Assumptions!$F$222*Assumptions!$B$55)),Assumptions!$D$222,0)</f>
        <v/>
      </c>
      <c r="AE24" s="41">
        <f>IF(OR(AD24&gt;0,AND(AE$3&gt;=Assumptions!$E$222,AE$3&gt;=Assumptions!$B$14,Revenue_Build!AE10&gt;=Assumptions!$F$222*Assumptions!$B$55)),Assumptions!$D$222,0)</f>
        <v/>
      </c>
      <c r="AF24" s="41">
        <f>IF(OR(AE24&gt;0,AND(AF$3&gt;=Assumptions!$E$222,AF$3&gt;=Assumptions!$B$14,Revenue_Build!AF10&gt;=Assumptions!$F$222*Assumptions!$B$55)),Assumptions!$D$222,0)</f>
        <v/>
      </c>
      <c r="AG24" s="41">
        <f>IF(OR(AF24&gt;0,AND(AG$3&gt;=Assumptions!$E$222,AG$3&gt;=Assumptions!$B$14,Revenue_Build!AG10&gt;=Assumptions!$F$222*Assumptions!$B$55)),Assumptions!$D$222,0)</f>
        <v/>
      </c>
      <c r="AH24" s="41">
        <f>IF(OR(AG24&gt;0,AND(AH$3&gt;=Assumptions!$E$222,AH$3&gt;=Assumptions!$B$14,Revenue_Build!AH10&gt;=Assumptions!$F$222*Assumptions!$B$55)),Assumptions!$D$222,0)</f>
        <v/>
      </c>
      <c r="AI24" s="41">
        <f>IF(OR(AH24&gt;0,AND(AI$3&gt;=Assumptions!$E$222,AI$3&gt;=Assumptions!$B$14,Revenue_Build!AI10&gt;=Assumptions!$F$222*Assumptions!$B$55)),Assumptions!$D$222,0)</f>
        <v/>
      </c>
      <c r="AJ24" s="41">
        <f>IF(OR(AI24&gt;0,AND(AJ$3&gt;=Assumptions!$E$222,AJ$3&gt;=Assumptions!$B$14,Revenue_Build!AJ10&gt;=Assumptions!$F$222*Assumptions!$B$55)),Assumptions!$D$222,0)</f>
        <v/>
      </c>
      <c r="AK24" s="41">
        <f>IF(OR(AJ24&gt;0,AND(AK$3&gt;=Assumptions!$E$222,AK$3&gt;=Assumptions!$B$14,Revenue_Build!AK10&gt;=Assumptions!$F$222*Assumptions!$B$55)),Assumptions!$D$222,0)</f>
        <v/>
      </c>
      <c r="AL24" s="41">
        <f>IF(OR(AK24&gt;0,AND(AL$3&gt;=Assumptions!$E$222,AL$3&gt;=Assumptions!$B$14,Revenue_Build!AL10&gt;=Assumptions!$F$222*Assumptions!$B$55)),Assumptions!$D$222,0)</f>
        <v/>
      </c>
      <c r="AM24" s="41">
        <f>IF(OR(AL24&gt;0,AND(AM$3&gt;=Assumptions!$E$222,AM$3&gt;=Assumptions!$B$14,Revenue_Build!AM10&gt;=Assumptions!$F$222*Assumptions!$B$55)),Assumptions!$D$222,0)</f>
        <v/>
      </c>
      <c r="AN24" s="41">
        <f>IF(OR(AM24&gt;0,AND(AN$3&gt;=Assumptions!$E$222,AN$3&gt;=Assumptions!$B$14,Revenue_Build!AN10&gt;=Assumptions!$F$222*Assumptions!$B$55)),Assumptions!$D$222,0)</f>
        <v/>
      </c>
      <c r="AO24" s="41">
        <f>IF(OR(AN24&gt;0,AND(AO$3&gt;=Assumptions!$E$222,AO$3&gt;=Assumptions!$B$14,Revenue_Build!AO10&gt;=Assumptions!$F$222*Assumptions!$B$55)),Assumptions!$D$222,0)</f>
        <v/>
      </c>
      <c r="AP24" s="41">
        <f>IF(OR(AO24&gt;0,AND(AP$3&gt;=Assumptions!$E$222,AP$3&gt;=Assumptions!$B$14,Revenue_Build!AP10&gt;=Assumptions!$F$222*Assumptions!$B$55)),Assumptions!$D$222,0)</f>
        <v/>
      </c>
      <c r="AQ24" s="41">
        <f>IF(OR(AP24&gt;0,AND(AQ$3&gt;=Assumptions!$E$222,AQ$3&gt;=Assumptions!$B$14,Revenue_Build!AQ10&gt;=Assumptions!$F$222*Assumptions!$B$55)),Assumptions!$D$222,0)</f>
        <v/>
      </c>
      <c r="AR24" s="41">
        <f>IF(OR(AQ24&gt;0,AND(AR$3&gt;=Assumptions!$E$222,AR$3&gt;=Assumptions!$B$14,Revenue_Build!AR10&gt;=Assumptions!$F$222*Assumptions!$B$55)),Assumptions!$D$222,0)</f>
        <v/>
      </c>
      <c r="AS24" s="41">
        <f>IF(OR(AR24&gt;0,AND(AS$3&gt;=Assumptions!$E$222,AS$3&gt;=Assumptions!$B$14,Revenue_Build!AS10&gt;=Assumptions!$F$222*Assumptions!$B$55)),Assumptions!$D$222,0)</f>
        <v/>
      </c>
      <c r="AT24" s="41">
        <f>IF(OR(AS24&gt;0,AND(AT$3&gt;=Assumptions!$E$222,AT$3&gt;=Assumptions!$B$14,Revenue_Build!AT10&gt;=Assumptions!$F$222*Assumptions!$B$55)),Assumptions!$D$222,0)</f>
        <v/>
      </c>
      <c r="AU24" s="41">
        <f>IF(OR(AT24&gt;0,AND(AU$3&gt;=Assumptions!$E$222,AU$3&gt;=Assumptions!$B$14,Revenue_Build!AU10&gt;=Assumptions!$F$222*Assumptions!$B$55)),Assumptions!$D$222,0)</f>
        <v/>
      </c>
      <c r="AV24" s="41">
        <f>IF(OR(AU24&gt;0,AND(AV$3&gt;=Assumptions!$E$222,AV$3&gt;=Assumptions!$B$14,Revenue_Build!AV10&gt;=Assumptions!$F$222*Assumptions!$B$55)),Assumptions!$D$222,0)</f>
        <v/>
      </c>
      <c r="AW24" s="41">
        <f>IF(OR(AV24&gt;0,AND(AW$3&gt;=Assumptions!$E$222,AW$3&gt;=Assumptions!$B$14,Revenue_Build!AW10&gt;=Assumptions!$F$222*Assumptions!$B$55)),Assumptions!$D$222,0)</f>
        <v/>
      </c>
      <c r="AX24" s="41">
        <f>IF(OR(AW24&gt;0,AND(AX$3&gt;=Assumptions!$E$222,AX$3&gt;=Assumptions!$B$14,Revenue_Build!AX10&gt;=Assumptions!$F$222*Assumptions!$B$55)),Assumptions!$D$222,0)</f>
        <v/>
      </c>
      <c r="AY24" s="41">
        <f>IF(OR(AX24&gt;0,AND(AY$3&gt;=Assumptions!$E$222,AY$3&gt;=Assumptions!$B$14,Revenue_Build!AY10&gt;=Assumptions!$F$222*Assumptions!$B$55)),Assumptions!$D$222,0)</f>
        <v/>
      </c>
      <c r="AZ24" s="41">
        <f>IF(OR(AY24&gt;0,AND(AZ$3&gt;=Assumptions!$E$222,AZ$3&gt;=Assumptions!$B$14,Revenue_Build!AZ10&gt;=Assumptions!$F$222*Assumptions!$B$55)),Assumptions!$D$222,0)</f>
        <v/>
      </c>
      <c r="BA24" s="41">
        <f>IF(OR(AZ24&gt;0,AND(BA$3&gt;=Assumptions!$E$222,BA$3&gt;=Assumptions!$B$14,Revenue_Build!BA10&gt;=Assumptions!$F$222*Assumptions!$B$55)),Assumptions!$D$222,0)</f>
        <v/>
      </c>
      <c r="BB24" s="41">
        <f>IF(OR(BA24&gt;0,AND(BB$3&gt;=Assumptions!$E$222,BB$3&gt;=Assumptions!$B$14,Revenue_Build!BB10&gt;=Assumptions!$F$222*Assumptions!$B$55)),Assumptions!$D$222,0)</f>
        <v/>
      </c>
      <c r="BC24" s="41">
        <f>IF(OR(BB24&gt;0,AND(BC$3&gt;=Assumptions!$E$222,BC$3&gt;=Assumptions!$B$14,Revenue_Build!BC10&gt;=Assumptions!$F$222*Assumptions!$B$55)),Assumptions!$D$222,0)</f>
        <v/>
      </c>
      <c r="BD24" s="41">
        <f>IF(OR(BC24&gt;0,AND(BD$3&gt;=Assumptions!$E$222,BD$3&gt;=Assumptions!$B$14,Revenue_Build!BD10&gt;=Assumptions!$F$222*Assumptions!$B$55)),Assumptions!$D$222,0)</f>
        <v/>
      </c>
      <c r="BE24" s="41">
        <f>IF(OR(BD24&gt;0,AND(BE$3&gt;=Assumptions!$E$222,BE$3&gt;=Assumptions!$B$14,Revenue_Build!BE10&gt;=Assumptions!$F$222*Assumptions!$B$55)),Assumptions!$D$222,0)</f>
        <v/>
      </c>
      <c r="BF24" s="41">
        <f>IF(OR(BE24&gt;0,AND(BF$3&gt;=Assumptions!$E$222,BF$3&gt;=Assumptions!$B$14,Revenue_Build!BF10&gt;=Assumptions!$F$222*Assumptions!$B$55)),Assumptions!$D$222,0)</f>
        <v/>
      </c>
      <c r="BG24" s="41">
        <f>IF(OR(BF24&gt;0,AND(BG$3&gt;=Assumptions!$E$222,BG$3&gt;=Assumptions!$B$14,Revenue_Build!BG10&gt;=Assumptions!$F$222*Assumptions!$B$55)),Assumptions!$D$222,0)</f>
        <v/>
      </c>
      <c r="BH24" s="41">
        <f>IF(OR(BG24&gt;0,AND(BH$3&gt;=Assumptions!$E$222,BH$3&gt;=Assumptions!$B$14,Revenue_Build!BH10&gt;=Assumptions!$F$222*Assumptions!$B$55)),Assumptions!$D$222,0)</f>
        <v/>
      </c>
      <c r="BI24" s="41">
        <f>IF(OR(BH24&gt;0,AND(BI$3&gt;=Assumptions!$E$222,BI$3&gt;=Assumptions!$B$14,Revenue_Build!BI10&gt;=Assumptions!$F$222*Assumptions!$B$55)),Assumptions!$D$222,0)</f>
        <v/>
      </c>
      <c r="BJ24" s="41">
        <f>IF(OR(BI24&gt;0,AND(BJ$3&gt;=Assumptions!$E$222,BJ$3&gt;=Assumptions!$B$14,Revenue_Build!BJ10&gt;=Assumptions!$F$222*Assumptions!$B$55)),Assumptions!$D$222,0)</f>
        <v/>
      </c>
    </row>
    <row r="25">
      <c r="A25" s="4" t="inlineStr">
        <is>
          <t>Engineers (scale-up IV: social adapters &amp; integrations at scale)</t>
        </is>
      </c>
      <c r="B25" s="17" t="inlineStr">
        <is>
          <t>FTE</t>
        </is>
      </c>
      <c r="C25" s="41">
        <f>IF(AND(C$3&gt;=Assumptions!$E$223,C$3&gt;=Assumptions!$B$14,Revenue_Build!C10&gt;=Assumptions!$F$223*Assumptions!$B$55),Assumptions!$D$223,0)</f>
        <v/>
      </c>
      <c r="D25" s="41">
        <f>IF(OR(C25&gt;0,AND(D$3&gt;=Assumptions!$E$223,D$3&gt;=Assumptions!$B$14,Revenue_Build!D10&gt;=Assumptions!$F$223*Assumptions!$B$55)),Assumptions!$D$223,0)</f>
        <v/>
      </c>
      <c r="E25" s="41">
        <f>IF(OR(D25&gt;0,AND(E$3&gt;=Assumptions!$E$223,E$3&gt;=Assumptions!$B$14,Revenue_Build!E10&gt;=Assumptions!$F$223*Assumptions!$B$55)),Assumptions!$D$223,0)</f>
        <v/>
      </c>
      <c r="F25" s="41">
        <f>IF(OR(E25&gt;0,AND(F$3&gt;=Assumptions!$E$223,F$3&gt;=Assumptions!$B$14,Revenue_Build!F10&gt;=Assumptions!$F$223*Assumptions!$B$55)),Assumptions!$D$223,0)</f>
        <v/>
      </c>
      <c r="G25" s="41">
        <f>IF(OR(F25&gt;0,AND(G$3&gt;=Assumptions!$E$223,G$3&gt;=Assumptions!$B$14,Revenue_Build!G10&gt;=Assumptions!$F$223*Assumptions!$B$55)),Assumptions!$D$223,0)</f>
        <v/>
      </c>
      <c r="H25" s="41">
        <f>IF(OR(G25&gt;0,AND(H$3&gt;=Assumptions!$E$223,H$3&gt;=Assumptions!$B$14,Revenue_Build!H10&gt;=Assumptions!$F$223*Assumptions!$B$55)),Assumptions!$D$223,0)</f>
        <v/>
      </c>
      <c r="I25" s="41">
        <f>IF(OR(H25&gt;0,AND(I$3&gt;=Assumptions!$E$223,I$3&gt;=Assumptions!$B$14,Revenue_Build!I10&gt;=Assumptions!$F$223*Assumptions!$B$55)),Assumptions!$D$223,0)</f>
        <v/>
      </c>
      <c r="J25" s="41">
        <f>IF(OR(I25&gt;0,AND(J$3&gt;=Assumptions!$E$223,J$3&gt;=Assumptions!$B$14,Revenue_Build!J10&gt;=Assumptions!$F$223*Assumptions!$B$55)),Assumptions!$D$223,0)</f>
        <v/>
      </c>
      <c r="K25" s="41">
        <f>IF(OR(J25&gt;0,AND(K$3&gt;=Assumptions!$E$223,K$3&gt;=Assumptions!$B$14,Revenue_Build!K10&gt;=Assumptions!$F$223*Assumptions!$B$55)),Assumptions!$D$223,0)</f>
        <v/>
      </c>
      <c r="L25" s="41">
        <f>IF(OR(K25&gt;0,AND(L$3&gt;=Assumptions!$E$223,L$3&gt;=Assumptions!$B$14,Revenue_Build!L10&gt;=Assumptions!$F$223*Assumptions!$B$55)),Assumptions!$D$223,0)</f>
        <v/>
      </c>
      <c r="M25" s="41">
        <f>IF(OR(L25&gt;0,AND(M$3&gt;=Assumptions!$E$223,M$3&gt;=Assumptions!$B$14,Revenue_Build!M10&gt;=Assumptions!$F$223*Assumptions!$B$55)),Assumptions!$D$223,0)</f>
        <v/>
      </c>
      <c r="N25" s="41">
        <f>IF(OR(M25&gt;0,AND(N$3&gt;=Assumptions!$E$223,N$3&gt;=Assumptions!$B$14,Revenue_Build!N10&gt;=Assumptions!$F$223*Assumptions!$B$55)),Assumptions!$D$223,0)</f>
        <v/>
      </c>
      <c r="O25" s="41">
        <f>IF(OR(N25&gt;0,AND(O$3&gt;=Assumptions!$E$223,O$3&gt;=Assumptions!$B$14,Revenue_Build!O10&gt;=Assumptions!$F$223*Assumptions!$B$55)),Assumptions!$D$223,0)</f>
        <v/>
      </c>
      <c r="P25" s="41">
        <f>IF(OR(O25&gt;0,AND(P$3&gt;=Assumptions!$E$223,P$3&gt;=Assumptions!$B$14,Revenue_Build!P10&gt;=Assumptions!$F$223*Assumptions!$B$55)),Assumptions!$D$223,0)</f>
        <v/>
      </c>
      <c r="Q25" s="41">
        <f>IF(OR(P25&gt;0,AND(Q$3&gt;=Assumptions!$E$223,Q$3&gt;=Assumptions!$B$14,Revenue_Build!Q10&gt;=Assumptions!$F$223*Assumptions!$B$55)),Assumptions!$D$223,0)</f>
        <v/>
      </c>
      <c r="R25" s="41">
        <f>IF(OR(Q25&gt;0,AND(R$3&gt;=Assumptions!$E$223,R$3&gt;=Assumptions!$B$14,Revenue_Build!R10&gt;=Assumptions!$F$223*Assumptions!$B$55)),Assumptions!$D$223,0)</f>
        <v/>
      </c>
      <c r="S25" s="41">
        <f>IF(OR(R25&gt;0,AND(S$3&gt;=Assumptions!$E$223,S$3&gt;=Assumptions!$B$14,Revenue_Build!S10&gt;=Assumptions!$F$223*Assumptions!$B$55)),Assumptions!$D$223,0)</f>
        <v/>
      </c>
      <c r="T25" s="41">
        <f>IF(OR(S25&gt;0,AND(T$3&gt;=Assumptions!$E$223,T$3&gt;=Assumptions!$B$14,Revenue_Build!T10&gt;=Assumptions!$F$223*Assumptions!$B$55)),Assumptions!$D$223,0)</f>
        <v/>
      </c>
      <c r="U25" s="41">
        <f>IF(OR(T25&gt;0,AND(U$3&gt;=Assumptions!$E$223,U$3&gt;=Assumptions!$B$14,Revenue_Build!U10&gt;=Assumptions!$F$223*Assumptions!$B$55)),Assumptions!$D$223,0)</f>
        <v/>
      </c>
      <c r="V25" s="41">
        <f>IF(OR(U25&gt;0,AND(V$3&gt;=Assumptions!$E$223,V$3&gt;=Assumptions!$B$14,Revenue_Build!V10&gt;=Assumptions!$F$223*Assumptions!$B$55)),Assumptions!$D$223,0)</f>
        <v/>
      </c>
      <c r="W25" s="41">
        <f>IF(OR(V25&gt;0,AND(W$3&gt;=Assumptions!$E$223,W$3&gt;=Assumptions!$B$14,Revenue_Build!W10&gt;=Assumptions!$F$223*Assumptions!$B$55)),Assumptions!$D$223,0)</f>
        <v/>
      </c>
      <c r="X25" s="41">
        <f>IF(OR(W25&gt;0,AND(X$3&gt;=Assumptions!$E$223,X$3&gt;=Assumptions!$B$14,Revenue_Build!X10&gt;=Assumptions!$F$223*Assumptions!$B$55)),Assumptions!$D$223,0)</f>
        <v/>
      </c>
      <c r="Y25" s="41">
        <f>IF(OR(X25&gt;0,AND(Y$3&gt;=Assumptions!$E$223,Y$3&gt;=Assumptions!$B$14,Revenue_Build!Y10&gt;=Assumptions!$F$223*Assumptions!$B$55)),Assumptions!$D$223,0)</f>
        <v/>
      </c>
      <c r="Z25" s="41">
        <f>IF(OR(Y25&gt;0,AND(Z$3&gt;=Assumptions!$E$223,Z$3&gt;=Assumptions!$B$14,Revenue_Build!Z10&gt;=Assumptions!$F$223*Assumptions!$B$55)),Assumptions!$D$223,0)</f>
        <v/>
      </c>
      <c r="AA25" s="41">
        <f>IF(OR(Z25&gt;0,AND(AA$3&gt;=Assumptions!$E$223,AA$3&gt;=Assumptions!$B$14,Revenue_Build!AA10&gt;=Assumptions!$F$223*Assumptions!$B$55)),Assumptions!$D$223,0)</f>
        <v/>
      </c>
      <c r="AB25" s="41">
        <f>IF(OR(AA25&gt;0,AND(AB$3&gt;=Assumptions!$E$223,AB$3&gt;=Assumptions!$B$14,Revenue_Build!AB10&gt;=Assumptions!$F$223*Assumptions!$B$55)),Assumptions!$D$223,0)</f>
        <v/>
      </c>
      <c r="AC25" s="41">
        <f>IF(OR(AB25&gt;0,AND(AC$3&gt;=Assumptions!$E$223,AC$3&gt;=Assumptions!$B$14,Revenue_Build!AC10&gt;=Assumptions!$F$223*Assumptions!$B$55)),Assumptions!$D$223,0)</f>
        <v/>
      </c>
      <c r="AD25" s="41">
        <f>IF(OR(AC25&gt;0,AND(AD$3&gt;=Assumptions!$E$223,AD$3&gt;=Assumptions!$B$14,Revenue_Build!AD10&gt;=Assumptions!$F$223*Assumptions!$B$55)),Assumptions!$D$223,0)</f>
        <v/>
      </c>
      <c r="AE25" s="41">
        <f>IF(OR(AD25&gt;0,AND(AE$3&gt;=Assumptions!$E$223,AE$3&gt;=Assumptions!$B$14,Revenue_Build!AE10&gt;=Assumptions!$F$223*Assumptions!$B$55)),Assumptions!$D$223,0)</f>
        <v/>
      </c>
      <c r="AF25" s="41">
        <f>IF(OR(AE25&gt;0,AND(AF$3&gt;=Assumptions!$E$223,AF$3&gt;=Assumptions!$B$14,Revenue_Build!AF10&gt;=Assumptions!$F$223*Assumptions!$B$55)),Assumptions!$D$223,0)</f>
        <v/>
      </c>
      <c r="AG25" s="41">
        <f>IF(OR(AF25&gt;0,AND(AG$3&gt;=Assumptions!$E$223,AG$3&gt;=Assumptions!$B$14,Revenue_Build!AG10&gt;=Assumptions!$F$223*Assumptions!$B$55)),Assumptions!$D$223,0)</f>
        <v/>
      </c>
      <c r="AH25" s="41">
        <f>IF(OR(AG25&gt;0,AND(AH$3&gt;=Assumptions!$E$223,AH$3&gt;=Assumptions!$B$14,Revenue_Build!AH10&gt;=Assumptions!$F$223*Assumptions!$B$55)),Assumptions!$D$223,0)</f>
        <v/>
      </c>
      <c r="AI25" s="41">
        <f>IF(OR(AH25&gt;0,AND(AI$3&gt;=Assumptions!$E$223,AI$3&gt;=Assumptions!$B$14,Revenue_Build!AI10&gt;=Assumptions!$F$223*Assumptions!$B$55)),Assumptions!$D$223,0)</f>
        <v/>
      </c>
      <c r="AJ25" s="41">
        <f>IF(OR(AI25&gt;0,AND(AJ$3&gt;=Assumptions!$E$223,AJ$3&gt;=Assumptions!$B$14,Revenue_Build!AJ10&gt;=Assumptions!$F$223*Assumptions!$B$55)),Assumptions!$D$223,0)</f>
        <v/>
      </c>
      <c r="AK25" s="41">
        <f>IF(OR(AJ25&gt;0,AND(AK$3&gt;=Assumptions!$E$223,AK$3&gt;=Assumptions!$B$14,Revenue_Build!AK10&gt;=Assumptions!$F$223*Assumptions!$B$55)),Assumptions!$D$223,0)</f>
        <v/>
      </c>
      <c r="AL25" s="41">
        <f>IF(OR(AK25&gt;0,AND(AL$3&gt;=Assumptions!$E$223,AL$3&gt;=Assumptions!$B$14,Revenue_Build!AL10&gt;=Assumptions!$F$223*Assumptions!$B$55)),Assumptions!$D$223,0)</f>
        <v/>
      </c>
      <c r="AM25" s="41">
        <f>IF(OR(AL25&gt;0,AND(AM$3&gt;=Assumptions!$E$223,AM$3&gt;=Assumptions!$B$14,Revenue_Build!AM10&gt;=Assumptions!$F$223*Assumptions!$B$55)),Assumptions!$D$223,0)</f>
        <v/>
      </c>
      <c r="AN25" s="41">
        <f>IF(OR(AM25&gt;0,AND(AN$3&gt;=Assumptions!$E$223,AN$3&gt;=Assumptions!$B$14,Revenue_Build!AN10&gt;=Assumptions!$F$223*Assumptions!$B$55)),Assumptions!$D$223,0)</f>
        <v/>
      </c>
      <c r="AO25" s="41">
        <f>IF(OR(AN25&gt;0,AND(AO$3&gt;=Assumptions!$E$223,AO$3&gt;=Assumptions!$B$14,Revenue_Build!AO10&gt;=Assumptions!$F$223*Assumptions!$B$55)),Assumptions!$D$223,0)</f>
        <v/>
      </c>
      <c r="AP25" s="41">
        <f>IF(OR(AO25&gt;0,AND(AP$3&gt;=Assumptions!$E$223,AP$3&gt;=Assumptions!$B$14,Revenue_Build!AP10&gt;=Assumptions!$F$223*Assumptions!$B$55)),Assumptions!$D$223,0)</f>
        <v/>
      </c>
      <c r="AQ25" s="41">
        <f>IF(OR(AP25&gt;0,AND(AQ$3&gt;=Assumptions!$E$223,AQ$3&gt;=Assumptions!$B$14,Revenue_Build!AQ10&gt;=Assumptions!$F$223*Assumptions!$B$55)),Assumptions!$D$223,0)</f>
        <v/>
      </c>
      <c r="AR25" s="41">
        <f>IF(OR(AQ25&gt;0,AND(AR$3&gt;=Assumptions!$E$223,AR$3&gt;=Assumptions!$B$14,Revenue_Build!AR10&gt;=Assumptions!$F$223*Assumptions!$B$55)),Assumptions!$D$223,0)</f>
        <v/>
      </c>
      <c r="AS25" s="41">
        <f>IF(OR(AR25&gt;0,AND(AS$3&gt;=Assumptions!$E$223,AS$3&gt;=Assumptions!$B$14,Revenue_Build!AS10&gt;=Assumptions!$F$223*Assumptions!$B$55)),Assumptions!$D$223,0)</f>
        <v/>
      </c>
      <c r="AT25" s="41">
        <f>IF(OR(AS25&gt;0,AND(AT$3&gt;=Assumptions!$E$223,AT$3&gt;=Assumptions!$B$14,Revenue_Build!AT10&gt;=Assumptions!$F$223*Assumptions!$B$55)),Assumptions!$D$223,0)</f>
        <v/>
      </c>
      <c r="AU25" s="41">
        <f>IF(OR(AT25&gt;0,AND(AU$3&gt;=Assumptions!$E$223,AU$3&gt;=Assumptions!$B$14,Revenue_Build!AU10&gt;=Assumptions!$F$223*Assumptions!$B$55)),Assumptions!$D$223,0)</f>
        <v/>
      </c>
      <c r="AV25" s="41">
        <f>IF(OR(AU25&gt;0,AND(AV$3&gt;=Assumptions!$E$223,AV$3&gt;=Assumptions!$B$14,Revenue_Build!AV10&gt;=Assumptions!$F$223*Assumptions!$B$55)),Assumptions!$D$223,0)</f>
        <v/>
      </c>
      <c r="AW25" s="41">
        <f>IF(OR(AV25&gt;0,AND(AW$3&gt;=Assumptions!$E$223,AW$3&gt;=Assumptions!$B$14,Revenue_Build!AW10&gt;=Assumptions!$F$223*Assumptions!$B$55)),Assumptions!$D$223,0)</f>
        <v/>
      </c>
      <c r="AX25" s="41">
        <f>IF(OR(AW25&gt;0,AND(AX$3&gt;=Assumptions!$E$223,AX$3&gt;=Assumptions!$B$14,Revenue_Build!AX10&gt;=Assumptions!$F$223*Assumptions!$B$55)),Assumptions!$D$223,0)</f>
        <v/>
      </c>
      <c r="AY25" s="41">
        <f>IF(OR(AX25&gt;0,AND(AY$3&gt;=Assumptions!$E$223,AY$3&gt;=Assumptions!$B$14,Revenue_Build!AY10&gt;=Assumptions!$F$223*Assumptions!$B$55)),Assumptions!$D$223,0)</f>
        <v/>
      </c>
      <c r="AZ25" s="41">
        <f>IF(OR(AY25&gt;0,AND(AZ$3&gt;=Assumptions!$E$223,AZ$3&gt;=Assumptions!$B$14,Revenue_Build!AZ10&gt;=Assumptions!$F$223*Assumptions!$B$55)),Assumptions!$D$223,0)</f>
        <v/>
      </c>
      <c r="BA25" s="41">
        <f>IF(OR(AZ25&gt;0,AND(BA$3&gt;=Assumptions!$E$223,BA$3&gt;=Assumptions!$B$14,Revenue_Build!BA10&gt;=Assumptions!$F$223*Assumptions!$B$55)),Assumptions!$D$223,0)</f>
        <v/>
      </c>
      <c r="BB25" s="41">
        <f>IF(OR(BA25&gt;0,AND(BB$3&gt;=Assumptions!$E$223,BB$3&gt;=Assumptions!$B$14,Revenue_Build!BB10&gt;=Assumptions!$F$223*Assumptions!$B$55)),Assumptions!$D$223,0)</f>
        <v/>
      </c>
      <c r="BC25" s="41">
        <f>IF(OR(BB25&gt;0,AND(BC$3&gt;=Assumptions!$E$223,BC$3&gt;=Assumptions!$B$14,Revenue_Build!BC10&gt;=Assumptions!$F$223*Assumptions!$B$55)),Assumptions!$D$223,0)</f>
        <v/>
      </c>
      <c r="BD25" s="41">
        <f>IF(OR(BC25&gt;0,AND(BD$3&gt;=Assumptions!$E$223,BD$3&gt;=Assumptions!$B$14,Revenue_Build!BD10&gt;=Assumptions!$F$223*Assumptions!$B$55)),Assumptions!$D$223,0)</f>
        <v/>
      </c>
      <c r="BE25" s="41">
        <f>IF(OR(BD25&gt;0,AND(BE$3&gt;=Assumptions!$E$223,BE$3&gt;=Assumptions!$B$14,Revenue_Build!BE10&gt;=Assumptions!$F$223*Assumptions!$B$55)),Assumptions!$D$223,0)</f>
        <v/>
      </c>
      <c r="BF25" s="41">
        <f>IF(OR(BE25&gt;0,AND(BF$3&gt;=Assumptions!$E$223,BF$3&gt;=Assumptions!$B$14,Revenue_Build!BF10&gt;=Assumptions!$F$223*Assumptions!$B$55)),Assumptions!$D$223,0)</f>
        <v/>
      </c>
      <c r="BG25" s="41">
        <f>IF(OR(BF25&gt;0,AND(BG$3&gt;=Assumptions!$E$223,BG$3&gt;=Assumptions!$B$14,Revenue_Build!BG10&gt;=Assumptions!$F$223*Assumptions!$B$55)),Assumptions!$D$223,0)</f>
        <v/>
      </c>
      <c r="BH25" s="41">
        <f>IF(OR(BG25&gt;0,AND(BH$3&gt;=Assumptions!$E$223,BH$3&gt;=Assumptions!$B$14,Revenue_Build!BH10&gt;=Assumptions!$F$223*Assumptions!$B$55)),Assumptions!$D$223,0)</f>
        <v/>
      </c>
      <c r="BI25" s="41">
        <f>IF(OR(BH25&gt;0,AND(BI$3&gt;=Assumptions!$E$223,BI$3&gt;=Assumptions!$B$14,Revenue_Build!BI10&gt;=Assumptions!$F$223*Assumptions!$B$55)),Assumptions!$D$223,0)</f>
        <v/>
      </c>
      <c r="BJ25" s="41">
        <f>IF(OR(BI25&gt;0,AND(BJ$3&gt;=Assumptions!$E$223,BJ$3&gt;=Assumptions!$B$14,Revenue_Build!BJ10&gt;=Assumptions!$F$223*Assumptions!$B$55)),Assumptions!$D$223,0)</f>
        <v/>
      </c>
    </row>
    <row r="26">
      <c r="A26" s="4" t="inlineStr">
        <is>
          <t>Data &amp; AI team II</t>
        </is>
      </c>
      <c r="B26" s="17" t="inlineStr">
        <is>
          <t>FTE</t>
        </is>
      </c>
      <c r="C26" s="41">
        <f>IF(AND(C$3&gt;=Assumptions!$E$224,C$3&gt;=Assumptions!$B$14,Revenue_Build!C10&gt;=Assumptions!$F$224*Assumptions!$B$55),Assumptions!$D$224,0)</f>
        <v/>
      </c>
      <c r="D26" s="41">
        <f>IF(OR(C26&gt;0,AND(D$3&gt;=Assumptions!$E$224,D$3&gt;=Assumptions!$B$14,Revenue_Build!D10&gt;=Assumptions!$F$224*Assumptions!$B$55)),Assumptions!$D$224,0)</f>
        <v/>
      </c>
      <c r="E26" s="41">
        <f>IF(OR(D26&gt;0,AND(E$3&gt;=Assumptions!$E$224,E$3&gt;=Assumptions!$B$14,Revenue_Build!E10&gt;=Assumptions!$F$224*Assumptions!$B$55)),Assumptions!$D$224,0)</f>
        <v/>
      </c>
      <c r="F26" s="41">
        <f>IF(OR(E26&gt;0,AND(F$3&gt;=Assumptions!$E$224,F$3&gt;=Assumptions!$B$14,Revenue_Build!F10&gt;=Assumptions!$F$224*Assumptions!$B$55)),Assumptions!$D$224,0)</f>
        <v/>
      </c>
      <c r="G26" s="41">
        <f>IF(OR(F26&gt;0,AND(G$3&gt;=Assumptions!$E$224,G$3&gt;=Assumptions!$B$14,Revenue_Build!G10&gt;=Assumptions!$F$224*Assumptions!$B$55)),Assumptions!$D$224,0)</f>
        <v/>
      </c>
      <c r="H26" s="41">
        <f>IF(OR(G26&gt;0,AND(H$3&gt;=Assumptions!$E$224,H$3&gt;=Assumptions!$B$14,Revenue_Build!H10&gt;=Assumptions!$F$224*Assumptions!$B$55)),Assumptions!$D$224,0)</f>
        <v/>
      </c>
      <c r="I26" s="41">
        <f>IF(OR(H26&gt;0,AND(I$3&gt;=Assumptions!$E$224,I$3&gt;=Assumptions!$B$14,Revenue_Build!I10&gt;=Assumptions!$F$224*Assumptions!$B$55)),Assumptions!$D$224,0)</f>
        <v/>
      </c>
      <c r="J26" s="41">
        <f>IF(OR(I26&gt;0,AND(J$3&gt;=Assumptions!$E$224,J$3&gt;=Assumptions!$B$14,Revenue_Build!J10&gt;=Assumptions!$F$224*Assumptions!$B$55)),Assumptions!$D$224,0)</f>
        <v/>
      </c>
      <c r="K26" s="41">
        <f>IF(OR(J26&gt;0,AND(K$3&gt;=Assumptions!$E$224,K$3&gt;=Assumptions!$B$14,Revenue_Build!K10&gt;=Assumptions!$F$224*Assumptions!$B$55)),Assumptions!$D$224,0)</f>
        <v/>
      </c>
      <c r="L26" s="41">
        <f>IF(OR(K26&gt;0,AND(L$3&gt;=Assumptions!$E$224,L$3&gt;=Assumptions!$B$14,Revenue_Build!L10&gt;=Assumptions!$F$224*Assumptions!$B$55)),Assumptions!$D$224,0)</f>
        <v/>
      </c>
      <c r="M26" s="41">
        <f>IF(OR(L26&gt;0,AND(M$3&gt;=Assumptions!$E$224,M$3&gt;=Assumptions!$B$14,Revenue_Build!M10&gt;=Assumptions!$F$224*Assumptions!$B$55)),Assumptions!$D$224,0)</f>
        <v/>
      </c>
      <c r="N26" s="41">
        <f>IF(OR(M26&gt;0,AND(N$3&gt;=Assumptions!$E$224,N$3&gt;=Assumptions!$B$14,Revenue_Build!N10&gt;=Assumptions!$F$224*Assumptions!$B$55)),Assumptions!$D$224,0)</f>
        <v/>
      </c>
      <c r="O26" s="41">
        <f>IF(OR(N26&gt;0,AND(O$3&gt;=Assumptions!$E$224,O$3&gt;=Assumptions!$B$14,Revenue_Build!O10&gt;=Assumptions!$F$224*Assumptions!$B$55)),Assumptions!$D$224,0)</f>
        <v/>
      </c>
      <c r="P26" s="41">
        <f>IF(OR(O26&gt;0,AND(P$3&gt;=Assumptions!$E$224,P$3&gt;=Assumptions!$B$14,Revenue_Build!P10&gt;=Assumptions!$F$224*Assumptions!$B$55)),Assumptions!$D$224,0)</f>
        <v/>
      </c>
      <c r="Q26" s="41">
        <f>IF(OR(P26&gt;0,AND(Q$3&gt;=Assumptions!$E$224,Q$3&gt;=Assumptions!$B$14,Revenue_Build!Q10&gt;=Assumptions!$F$224*Assumptions!$B$55)),Assumptions!$D$224,0)</f>
        <v/>
      </c>
      <c r="R26" s="41">
        <f>IF(OR(Q26&gt;0,AND(R$3&gt;=Assumptions!$E$224,R$3&gt;=Assumptions!$B$14,Revenue_Build!R10&gt;=Assumptions!$F$224*Assumptions!$B$55)),Assumptions!$D$224,0)</f>
        <v/>
      </c>
      <c r="S26" s="41">
        <f>IF(OR(R26&gt;0,AND(S$3&gt;=Assumptions!$E$224,S$3&gt;=Assumptions!$B$14,Revenue_Build!S10&gt;=Assumptions!$F$224*Assumptions!$B$55)),Assumptions!$D$224,0)</f>
        <v/>
      </c>
      <c r="T26" s="41">
        <f>IF(OR(S26&gt;0,AND(T$3&gt;=Assumptions!$E$224,T$3&gt;=Assumptions!$B$14,Revenue_Build!T10&gt;=Assumptions!$F$224*Assumptions!$B$55)),Assumptions!$D$224,0)</f>
        <v/>
      </c>
      <c r="U26" s="41">
        <f>IF(OR(T26&gt;0,AND(U$3&gt;=Assumptions!$E$224,U$3&gt;=Assumptions!$B$14,Revenue_Build!U10&gt;=Assumptions!$F$224*Assumptions!$B$55)),Assumptions!$D$224,0)</f>
        <v/>
      </c>
      <c r="V26" s="41">
        <f>IF(OR(U26&gt;0,AND(V$3&gt;=Assumptions!$E$224,V$3&gt;=Assumptions!$B$14,Revenue_Build!V10&gt;=Assumptions!$F$224*Assumptions!$B$55)),Assumptions!$D$224,0)</f>
        <v/>
      </c>
      <c r="W26" s="41">
        <f>IF(OR(V26&gt;0,AND(W$3&gt;=Assumptions!$E$224,W$3&gt;=Assumptions!$B$14,Revenue_Build!W10&gt;=Assumptions!$F$224*Assumptions!$B$55)),Assumptions!$D$224,0)</f>
        <v/>
      </c>
      <c r="X26" s="41">
        <f>IF(OR(W26&gt;0,AND(X$3&gt;=Assumptions!$E$224,X$3&gt;=Assumptions!$B$14,Revenue_Build!X10&gt;=Assumptions!$F$224*Assumptions!$B$55)),Assumptions!$D$224,0)</f>
        <v/>
      </c>
      <c r="Y26" s="41">
        <f>IF(OR(X26&gt;0,AND(Y$3&gt;=Assumptions!$E$224,Y$3&gt;=Assumptions!$B$14,Revenue_Build!Y10&gt;=Assumptions!$F$224*Assumptions!$B$55)),Assumptions!$D$224,0)</f>
        <v/>
      </c>
      <c r="Z26" s="41">
        <f>IF(OR(Y26&gt;0,AND(Z$3&gt;=Assumptions!$E$224,Z$3&gt;=Assumptions!$B$14,Revenue_Build!Z10&gt;=Assumptions!$F$224*Assumptions!$B$55)),Assumptions!$D$224,0)</f>
        <v/>
      </c>
      <c r="AA26" s="41">
        <f>IF(OR(Z26&gt;0,AND(AA$3&gt;=Assumptions!$E$224,AA$3&gt;=Assumptions!$B$14,Revenue_Build!AA10&gt;=Assumptions!$F$224*Assumptions!$B$55)),Assumptions!$D$224,0)</f>
        <v/>
      </c>
      <c r="AB26" s="41">
        <f>IF(OR(AA26&gt;0,AND(AB$3&gt;=Assumptions!$E$224,AB$3&gt;=Assumptions!$B$14,Revenue_Build!AB10&gt;=Assumptions!$F$224*Assumptions!$B$55)),Assumptions!$D$224,0)</f>
        <v/>
      </c>
      <c r="AC26" s="41">
        <f>IF(OR(AB26&gt;0,AND(AC$3&gt;=Assumptions!$E$224,AC$3&gt;=Assumptions!$B$14,Revenue_Build!AC10&gt;=Assumptions!$F$224*Assumptions!$B$55)),Assumptions!$D$224,0)</f>
        <v/>
      </c>
      <c r="AD26" s="41">
        <f>IF(OR(AC26&gt;0,AND(AD$3&gt;=Assumptions!$E$224,AD$3&gt;=Assumptions!$B$14,Revenue_Build!AD10&gt;=Assumptions!$F$224*Assumptions!$B$55)),Assumptions!$D$224,0)</f>
        <v/>
      </c>
      <c r="AE26" s="41">
        <f>IF(OR(AD26&gt;0,AND(AE$3&gt;=Assumptions!$E$224,AE$3&gt;=Assumptions!$B$14,Revenue_Build!AE10&gt;=Assumptions!$F$224*Assumptions!$B$55)),Assumptions!$D$224,0)</f>
        <v/>
      </c>
      <c r="AF26" s="41">
        <f>IF(OR(AE26&gt;0,AND(AF$3&gt;=Assumptions!$E$224,AF$3&gt;=Assumptions!$B$14,Revenue_Build!AF10&gt;=Assumptions!$F$224*Assumptions!$B$55)),Assumptions!$D$224,0)</f>
        <v/>
      </c>
      <c r="AG26" s="41">
        <f>IF(OR(AF26&gt;0,AND(AG$3&gt;=Assumptions!$E$224,AG$3&gt;=Assumptions!$B$14,Revenue_Build!AG10&gt;=Assumptions!$F$224*Assumptions!$B$55)),Assumptions!$D$224,0)</f>
        <v/>
      </c>
      <c r="AH26" s="41">
        <f>IF(OR(AG26&gt;0,AND(AH$3&gt;=Assumptions!$E$224,AH$3&gt;=Assumptions!$B$14,Revenue_Build!AH10&gt;=Assumptions!$F$224*Assumptions!$B$55)),Assumptions!$D$224,0)</f>
        <v/>
      </c>
      <c r="AI26" s="41">
        <f>IF(OR(AH26&gt;0,AND(AI$3&gt;=Assumptions!$E$224,AI$3&gt;=Assumptions!$B$14,Revenue_Build!AI10&gt;=Assumptions!$F$224*Assumptions!$B$55)),Assumptions!$D$224,0)</f>
        <v/>
      </c>
      <c r="AJ26" s="41">
        <f>IF(OR(AI26&gt;0,AND(AJ$3&gt;=Assumptions!$E$224,AJ$3&gt;=Assumptions!$B$14,Revenue_Build!AJ10&gt;=Assumptions!$F$224*Assumptions!$B$55)),Assumptions!$D$224,0)</f>
        <v/>
      </c>
      <c r="AK26" s="41">
        <f>IF(OR(AJ26&gt;0,AND(AK$3&gt;=Assumptions!$E$224,AK$3&gt;=Assumptions!$B$14,Revenue_Build!AK10&gt;=Assumptions!$F$224*Assumptions!$B$55)),Assumptions!$D$224,0)</f>
        <v/>
      </c>
      <c r="AL26" s="41">
        <f>IF(OR(AK26&gt;0,AND(AL$3&gt;=Assumptions!$E$224,AL$3&gt;=Assumptions!$B$14,Revenue_Build!AL10&gt;=Assumptions!$F$224*Assumptions!$B$55)),Assumptions!$D$224,0)</f>
        <v/>
      </c>
      <c r="AM26" s="41">
        <f>IF(OR(AL26&gt;0,AND(AM$3&gt;=Assumptions!$E$224,AM$3&gt;=Assumptions!$B$14,Revenue_Build!AM10&gt;=Assumptions!$F$224*Assumptions!$B$55)),Assumptions!$D$224,0)</f>
        <v/>
      </c>
      <c r="AN26" s="41">
        <f>IF(OR(AM26&gt;0,AND(AN$3&gt;=Assumptions!$E$224,AN$3&gt;=Assumptions!$B$14,Revenue_Build!AN10&gt;=Assumptions!$F$224*Assumptions!$B$55)),Assumptions!$D$224,0)</f>
        <v/>
      </c>
      <c r="AO26" s="41">
        <f>IF(OR(AN26&gt;0,AND(AO$3&gt;=Assumptions!$E$224,AO$3&gt;=Assumptions!$B$14,Revenue_Build!AO10&gt;=Assumptions!$F$224*Assumptions!$B$55)),Assumptions!$D$224,0)</f>
        <v/>
      </c>
      <c r="AP26" s="41">
        <f>IF(OR(AO26&gt;0,AND(AP$3&gt;=Assumptions!$E$224,AP$3&gt;=Assumptions!$B$14,Revenue_Build!AP10&gt;=Assumptions!$F$224*Assumptions!$B$55)),Assumptions!$D$224,0)</f>
        <v/>
      </c>
      <c r="AQ26" s="41">
        <f>IF(OR(AP26&gt;0,AND(AQ$3&gt;=Assumptions!$E$224,AQ$3&gt;=Assumptions!$B$14,Revenue_Build!AQ10&gt;=Assumptions!$F$224*Assumptions!$B$55)),Assumptions!$D$224,0)</f>
        <v/>
      </c>
      <c r="AR26" s="41">
        <f>IF(OR(AQ26&gt;0,AND(AR$3&gt;=Assumptions!$E$224,AR$3&gt;=Assumptions!$B$14,Revenue_Build!AR10&gt;=Assumptions!$F$224*Assumptions!$B$55)),Assumptions!$D$224,0)</f>
        <v/>
      </c>
      <c r="AS26" s="41">
        <f>IF(OR(AR26&gt;0,AND(AS$3&gt;=Assumptions!$E$224,AS$3&gt;=Assumptions!$B$14,Revenue_Build!AS10&gt;=Assumptions!$F$224*Assumptions!$B$55)),Assumptions!$D$224,0)</f>
        <v/>
      </c>
      <c r="AT26" s="41">
        <f>IF(OR(AS26&gt;0,AND(AT$3&gt;=Assumptions!$E$224,AT$3&gt;=Assumptions!$B$14,Revenue_Build!AT10&gt;=Assumptions!$F$224*Assumptions!$B$55)),Assumptions!$D$224,0)</f>
        <v/>
      </c>
      <c r="AU26" s="41">
        <f>IF(OR(AT26&gt;0,AND(AU$3&gt;=Assumptions!$E$224,AU$3&gt;=Assumptions!$B$14,Revenue_Build!AU10&gt;=Assumptions!$F$224*Assumptions!$B$55)),Assumptions!$D$224,0)</f>
        <v/>
      </c>
      <c r="AV26" s="41">
        <f>IF(OR(AU26&gt;0,AND(AV$3&gt;=Assumptions!$E$224,AV$3&gt;=Assumptions!$B$14,Revenue_Build!AV10&gt;=Assumptions!$F$224*Assumptions!$B$55)),Assumptions!$D$224,0)</f>
        <v/>
      </c>
      <c r="AW26" s="41">
        <f>IF(OR(AV26&gt;0,AND(AW$3&gt;=Assumptions!$E$224,AW$3&gt;=Assumptions!$B$14,Revenue_Build!AW10&gt;=Assumptions!$F$224*Assumptions!$B$55)),Assumptions!$D$224,0)</f>
        <v/>
      </c>
      <c r="AX26" s="41">
        <f>IF(OR(AW26&gt;0,AND(AX$3&gt;=Assumptions!$E$224,AX$3&gt;=Assumptions!$B$14,Revenue_Build!AX10&gt;=Assumptions!$F$224*Assumptions!$B$55)),Assumptions!$D$224,0)</f>
        <v/>
      </c>
      <c r="AY26" s="41">
        <f>IF(OR(AX26&gt;0,AND(AY$3&gt;=Assumptions!$E$224,AY$3&gt;=Assumptions!$B$14,Revenue_Build!AY10&gt;=Assumptions!$F$224*Assumptions!$B$55)),Assumptions!$D$224,0)</f>
        <v/>
      </c>
      <c r="AZ26" s="41">
        <f>IF(OR(AY26&gt;0,AND(AZ$3&gt;=Assumptions!$E$224,AZ$3&gt;=Assumptions!$B$14,Revenue_Build!AZ10&gt;=Assumptions!$F$224*Assumptions!$B$55)),Assumptions!$D$224,0)</f>
        <v/>
      </c>
      <c r="BA26" s="41">
        <f>IF(OR(AZ26&gt;0,AND(BA$3&gt;=Assumptions!$E$224,BA$3&gt;=Assumptions!$B$14,Revenue_Build!BA10&gt;=Assumptions!$F$224*Assumptions!$B$55)),Assumptions!$D$224,0)</f>
        <v/>
      </c>
      <c r="BB26" s="41">
        <f>IF(OR(BA26&gt;0,AND(BB$3&gt;=Assumptions!$E$224,BB$3&gt;=Assumptions!$B$14,Revenue_Build!BB10&gt;=Assumptions!$F$224*Assumptions!$B$55)),Assumptions!$D$224,0)</f>
        <v/>
      </c>
      <c r="BC26" s="41">
        <f>IF(OR(BB26&gt;0,AND(BC$3&gt;=Assumptions!$E$224,BC$3&gt;=Assumptions!$B$14,Revenue_Build!BC10&gt;=Assumptions!$F$224*Assumptions!$B$55)),Assumptions!$D$224,0)</f>
        <v/>
      </c>
      <c r="BD26" s="41">
        <f>IF(OR(BC26&gt;0,AND(BD$3&gt;=Assumptions!$E$224,BD$3&gt;=Assumptions!$B$14,Revenue_Build!BD10&gt;=Assumptions!$F$224*Assumptions!$B$55)),Assumptions!$D$224,0)</f>
        <v/>
      </c>
      <c r="BE26" s="41">
        <f>IF(OR(BD26&gt;0,AND(BE$3&gt;=Assumptions!$E$224,BE$3&gt;=Assumptions!$B$14,Revenue_Build!BE10&gt;=Assumptions!$F$224*Assumptions!$B$55)),Assumptions!$D$224,0)</f>
        <v/>
      </c>
      <c r="BF26" s="41">
        <f>IF(OR(BE26&gt;0,AND(BF$3&gt;=Assumptions!$E$224,BF$3&gt;=Assumptions!$B$14,Revenue_Build!BF10&gt;=Assumptions!$F$224*Assumptions!$B$55)),Assumptions!$D$224,0)</f>
        <v/>
      </c>
      <c r="BG26" s="41">
        <f>IF(OR(BF26&gt;0,AND(BG$3&gt;=Assumptions!$E$224,BG$3&gt;=Assumptions!$B$14,Revenue_Build!BG10&gt;=Assumptions!$F$224*Assumptions!$B$55)),Assumptions!$D$224,0)</f>
        <v/>
      </c>
      <c r="BH26" s="41">
        <f>IF(OR(BG26&gt;0,AND(BH$3&gt;=Assumptions!$E$224,BH$3&gt;=Assumptions!$B$14,Revenue_Build!BH10&gt;=Assumptions!$F$224*Assumptions!$B$55)),Assumptions!$D$224,0)</f>
        <v/>
      </c>
      <c r="BI26" s="41">
        <f>IF(OR(BH26&gt;0,AND(BI$3&gt;=Assumptions!$E$224,BI$3&gt;=Assumptions!$B$14,Revenue_Build!BI10&gt;=Assumptions!$F$224*Assumptions!$B$55)),Assumptions!$D$224,0)</f>
        <v/>
      </c>
      <c r="BJ26" s="41">
        <f>IF(OR(BI26&gt;0,AND(BJ$3&gt;=Assumptions!$E$224,BJ$3&gt;=Assumptions!$B$14,Revenue_Build!BJ10&gt;=Assumptions!$F$224*Assumptions!$B$55)),Assumptions!$D$224,0)</f>
        <v/>
      </c>
    </row>
    <row r="27">
      <c r="A27" s="4" t="inlineStr">
        <is>
          <t>Head of Growth</t>
        </is>
      </c>
      <c r="B27" s="17" t="inlineStr">
        <is>
          <t>FTE</t>
        </is>
      </c>
      <c r="C27" s="41">
        <f>IF(AND(C$3&gt;=Assumptions!$E$225,C$3&gt;=Assumptions!$B$14,Revenue_Build!C10&gt;=Assumptions!$F$225*Assumptions!$B$55),Assumptions!$D$225,0)</f>
        <v/>
      </c>
      <c r="D27" s="41">
        <f>IF(OR(C27&gt;0,AND(D$3&gt;=Assumptions!$E$225,D$3&gt;=Assumptions!$B$14,Revenue_Build!D10&gt;=Assumptions!$F$225*Assumptions!$B$55)),Assumptions!$D$225,0)</f>
        <v/>
      </c>
      <c r="E27" s="41">
        <f>IF(OR(D27&gt;0,AND(E$3&gt;=Assumptions!$E$225,E$3&gt;=Assumptions!$B$14,Revenue_Build!E10&gt;=Assumptions!$F$225*Assumptions!$B$55)),Assumptions!$D$225,0)</f>
        <v/>
      </c>
      <c r="F27" s="41">
        <f>IF(OR(E27&gt;0,AND(F$3&gt;=Assumptions!$E$225,F$3&gt;=Assumptions!$B$14,Revenue_Build!F10&gt;=Assumptions!$F$225*Assumptions!$B$55)),Assumptions!$D$225,0)</f>
        <v/>
      </c>
      <c r="G27" s="41">
        <f>IF(OR(F27&gt;0,AND(G$3&gt;=Assumptions!$E$225,G$3&gt;=Assumptions!$B$14,Revenue_Build!G10&gt;=Assumptions!$F$225*Assumptions!$B$55)),Assumptions!$D$225,0)</f>
        <v/>
      </c>
      <c r="H27" s="41">
        <f>IF(OR(G27&gt;0,AND(H$3&gt;=Assumptions!$E$225,H$3&gt;=Assumptions!$B$14,Revenue_Build!H10&gt;=Assumptions!$F$225*Assumptions!$B$55)),Assumptions!$D$225,0)</f>
        <v/>
      </c>
      <c r="I27" s="41">
        <f>IF(OR(H27&gt;0,AND(I$3&gt;=Assumptions!$E$225,I$3&gt;=Assumptions!$B$14,Revenue_Build!I10&gt;=Assumptions!$F$225*Assumptions!$B$55)),Assumptions!$D$225,0)</f>
        <v/>
      </c>
      <c r="J27" s="41">
        <f>IF(OR(I27&gt;0,AND(J$3&gt;=Assumptions!$E$225,J$3&gt;=Assumptions!$B$14,Revenue_Build!J10&gt;=Assumptions!$F$225*Assumptions!$B$55)),Assumptions!$D$225,0)</f>
        <v/>
      </c>
      <c r="K27" s="41">
        <f>IF(OR(J27&gt;0,AND(K$3&gt;=Assumptions!$E$225,K$3&gt;=Assumptions!$B$14,Revenue_Build!K10&gt;=Assumptions!$F$225*Assumptions!$B$55)),Assumptions!$D$225,0)</f>
        <v/>
      </c>
      <c r="L27" s="41">
        <f>IF(OR(K27&gt;0,AND(L$3&gt;=Assumptions!$E$225,L$3&gt;=Assumptions!$B$14,Revenue_Build!L10&gt;=Assumptions!$F$225*Assumptions!$B$55)),Assumptions!$D$225,0)</f>
        <v/>
      </c>
      <c r="M27" s="41">
        <f>IF(OR(L27&gt;0,AND(M$3&gt;=Assumptions!$E$225,M$3&gt;=Assumptions!$B$14,Revenue_Build!M10&gt;=Assumptions!$F$225*Assumptions!$B$55)),Assumptions!$D$225,0)</f>
        <v/>
      </c>
      <c r="N27" s="41">
        <f>IF(OR(M27&gt;0,AND(N$3&gt;=Assumptions!$E$225,N$3&gt;=Assumptions!$B$14,Revenue_Build!N10&gt;=Assumptions!$F$225*Assumptions!$B$55)),Assumptions!$D$225,0)</f>
        <v/>
      </c>
      <c r="O27" s="41">
        <f>IF(OR(N27&gt;0,AND(O$3&gt;=Assumptions!$E$225,O$3&gt;=Assumptions!$B$14,Revenue_Build!O10&gt;=Assumptions!$F$225*Assumptions!$B$55)),Assumptions!$D$225,0)</f>
        <v/>
      </c>
      <c r="P27" s="41">
        <f>IF(OR(O27&gt;0,AND(P$3&gt;=Assumptions!$E$225,P$3&gt;=Assumptions!$B$14,Revenue_Build!P10&gt;=Assumptions!$F$225*Assumptions!$B$55)),Assumptions!$D$225,0)</f>
        <v/>
      </c>
      <c r="Q27" s="41">
        <f>IF(OR(P27&gt;0,AND(Q$3&gt;=Assumptions!$E$225,Q$3&gt;=Assumptions!$B$14,Revenue_Build!Q10&gt;=Assumptions!$F$225*Assumptions!$B$55)),Assumptions!$D$225,0)</f>
        <v/>
      </c>
      <c r="R27" s="41">
        <f>IF(OR(Q27&gt;0,AND(R$3&gt;=Assumptions!$E$225,R$3&gt;=Assumptions!$B$14,Revenue_Build!R10&gt;=Assumptions!$F$225*Assumptions!$B$55)),Assumptions!$D$225,0)</f>
        <v/>
      </c>
      <c r="S27" s="41">
        <f>IF(OR(R27&gt;0,AND(S$3&gt;=Assumptions!$E$225,S$3&gt;=Assumptions!$B$14,Revenue_Build!S10&gt;=Assumptions!$F$225*Assumptions!$B$55)),Assumptions!$D$225,0)</f>
        <v/>
      </c>
      <c r="T27" s="41">
        <f>IF(OR(S27&gt;0,AND(T$3&gt;=Assumptions!$E$225,T$3&gt;=Assumptions!$B$14,Revenue_Build!T10&gt;=Assumptions!$F$225*Assumptions!$B$55)),Assumptions!$D$225,0)</f>
        <v/>
      </c>
      <c r="U27" s="41">
        <f>IF(OR(T27&gt;0,AND(U$3&gt;=Assumptions!$E$225,U$3&gt;=Assumptions!$B$14,Revenue_Build!U10&gt;=Assumptions!$F$225*Assumptions!$B$55)),Assumptions!$D$225,0)</f>
        <v/>
      </c>
      <c r="V27" s="41">
        <f>IF(OR(U27&gt;0,AND(V$3&gt;=Assumptions!$E$225,V$3&gt;=Assumptions!$B$14,Revenue_Build!V10&gt;=Assumptions!$F$225*Assumptions!$B$55)),Assumptions!$D$225,0)</f>
        <v/>
      </c>
      <c r="W27" s="41">
        <f>IF(OR(V27&gt;0,AND(W$3&gt;=Assumptions!$E$225,W$3&gt;=Assumptions!$B$14,Revenue_Build!W10&gt;=Assumptions!$F$225*Assumptions!$B$55)),Assumptions!$D$225,0)</f>
        <v/>
      </c>
      <c r="X27" s="41">
        <f>IF(OR(W27&gt;0,AND(X$3&gt;=Assumptions!$E$225,X$3&gt;=Assumptions!$B$14,Revenue_Build!X10&gt;=Assumptions!$F$225*Assumptions!$B$55)),Assumptions!$D$225,0)</f>
        <v/>
      </c>
      <c r="Y27" s="41">
        <f>IF(OR(X27&gt;0,AND(Y$3&gt;=Assumptions!$E$225,Y$3&gt;=Assumptions!$B$14,Revenue_Build!Y10&gt;=Assumptions!$F$225*Assumptions!$B$55)),Assumptions!$D$225,0)</f>
        <v/>
      </c>
      <c r="Z27" s="41">
        <f>IF(OR(Y27&gt;0,AND(Z$3&gt;=Assumptions!$E$225,Z$3&gt;=Assumptions!$B$14,Revenue_Build!Z10&gt;=Assumptions!$F$225*Assumptions!$B$55)),Assumptions!$D$225,0)</f>
        <v/>
      </c>
      <c r="AA27" s="41">
        <f>IF(OR(Z27&gt;0,AND(AA$3&gt;=Assumptions!$E$225,AA$3&gt;=Assumptions!$B$14,Revenue_Build!AA10&gt;=Assumptions!$F$225*Assumptions!$B$55)),Assumptions!$D$225,0)</f>
        <v/>
      </c>
      <c r="AB27" s="41">
        <f>IF(OR(AA27&gt;0,AND(AB$3&gt;=Assumptions!$E$225,AB$3&gt;=Assumptions!$B$14,Revenue_Build!AB10&gt;=Assumptions!$F$225*Assumptions!$B$55)),Assumptions!$D$225,0)</f>
        <v/>
      </c>
      <c r="AC27" s="41">
        <f>IF(OR(AB27&gt;0,AND(AC$3&gt;=Assumptions!$E$225,AC$3&gt;=Assumptions!$B$14,Revenue_Build!AC10&gt;=Assumptions!$F$225*Assumptions!$B$55)),Assumptions!$D$225,0)</f>
        <v/>
      </c>
      <c r="AD27" s="41">
        <f>IF(OR(AC27&gt;0,AND(AD$3&gt;=Assumptions!$E$225,AD$3&gt;=Assumptions!$B$14,Revenue_Build!AD10&gt;=Assumptions!$F$225*Assumptions!$B$55)),Assumptions!$D$225,0)</f>
        <v/>
      </c>
      <c r="AE27" s="41">
        <f>IF(OR(AD27&gt;0,AND(AE$3&gt;=Assumptions!$E$225,AE$3&gt;=Assumptions!$B$14,Revenue_Build!AE10&gt;=Assumptions!$F$225*Assumptions!$B$55)),Assumptions!$D$225,0)</f>
        <v/>
      </c>
      <c r="AF27" s="41">
        <f>IF(OR(AE27&gt;0,AND(AF$3&gt;=Assumptions!$E$225,AF$3&gt;=Assumptions!$B$14,Revenue_Build!AF10&gt;=Assumptions!$F$225*Assumptions!$B$55)),Assumptions!$D$225,0)</f>
        <v/>
      </c>
      <c r="AG27" s="41">
        <f>IF(OR(AF27&gt;0,AND(AG$3&gt;=Assumptions!$E$225,AG$3&gt;=Assumptions!$B$14,Revenue_Build!AG10&gt;=Assumptions!$F$225*Assumptions!$B$55)),Assumptions!$D$225,0)</f>
        <v/>
      </c>
      <c r="AH27" s="41">
        <f>IF(OR(AG27&gt;0,AND(AH$3&gt;=Assumptions!$E$225,AH$3&gt;=Assumptions!$B$14,Revenue_Build!AH10&gt;=Assumptions!$F$225*Assumptions!$B$55)),Assumptions!$D$225,0)</f>
        <v/>
      </c>
      <c r="AI27" s="41">
        <f>IF(OR(AH27&gt;0,AND(AI$3&gt;=Assumptions!$E$225,AI$3&gt;=Assumptions!$B$14,Revenue_Build!AI10&gt;=Assumptions!$F$225*Assumptions!$B$55)),Assumptions!$D$225,0)</f>
        <v/>
      </c>
      <c r="AJ27" s="41">
        <f>IF(OR(AI27&gt;0,AND(AJ$3&gt;=Assumptions!$E$225,AJ$3&gt;=Assumptions!$B$14,Revenue_Build!AJ10&gt;=Assumptions!$F$225*Assumptions!$B$55)),Assumptions!$D$225,0)</f>
        <v/>
      </c>
      <c r="AK27" s="41">
        <f>IF(OR(AJ27&gt;0,AND(AK$3&gt;=Assumptions!$E$225,AK$3&gt;=Assumptions!$B$14,Revenue_Build!AK10&gt;=Assumptions!$F$225*Assumptions!$B$55)),Assumptions!$D$225,0)</f>
        <v/>
      </c>
      <c r="AL27" s="41">
        <f>IF(OR(AK27&gt;0,AND(AL$3&gt;=Assumptions!$E$225,AL$3&gt;=Assumptions!$B$14,Revenue_Build!AL10&gt;=Assumptions!$F$225*Assumptions!$B$55)),Assumptions!$D$225,0)</f>
        <v/>
      </c>
      <c r="AM27" s="41">
        <f>IF(OR(AL27&gt;0,AND(AM$3&gt;=Assumptions!$E$225,AM$3&gt;=Assumptions!$B$14,Revenue_Build!AM10&gt;=Assumptions!$F$225*Assumptions!$B$55)),Assumptions!$D$225,0)</f>
        <v/>
      </c>
      <c r="AN27" s="41">
        <f>IF(OR(AM27&gt;0,AND(AN$3&gt;=Assumptions!$E$225,AN$3&gt;=Assumptions!$B$14,Revenue_Build!AN10&gt;=Assumptions!$F$225*Assumptions!$B$55)),Assumptions!$D$225,0)</f>
        <v/>
      </c>
      <c r="AO27" s="41">
        <f>IF(OR(AN27&gt;0,AND(AO$3&gt;=Assumptions!$E$225,AO$3&gt;=Assumptions!$B$14,Revenue_Build!AO10&gt;=Assumptions!$F$225*Assumptions!$B$55)),Assumptions!$D$225,0)</f>
        <v/>
      </c>
      <c r="AP27" s="41">
        <f>IF(OR(AO27&gt;0,AND(AP$3&gt;=Assumptions!$E$225,AP$3&gt;=Assumptions!$B$14,Revenue_Build!AP10&gt;=Assumptions!$F$225*Assumptions!$B$55)),Assumptions!$D$225,0)</f>
        <v/>
      </c>
      <c r="AQ27" s="41">
        <f>IF(OR(AP27&gt;0,AND(AQ$3&gt;=Assumptions!$E$225,AQ$3&gt;=Assumptions!$B$14,Revenue_Build!AQ10&gt;=Assumptions!$F$225*Assumptions!$B$55)),Assumptions!$D$225,0)</f>
        <v/>
      </c>
      <c r="AR27" s="41">
        <f>IF(OR(AQ27&gt;0,AND(AR$3&gt;=Assumptions!$E$225,AR$3&gt;=Assumptions!$B$14,Revenue_Build!AR10&gt;=Assumptions!$F$225*Assumptions!$B$55)),Assumptions!$D$225,0)</f>
        <v/>
      </c>
      <c r="AS27" s="41">
        <f>IF(OR(AR27&gt;0,AND(AS$3&gt;=Assumptions!$E$225,AS$3&gt;=Assumptions!$B$14,Revenue_Build!AS10&gt;=Assumptions!$F$225*Assumptions!$B$55)),Assumptions!$D$225,0)</f>
        <v/>
      </c>
      <c r="AT27" s="41">
        <f>IF(OR(AS27&gt;0,AND(AT$3&gt;=Assumptions!$E$225,AT$3&gt;=Assumptions!$B$14,Revenue_Build!AT10&gt;=Assumptions!$F$225*Assumptions!$B$55)),Assumptions!$D$225,0)</f>
        <v/>
      </c>
      <c r="AU27" s="41">
        <f>IF(OR(AT27&gt;0,AND(AU$3&gt;=Assumptions!$E$225,AU$3&gt;=Assumptions!$B$14,Revenue_Build!AU10&gt;=Assumptions!$F$225*Assumptions!$B$55)),Assumptions!$D$225,0)</f>
        <v/>
      </c>
      <c r="AV27" s="41">
        <f>IF(OR(AU27&gt;0,AND(AV$3&gt;=Assumptions!$E$225,AV$3&gt;=Assumptions!$B$14,Revenue_Build!AV10&gt;=Assumptions!$F$225*Assumptions!$B$55)),Assumptions!$D$225,0)</f>
        <v/>
      </c>
      <c r="AW27" s="41">
        <f>IF(OR(AV27&gt;0,AND(AW$3&gt;=Assumptions!$E$225,AW$3&gt;=Assumptions!$B$14,Revenue_Build!AW10&gt;=Assumptions!$F$225*Assumptions!$B$55)),Assumptions!$D$225,0)</f>
        <v/>
      </c>
      <c r="AX27" s="41">
        <f>IF(OR(AW27&gt;0,AND(AX$3&gt;=Assumptions!$E$225,AX$3&gt;=Assumptions!$B$14,Revenue_Build!AX10&gt;=Assumptions!$F$225*Assumptions!$B$55)),Assumptions!$D$225,0)</f>
        <v/>
      </c>
      <c r="AY27" s="41">
        <f>IF(OR(AX27&gt;0,AND(AY$3&gt;=Assumptions!$E$225,AY$3&gt;=Assumptions!$B$14,Revenue_Build!AY10&gt;=Assumptions!$F$225*Assumptions!$B$55)),Assumptions!$D$225,0)</f>
        <v/>
      </c>
      <c r="AZ27" s="41">
        <f>IF(OR(AY27&gt;0,AND(AZ$3&gt;=Assumptions!$E$225,AZ$3&gt;=Assumptions!$B$14,Revenue_Build!AZ10&gt;=Assumptions!$F$225*Assumptions!$B$55)),Assumptions!$D$225,0)</f>
        <v/>
      </c>
      <c r="BA27" s="41">
        <f>IF(OR(AZ27&gt;0,AND(BA$3&gt;=Assumptions!$E$225,BA$3&gt;=Assumptions!$B$14,Revenue_Build!BA10&gt;=Assumptions!$F$225*Assumptions!$B$55)),Assumptions!$D$225,0)</f>
        <v/>
      </c>
      <c r="BB27" s="41">
        <f>IF(OR(BA27&gt;0,AND(BB$3&gt;=Assumptions!$E$225,BB$3&gt;=Assumptions!$B$14,Revenue_Build!BB10&gt;=Assumptions!$F$225*Assumptions!$B$55)),Assumptions!$D$225,0)</f>
        <v/>
      </c>
      <c r="BC27" s="41">
        <f>IF(OR(BB27&gt;0,AND(BC$3&gt;=Assumptions!$E$225,BC$3&gt;=Assumptions!$B$14,Revenue_Build!BC10&gt;=Assumptions!$F$225*Assumptions!$B$55)),Assumptions!$D$225,0)</f>
        <v/>
      </c>
      <c r="BD27" s="41">
        <f>IF(OR(BC27&gt;0,AND(BD$3&gt;=Assumptions!$E$225,BD$3&gt;=Assumptions!$B$14,Revenue_Build!BD10&gt;=Assumptions!$F$225*Assumptions!$B$55)),Assumptions!$D$225,0)</f>
        <v/>
      </c>
      <c r="BE27" s="41">
        <f>IF(OR(BD27&gt;0,AND(BE$3&gt;=Assumptions!$E$225,BE$3&gt;=Assumptions!$B$14,Revenue_Build!BE10&gt;=Assumptions!$F$225*Assumptions!$B$55)),Assumptions!$D$225,0)</f>
        <v/>
      </c>
      <c r="BF27" s="41">
        <f>IF(OR(BE27&gt;0,AND(BF$3&gt;=Assumptions!$E$225,BF$3&gt;=Assumptions!$B$14,Revenue_Build!BF10&gt;=Assumptions!$F$225*Assumptions!$B$55)),Assumptions!$D$225,0)</f>
        <v/>
      </c>
      <c r="BG27" s="41">
        <f>IF(OR(BF27&gt;0,AND(BG$3&gt;=Assumptions!$E$225,BG$3&gt;=Assumptions!$B$14,Revenue_Build!BG10&gt;=Assumptions!$F$225*Assumptions!$B$55)),Assumptions!$D$225,0)</f>
        <v/>
      </c>
      <c r="BH27" s="41">
        <f>IF(OR(BG27&gt;0,AND(BH$3&gt;=Assumptions!$E$225,BH$3&gt;=Assumptions!$B$14,Revenue_Build!BH10&gt;=Assumptions!$F$225*Assumptions!$B$55)),Assumptions!$D$225,0)</f>
        <v/>
      </c>
      <c r="BI27" s="41">
        <f>IF(OR(BH27&gt;0,AND(BI$3&gt;=Assumptions!$E$225,BI$3&gt;=Assumptions!$B$14,Revenue_Build!BI10&gt;=Assumptions!$F$225*Assumptions!$B$55)),Assumptions!$D$225,0)</f>
        <v/>
      </c>
      <c r="BJ27" s="41">
        <f>IF(OR(BI27&gt;0,AND(BJ$3&gt;=Assumptions!$E$225,BJ$3&gt;=Assumptions!$B$14,Revenue_Build!BJ10&gt;=Assumptions!$F$225*Assumptions!$B$55)),Assumptions!$D$225,0)</f>
        <v/>
      </c>
    </row>
    <row r="28">
      <c r="A28" s="4" t="inlineStr">
        <is>
          <t>Performance marketer</t>
        </is>
      </c>
      <c r="B28" s="17" t="inlineStr">
        <is>
          <t>FTE</t>
        </is>
      </c>
      <c r="C28" s="41">
        <f>IF(AND(C$3&gt;=Assumptions!$E$226,C$3&gt;=Assumptions!$B$14,Revenue_Build!C10&gt;=Assumptions!$F$226*Assumptions!$B$55),Assumptions!$D$226,0)</f>
        <v/>
      </c>
      <c r="D28" s="41">
        <f>IF(OR(C28&gt;0,AND(D$3&gt;=Assumptions!$E$226,D$3&gt;=Assumptions!$B$14,Revenue_Build!D10&gt;=Assumptions!$F$226*Assumptions!$B$55)),Assumptions!$D$226,0)</f>
        <v/>
      </c>
      <c r="E28" s="41">
        <f>IF(OR(D28&gt;0,AND(E$3&gt;=Assumptions!$E$226,E$3&gt;=Assumptions!$B$14,Revenue_Build!E10&gt;=Assumptions!$F$226*Assumptions!$B$55)),Assumptions!$D$226,0)</f>
        <v/>
      </c>
      <c r="F28" s="41">
        <f>IF(OR(E28&gt;0,AND(F$3&gt;=Assumptions!$E$226,F$3&gt;=Assumptions!$B$14,Revenue_Build!F10&gt;=Assumptions!$F$226*Assumptions!$B$55)),Assumptions!$D$226,0)</f>
        <v/>
      </c>
      <c r="G28" s="41">
        <f>IF(OR(F28&gt;0,AND(G$3&gt;=Assumptions!$E$226,G$3&gt;=Assumptions!$B$14,Revenue_Build!G10&gt;=Assumptions!$F$226*Assumptions!$B$55)),Assumptions!$D$226,0)</f>
        <v/>
      </c>
      <c r="H28" s="41">
        <f>IF(OR(G28&gt;0,AND(H$3&gt;=Assumptions!$E$226,H$3&gt;=Assumptions!$B$14,Revenue_Build!H10&gt;=Assumptions!$F$226*Assumptions!$B$55)),Assumptions!$D$226,0)</f>
        <v/>
      </c>
      <c r="I28" s="41">
        <f>IF(OR(H28&gt;0,AND(I$3&gt;=Assumptions!$E$226,I$3&gt;=Assumptions!$B$14,Revenue_Build!I10&gt;=Assumptions!$F$226*Assumptions!$B$55)),Assumptions!$D$226,0)</f>
        <v/>
      </c>
      <c r="J28" s="41">
        <f>IF(OR(I28&gt;0,AND(J$3&gt;=Assumptions!$E$226,J$3&gt;=Assumptions!$B$14,Revenue_Build!J10&gt;=Assumptions!$F$226*Assumptions!$B$55)),Assumptions!$D$226,0)</f>
        <v/>
      </c>
      <c r="K28" s="41">
        <f>IF(OR(J28&gt;0,AND(K$3&gt;=Assumptions!$E$226,K$3&gt;=Assumptions!$B$14,Revenue_Build!K10&gt;=Assumptions!$F$226*Assumptions!$B$55)),Assumptions!$D$226,0)</f>
        <v/>
      </c>
      <c r="L28" s="41">
        <f>IF(OR(K28&gt;0,AND(L$3&gt;=Assumptions!$E$226,L$3&gt;=Assumptions!$B$14,Revenue_Build!L10&gt;=Assumptions!$F$226*Assumptions!$B$55)),Assumptions!$D$226,0)</f>
        <v/>
      </c>
      <c r="M28" s="41">
        <f>IF(OR(L28&gt;0,AND(M$3&gt;=Assumptions!$E$226,M$3&gt;=Assumptions!$B$14,Revenue_Build!M10&gt;=Assumptions!$F$226*Assumptions!$B$55)),Assumptions!$D$226,0)</f>
        <v/>
      </c>
      <c r="N28" s="41">
        <f>IF(OR(M28&gt;0,AND(N$3&gt;=Assumptions!$E$226,N$3&gt;=Assumptions!$B$14,Revenue_Build!N10&gt;=Assumptions!$F$226*Assumptions!$B$55)),Assumptions!$D$226,0)</f>
        <v/>
      </c>
      <c r="O28" s="41">
        <f>IF(OR(N28&gt;0,AND(O$3&gt;=Assumptions!$E$226,O$3&gt;=Assumptions!$B$14,Revenue_Build!O10&gt;=Assumptions!$F$226*Assumptions!$B$55)),Assumptions!$D$226,0)</f>
        <v/>
      </c>
      <c r="P28" s="41">
        <f>IF(OR(O28&gt;0,AND(P$3&gt;=Assumptions!$E$226,P$3&gt;=Assumptions!$B$14,Revenue_Build!P10&gt;=Assumptions!$F$226*Assumptions!$B$55)),Assumptions!$D$226,0)</f>
        <v/>
      </c>
      <c r="Q28" s="41">
        <f>IF(OR(P28&gt;0,AND(Q$3&gt;=Assumptions!$E$226,Q$3&gt;=Assumptions!$B$14,Revenue_Build!Q10&gt;=Assumptions!$F$226*Assumptions!$B$55)),Assumptions!$D$226,0)</f>
        <v/>
      </c>
      <c r="R28" s="41">
        <f>IF(OR(Q28&gt;0,AND(R$3&gt;=Assumptions!$E$226,R$3&gt;=Assumptions!$B$14,Revenue_Build!R10&gt;=Assumptions!$F$226*Assumptions!$B$55)),Assumptions!$D$226,0)</f>
        <v/>
      </c>
      <c r="S28" s="41">
        <f>IF(OR(R28&gt;0,AND(S$3&gt;=Assumptions!$E$226,S$3&gt;=Assumptions!$B$14,Revenue_Build!S10&gt;=Assumptions!$F$226*Assumptions!$B$55)),Assumptions!$D$226,0)</f>
        <v/>
      </c>
      <c r="T28" s="41">
        <f>IF(OR(S28&gt;0,AND(T$3&gt;=Assumptions!$E$226,T$3&gt;=Assumptions!$B$14,Revenue_Build!T10&gt;=Assumptions!$F$226*Assumptions!$B$55)),Assumptions!$D$226,0)</f>
        <v/>
      </c>
      <c r="U28" s="41">
        <f>IF(OR(T28&gt;0,AND(U$3&gt;=Assumptions!$E$226,U$3&gt;=Assumptions!$B$14,Revenue_Build!U10&gt;=Assumptions!$F$226*Assumptions!$B$55)),Assumptions!$D$226,0)</f>
        <v/>
      </c>
      <c r="V28" s="41">
        <f>IF(OR(U28&gt;0,AND(V$3&gt;=Assumptions!$E$226,V$3&gt;=Assumptions!$B$14,Revenue_Build!V10&gt;=Assumptions!$F$226*Assumptions!$B$55)),Assumptions!$D$226,0)</f>
        <v/>
      </c>
      <c r="W28" s="41">
        <f>IF(OR(V28&gt;0,AND(W$3&gt;=Assumptions!$E$226,W$3&gt;=Assumptions!$B$14,Revenue_Build!W10&gt;=Assumptions!$F$226*Assumptions!$B$55)),Assumptions!$D$226,0)</f>
        <v/>
      </c>
      <c r="X28" s="41">
        <f>IF(OR(W28&gt;0,AND(X$3&gt;=Assumptions!$E$226,X$3&gt;=Assumptions!$B$14,Revenue_Build!X10&gt;=Assumptions!$F$226*Assumptions!$B$55)),Assumptions!$D$226,0)</f>
        <v/>
      </c>
      <c r="Y28" s="41">
        <f>IF(OR(X28&gt;0,AND(Y$3&gt;=Assumptions!$E$226,Y$3&gt;=Assumptions!$B$14,Revenue_Build!Y10&gt;=Assumptions!$F$226*Assumptions!$B$55)),Assumptions!$D$226,0)</f>
        <v/>
      </c>
      <c r="Z28" s="41">
        <f>IF(OR(Y28&gt;0,AND(Z$3&gt;=Assumptions!$E$226,Z$3&gt;=Assumptions!$B$14,Revenue_Build!Z10&gt;=Assumptions!$F$226*Assumptions!$B$55)),Assumptions!$D$226,0)</f>
        <v/>
      </c>
      <c r="AA28" s="41">
        <f>IF(OR(Z28&gt;0,AND(AA$3&gt;=Assumptions!$E$226,AA$3&gt;=Assumptions!$B$14,Revenue_Build!AA10&gt;=Assumptions!$F$226*Assumptions!$B$55)),Assumptions!$D$226,0)</f>
        <v/>
      </c>
      <c r="AB28" s="41">
        <f>IF(OR(AA28&gt;0,AND(AB$3&gt;=Assumptions!$E$226,AB$3&gt;=Assumptions!$B$14,Revenue_Build!AB10&gt;=Assumptions!$F$226*Assumptions!$B$55)),Assumptions!$D$226,0)</f>
        <v/>
      </c>
      <c r="AC28" s="41">
        <f>IF(OR(AB28&gt;0,AND(AC$3&gt;=Assumptions!$E$226,AC$3&gt;=Assumptions!$B$14,Revenue_Build!AC10&gt;=Assumptions!$F$226*Assumptions!$B$55)),Assumptions!$D$226,0)</f>
        <v/>
      </c>
      <c r="AD28" s="41">
        <f>IF(OR(AC28&gt;0,AND(AD$3&gt;=Assumptions!$E$226,AD$3&gt;=Assumptions!$B$14,Revenue_Build!AD10&gt;=Assumptions!$F$226*Assumptions!$B$55)),Assumptions!$D$226,0)</f>
        <v/>
      </c>
      <c r="AE28" s="41">
        <f>IF(OR(AD28&gt;0,AND(AE$3&gt;=Assumptions!$E$226,AE$3&gt;=Assumptions!$B$14,Revenue_Build!AE10&gt;=Assumptions!$F$226*Assumptions!$B$55)),Assumptions!$D$226,0)</f>
        <v/>
      </c>
      <c r="AF28" s="41">
        <f>IF(OR(AE28&gt;0,AND(AF$3&gt;=Assumptions!$E$226,AF$3&gt;=Assumptions!$B$14,Revenue_Build!AF10&gt;=Assumptions!$F$226*Assumptions!$B$55)),Assumptions!$D$226,0)</f>
        <v/>
      </c>
      <c r="AG28" s="41">
        <f>IF(OR(AF28&gt;0,AND(AG$3&gt;=Assumptions!$E$226,AG$3&gt;=Assumptions!$B$14,Revenue_Build!AG10&gt;=Assumptions!$F$226*Assumptions!$B$55)),Assumptions!$D$226,0)</f>
        <v/>
      </c>
      <c r="AH28" s="41">
        <f>IF(OR(AG28&gt;0,AND(AH$3&gt;=Assumptions!$E$226,AH$3&gt;=Assumptions!$B$14,Revenue_Build!AH10&gt;=Assumptions!$F$226*Assumptions!$B$55)),Assumptions!$D$226,0)</f>
        <v/>
      </c>
      <c r="AI28" s="41">
        <f>IF(OR(AH28&gt;0,AND(AI$3&gt;=Assumptions!$E$226,AI$3&gt;=Assumptions!$B$14,Revenue_Build!AI10&gt;=Assumptions!$F$226*Assumptions!$B$55)),Assumptions!$D$226,0)</f>
        <v/>
      </c>
      <c r="AJ28" s="41">
        <f>IF(OR(AI28&gt;0,AND(AJ$3&gt;=Assumptions!$E$226,AJ$3&gt;=Assumptions!$B$14,Revenue_Build!AJ10&gt;=Assumptions!$F$226*Assumptions!$B$55)),Assumptions!$D$226,0)</f>
        <v/>
      </c>
      <c r="AK28" s="41">
        <f>IF(OR(AJ28&gt;0,AND(AK$3&gt;=Assumptions!$E$226,AK$3&gt;=Assumptions!$B$14,Revenue_Build!AK10&gt;=Assumptions!$F$226*Assumptions!$B$55)),Assumptions!$D$226,0)</f>
        <v/>
      </c>
      <c r="AL28" s="41">
        <f>IF(OR(AK28&gt;0,AND(AL$3&gt;=Assumptions!$E$226,AL$3&gt;=Assumptions!$B$14,Revenue_Build!AL10&gt;=Assumptions!$F$226*Assumptions!$B$55)),Assumptions!$D$226,0)</f>
        <v/>
      </c>
      <c r="AM28" s="41">
        <f>IF(OR(AL28&gt;0,AND(AM$3&gt;=Assumptions!$E$226,AM$3&gt;=Assumptions!$B$14,Revenue_Build!AM10&gt;=Assumptions!$F$226*Assumptions!$B$55)),Assumptions!$D$226,0)</f>
        <v/>
      </c>
      <c r="AN28" s="41">
        <f>IF(OR(AM28&gt;0,AND(AN$3&gt;=Assumptions!$E$226,AN$3&gt;=Assumptions!$B$14,Revenue_Build!AN10&gt;=Assumptions!$F$226*Assumptions!$B$55)),Assumptions!$D$226,0)</f>
        <v/>
      </c>
      <c r="AO28" s="41">
        <f>IF(OR(AN28&gt;0,AND(AO$3&gt;=Assumptions!$E$226,AO$3&gt;=Assumptions!$B$14,Revenue_Build!AO10&gt;=Assumptions!$F$226*Assumptions!$B$55)),Assumptions!$D$226,0)</f>
        <v/>
      </c>
      <c r="AP28" s="41">
        <f>IF(OR(AO28&gt;0,AND(AP$3&gt;=Assumptions!$E$226,AP$3&gt;=Assumptions!$B$14,Revenue_Build!AP10&gt;=Assumptions!$F$226*Assumptions!$B$55)),Assumptions!$D$226,0)</f>
        <v/>
      </c>
      <c r="AQ28" s="41">
        <f>IF(OR(AP28&gt;0,AND(AQ$3&gt;=Assumptions!$E$226,AQ$3&gt;=Assumptions!$B$14,Revenue_Build!AQ10&gt;=Assumptions!$F$226*Assumptions!$B$55)),Assumptions!$D$226,0)</f>
        <v/>
      </c>
      <c r="AR28" s="41">
        <f>IF(OR(AQ28&gt;0,AND(AR$3&gt;=Assumptions!$E$226,AR$3&gt;=Assumptions!$B$14,Revenue_Build!AR10&gt;=Assumptions!$F$226*Assumptions!$B$55)),Assumptions!$D$226,0)</f>
        <v/>
      </c>
      <c r="AS28" s="41">
        <f>IF(OR(AR28&gt;0,AND(AS$3&gt;=Assumptions!$E$226,AS$3&gt;=Assumptions!$B$14,Revenue_Build!AS10&gt;=Assumptions!$F$226*Assumptions!$B$55)),Assumptions!$D$226,0)</f>
        <v/>
      </c>
      <c r="AT28" s="41">
        <f>IF(OR(AS28&gt;0,AND(AT$3&gt;=Assumptions!$E$226,AT$3&gt;=Assumptions!$B$14,Revenue_Build!AT10&gt;=Assumptions!$F$226*Assumptions!$B$55)),Assumptions!$D$226,0)</f>
        <v/>
      </c>
      <c r="AU28" s="41">
        <f>IF(OR(AT28&gt;0,AND(AU$3&gt;=Assumptions!$E$226,AU$3&gt;=Assumptions!$B$14,Revenue_Build!AU10&gt;=Assumptions!$F$226*Assumptions!$B$55)),Assumptions!$D$226,0)</f>
        <v/>
      </c>
      <c r="AV28" s="41">
        <f>IF(OR(AU28&gt;0,AND(AV$3&gt;=Assumptions!$E$226,AV$3&gt;=Assumptions!$B$14,Revenue_Build!AV10&gt;=Assumptions!$F$226*Assumptions!$B$55)),Assumptions!$D$226,0)</f>
        <v/>
      </c>
      <c r="AW28" s="41">
        <f>IF(OR(AV28&gt;0,AND(AW$3&gt;=Assumptions!$E$226,AW$3&gt;=Assumptions!$B$14,Revenue_Build!AW10&gt;=Assumptions!$F$226*Assumptions!$B$55)),Assumptions!$D$226,0)</f>
        <v/>
      </c>
      <c r="AX28" s="41">
        <f>IF(OR(AW28&gt;0,AND(AX$3&gt;=Assumptions!$E$226,AX$3&gt;=Assumptions!$B$14,Revenue_Build!AX10&gt;=Assumptions!$F$226*Assumptions!$B$55)),Assumptions!$D$226,0)</f>
        <v/>
      </c>
      <c r="AY28" s="41">
        <f>IF(OR(AX28&gt;0,AND(AY$3&gt;=Assumptions!$E$226,AY$3&gt;=Assumptions!$B$14,Revenue_Build!AY10&gt;=Assumptions!$F$226*Assumptions!$B$55)),Assumptions!$D$226,0)</f>
        <v/>
      </c>
      <c r="AZ28" s="41">
        <f>IF(OR(AY28&gt;0,AND(AZ$3&gt;=Assumptions!$E$226,AZ$3&gt;=Assumptions!$B$14,Revenue_Build!AZ10&gt;=Assumptions!$F$226*Assumptions!$B$55)),Assumptions!$D$226,0)</f>
        <v/>
      </c>
      <c r="BA28" s="41">
        <f>IF(OR(AZ28&gt;0,AND(BA$3&gt;=Assumptions!$E$226,BA$3&gt;=Assumptions!$B$14,Revenue_Build!BA10&gt;=Assumptions!$F$226*Assumptions!$B$55)),Assumptions!$D$226,0)</f>
        <v/>
      </c>
      <c r="BB28" s="41">
        <f>IF(OR(BA28&gt;0,AND(BB$3&gt;=Assumptions!$E$226,BB$3&gt;=Assumptions!$B$14,Revenue_Build!BB10&gt;=Assumptions!$F$226*Assumptions!$B$55)),Assumptions!$D$226,0)</f>
        <v/>
      </c>
      <c r="BC28" s="41">
        <f>IF(OR(BB28&gt;0,AND(BC$3&gt;=Assumptions!$E$226,BC$3&gt;=Assumptions!$B$14,Revenue_Build!BC10&gt;=Assumptions!$F$226*Assumptions!$B$55)),Assumptions!$D$226,0)</f>
        <v/>
      </c>
      <c r="BD28" s="41">
        <f>IF(OR(BC28&gt;0,AND(BD$3&gt;=Assumptions!$E$226,BD$3&gt;=Assumptions!$B$14,Revenue_Build!BD10&gt;=Assumptions!$F$226*Assumptions!$B$55)),Assumptions!$D$226,0)</f>
        <v/>
      </c>
      <c r="BE28" s="41">
        <f>IF(OR(BD28&gt;0,AND(BE$3&gt;=Assumptions!$E$226,BE$3&gt;=Assumptions!$B$14,Revenue_Build!BE10&gt;=Assumptions!$F$226*Assumptions!$B$55)),Assumptions!$D$226,0)</f>
        <v/>
      </c>
      <c r="BF28" s="41">
        <f>IF(OR(BE28&gt;0,AND(BF$3&gt;=Assumptions!$E$226,BF$3&gt;=Assumptions!$B$14,Revenue_Build!BF10&gt;=Assumptions!$F$226*Assumptions!$B$55)),Assumptions!$D$226,0)</f>
        <v/>
      </c>
      <c r="BG28" s="41">
        <f>IF(OR(BF28&gt;0,AND(BG$3&gt;=Assumptions!$E$226,BG$3&gt;=Assumptions!$B$14,Revenue_Build!BG10&gt;=Assumptions!$F$226*Assumptions!$B$55)),Assumptions!$D$226,0)</f>
        <v/>
      </c>
      <c r="BH28" s="41">
        <f>IF(OR(BG28&gt;0,AND(BH$3&gt;=Assumptions!$E$226,BH$3&gt;=Assumptions!$B$14,Revenue_Build!BH10&gt;=Assumptions!$F$226*Assumptions!$B$55)),Assumptions!$D$226,0)</f>
        <v/>
      </c>
      <c r="BI28" s="41">
        <f>IF(OR(BH28&gt;0,AND(BI$3&gt;=Assumptions!$E$226,BI$3&gt;=Assumptions!$B$14,Revenue_Build!BI10&gt;=Assumptions!$F$226*Assumptions!$B$55)),Assumptions!$D$226,0)</f>
        <v/>
      </c>
      <c r="BJ28" s="41">
        <f>IF(OR(BI28&gt;0,AND(BJ$3&gt;=Assumptions!$E$226,BJ$3&gt;=Assumptions!$B$14,Revenue_Build!BJ10&gt;=Assumptions!$F$226*Assumptions!$B$55)),Assumptions!$D$226,0)</f>
        <v/>
      </c>
    </row>
    <row r="29">
      <c r="A29" s="4" t="inlineStr">
        <is>
          <t>Multilingual content &amp; community</t>
        </is>
      </c>
      <c r="B29" s="17" t="inlineStr">
        <is>
          <t>FTE</t>
        </is>
      </c>
      <c r="C29" s="41">
        <f>IF(AND(C$3&gt;=Assumptions!$E$227,C$3&gt;=Assumptions!$B$14,Revenue_Build!C10&gt;=Assumptions!$F$227*Assumptions!$B$55),Assumptions!$D$227,0)</f>
        <v/>
      </c>
      <c r="D29" s="41">
        <f>IF(OR(C29&gt;0,AND(D$3&gt;=Assumptions!$E$227,D$3&gt;=Assumptions!$B$14,Revenue_Build!D10&gt;=Assumptions!$F$227*Assumptions!$B$55)),Assumptions!$D$227,0)</f>
        <v/>
      </c>
      <c r="E29" s="41">
        <f>IF(OR(D29&gt;0,AND(E$3&gt;=Assumptions!$E$227,E$3&gt;=Assumptions!$B$14,Revenue_Build!E10&gt;=Assumptions!$F$227*Assumptions!$B$55)),Assumptions!$D$227,0)</f>
        <v/>
      </c>
      <c r="F29" s="41">
        <f>IF(OR(E29&gt;0,AND(F$3&gt;=Assumptions!$E$227,F$3&gt;=Assumptions!$B$14,Revenue_Build!F10&gt;=Assumptions!$F$227*Assumptions!$B$55)),Assumptions!$D$227,0)</f>
        <v/>
      </c>
      <c r="G29" s="41">
        <f>IF(OR(F29&gt;0,AND(G$3&gt;=Assumptions!$E$227,G$3&gt;=Assumptions!$B$14,Revenue_Build!G10&gt;=Assumptions!$F$227*Assumptions!$B$55)),Assumptions!$D$227,0)</f>
        <v/>
      </c>
      <c r="H29" s="41">
        <f>IF(OR(G29&gt;0,AND(H$3&gt;=Assumptions!$E$227,H$3&gt;=Assumptions!$B$14,Revenue_Build!H10&gt;=Assumptions!$F$227*Assumptions!$B$55)),Assumptions!$D$227,0)</f>
        <v/>
      </c>
      <c r="I29" s="41">
        <f>IF(OR(H29&gt;0,AND(I$3&gt;=Assumptions!$E$227,I$3&gt;=Assumptions!$B$14,Revenue_Build!I10&gt;=Assumptions!$F$227*Assumptions!$B$55)),Assumptions!$D$227,0)</f>
        <v/>
      </c>
      <c r="J29" s="41">
        <f>IF(OR(I29&gt;0,AND(J$3&gt;=Assumptions!$E$227,J$3&gt;=Assumptions!$B$14,Revenue_Build!J10&gt;=Assumptions!$F$227*Assumptions!$B$55)),Assumptions!$D$227,0)</f>
        <v/>
      </c>
      <c r="K29" s="41">
        <f>IF(OR(J29&gt;0,AND(K$3&gt;=Assumptions!$E$227,K$3&gt;=Assumptions!$B$14,Revenue_Build!K10&gt;=Assumptions!$F$227*Assumptions!$B$55)),Assumptions!$D$227,0)</f>
        <v/>
      </c>
      <c r="L29" s="41">
        <f>IF(OR(K29&gt;0,AND(L$3&gt;=Assumptions!$E$227,L$3&gt;=Assumptions!$B$14,Revenue_Build!L10&gt;=Assumptions!$F$227*Assumptions!$B$55)),Assumptions!$D$227,0)</f>
        <v/>
      </c>
      <c r="M29" s="41">
        <f>IF(OR(L29&gt;0,AND(M$3&gt;=Assumptions!$E$227,M$3&gt;=Assumptions!$B$14,Revenue_Build!M10&gt;=Assumptions!$F$227*Assumptions!$B$55)),Assumptions!$D$227,0)</f>
        <v/>
      </c>
      <c r="N29" s="41">
        <f>IF(OR(M29&gt;0,AND(N$3&gt;=Assumptions!$E$227,N$3&gt;=Assumptions!$B$14,Revenue_Build!N10&gt;=Assumptions!$F$227*Assumptions!$B$55)),Assumptions!$D$227,0)</f>
        <v/>
      </c>
      <c r="O29" s="41">
        <f>IF(OR(N29&gt;0,AND(O$3&gt;=Assumptions!$E$227,O$3&gt;=Assumptions!$B$14,Revenue_Build!O10&gt;=Assumptions!$F$227*Assumptions!$B$55)),Assumptions!$D$227,0)</f>
        <v/>
      </c>
      <c r="P29" s="41">
        <f>IF(OR(O29&gt;0,AND(P$3&gt;=Assumptions!$E$227,P$3&gt;=Assumptions!$B$14,Revenue_Build!P10&gt;=Assumptions!$F$227*Assumptions!$B$55)),Assumptions!$D$227,0)</f>
        <v/>
      </c>
      <c r="Q29" s="41">
        <f>IF(OR(P29&gt;0,AND(Q$3&gt;=Assumptions!$E$227,Q$3&gt;=Assumptions!$B$14,Revenue_Build!Q10&gt;=Assumptions!$F$227*Assumptions!$B$55)),Assumptions!$D$227,0)</f>
        <v/>
      </c>
      <c r="R29" s="41">
        <f>IF(OR(Q29&gt;0,AND(R$3&gt;=Assumptions!$E$227,R$3&gt;=Assumptions!$B$14,Revenue_Build!R10&gt;=Assumptions!$F$227*Assumptions!$B$55)),Assumptions!$D$227,0)</f>
        <v/>
      </c>
      <c r="S29" s="41">
        <f>IF(OR(R29&gt;0,AND(S$3&gt;=Assumptions!$E$227,S$3&gt;=Assumptions!$B$14,Revenue_Build!S10&gt;=Assumptions!$F$227*Assumptions!$B$55)),Assumptions!$D$227,0)</f>
        <v/>
      </c>
      <c r="T29" s="41">
        <f>IF(OR(S29&gt;0,AND(T$3&gt;=Assumptions!$E$227,T$3&gt;=Assumptions!$B$14,Revenue_Build!T10&gt;=Assumptions!$F$227*Assumptions!$B$55)),Assumptions!$D$227,0)</f>
        <v/>
      </c>
      <c r="U29" s="41">
        <f>IF(OR(T29&gt;0,AND(U$3&gt;=Assumptions!$E$227,U$3&gt;=Assumptions!$B$14,Revenue_Build!U10&gt;=Assumptions!$F$227*Assumptions!$B$55)),Assumptions!$D$227,0)</f>
        <v/>
      </c>
      <c r="V29" s="41">
        <f>IF(OR(U29&gt;0,AND(V$3&gt;=Assumptions!$E$227,V$3&gt;=Assumptions!$B$14,Revenue_Build!V10&gt;=Assumptions!$F$227*Assumptions!$B$55)),Assumptions!$D$227,0)</f>
        <v/>
      </c>
      <c r="W29" s="41">
        <f>IF(OR(V29&gt;0,AND(W$3&gt;=Assumptions!$E$227,W$3&gt;=Assumptions!$B$14,Revenue_Build!W10&gt;=Assumptions!$F$227*Assumptions!$B$55)),Assumptions!$D$227,0)</f>
        <v/>
      </c>
      <c r="X29" s="41">
        <f>IF(OR(W29&gt;0,AND(X$3&gt;=Assumptions!$E$227,X$3&gt;=Assumptions!$B$14,Revenue_Build!X10&gt;=Assumptions!$F$227*Assumptions!$B$55)),Assumptions!$D$227,0)</f>
        <v/>
      </c>
      <c r="Y29" s="41">
        <f>IF(OR(X29&gt;0,AND(Y$3&gt;=Assumptions!$E$227,Y$3&gt;=Assumptions!$B$14,Revenue_Build!Y10&gt;=Assumptions!$F$227*Assumptions!$B$55)),Assumptions!$D$227,0)</f>
        <v/>
      </c>
      <c r="Z29" s="41">
        <f>IF(OR(Y29&gt;0,AND(Z$3&gt;=Assumptions!$E$227,Z$3&gt;=Assumptions!$B$14,Revenue_Build!Z10&gt;=Assumptions!$F$227*Assumptions!$B$55)),Assumptions!$D$227,0)</f>
        <v/>
      </c>
      <c r="AA29" s="41">
        <f>IF(OR(Z29&gt;0,AND(AA$3&gt;=Assumptions!$E$227,AA$3&gt;=Assumptions!$B$14,Revenue_Build!AA10&gt;=Assumptions!$F$227*Assumptions!$B$55)),Assumptions!$D$227,0)</f>
        <v/>
      </c>
      <c r="AB29" s="41">
        <f>IF(OR(AA29&gt;0,AND(AB$3&gt;=Assumptions!$E$227,AB$3&gt;=Assumptions!$B$14,Revenue_Build!AB10&gt;=Assumptions!$F$227*Assumptions!$B$55)),Assumptions!$D$227,0)</f>
        <v/>
      </c>
      <c r="AC29" s="41">
        <f>IF(OR(AB29&gt;0,AND(AC$3&gt;=Assumptions!$E$227,AC$3&gt;=Assumptions!$B$14,Revenue_Build!AC10&gt;=Assumptions!$F$227*Assumptions!$B$55)),Assumptions!$D$227,0)</f>
        <v/>
      </c>
      <c r="AD29" s="41">
        <f>IF(OR(AC29&gt;0,AND(AD$3&gt;=Assumptions!$E$227,AD$3&gt;=Assumptions!$B$14,Revenue_Build!AD10&gt;=Assumptions!$F$227*Assumptions!$B$55)),Assumptions!$D$227,0)</f>
        <v/>
      </c>
      <c r="AE29" s="41">
        <f>IF(OR(AD29&gt;0,AND(AE$3&gt;=Assumptions!$E$227,AE$3&gt;=Assumptions!$B$14,Revenue_Build!AE10&gt;=Assumptions!$F$227*Assumptions!$B$55)),Assumptions!$D$227,0)</f>
        <v/>
      </c>
      <c r="AF29" s="41">
        <f>IF(OR(AE29&gt;0,AND(AF$3&gt;=Assumptions!$E$227,AF$3&gt;=Assumptions!$B$14,Revenue_Build!AF10&gt;=Assumptions!$F$227*Assumptions!$B$55)),Assumptions!$D$227,0)</f>
        <v/>
      </c>
      <c r="AG29" s="41">
        <f>IF(OR(AF29&gt;0,AND(AG$3&gt;=Assumptions!$E$227,AG$3&gt;=Assumptions!$B$14,Revenue_Build!AG10&gt;=Assumptions!$F$227*Assumptions!$B$55)),Assumptions!$D$227,0)</f>
        <v/>
      </c>
      <c r="AH29" s="41">
        <f>IF(OR(AG29&gt;0,AND(AH$3&gt;=Assumptions!$E$227,AH$3&gt;=Assumptions!$B$14,Revenue_Build!AH10&gt;=Assumptions!$F$227*Assumptions!$B$55)),Assumptions!$D$227,0)</f>
        <v/>
      </c>
      <c r="AI29" s="41">
        <f>IF(OR(AH29&gt;0,AND(AI$3&gt;=Assumptions!$E$227,AI$3&gt;=Assumptions!$B$14,Revenue_Build!AI10&gt;=Assumptions!$F$227*Assumptions!$B$55)),Assumptions!$D$227,0)</f>
        <v/>
      </c>
      <c r="AJ29" s="41">
        <f>IF(OR(AI29&gt;0,AND(AJ$3&gt;=Assumptions!$E$227,AJ$3&gt;=Assumptions!$B$14,Revenue_Build!AJ10&gt;=Assumptions!$F$227*Assumptions!$B$55)),Assumptions!$D$227,0)</f>
        <v/>
      </c>
      <c r="AK29" s="41">
        <f>IF(OR(AJ29&gt;0,AND(AK$3&gt;=Assumptions!$E$227,AK$3&gt;=Assumptions!$B$14,Revenue_Build!AK10&gt;=Assumptions!$F$227*Assumptions!$B$55)),Assumptions!$D$227,0)</f>
        <v/>
      </c>
      <c r="AL29" s="41">
        <f>IF(OR(AK29&gt;0,AND(AL$3&gt;=Assumptions!$E$227,AL$3&gt;=Assumptions!$B$14,Revenue_Build!AL10&gt;=Assumptions!$F$227*Assumptions!$B$55)),Assumptions!$D$227,0)</f>
        <v/>
      </c>
      <c r="AM29" s="41">
        <f>IF(OR(AL29&gt;0,AND(AM$3&gt;=Assumptions!$E$227,AM$3&gt;=Assumptions!$B$14,Revenue_Build!AM10&gt;=Assumptions!$F$227*Assumptions!$B$55)),Assumptions!$D$227,0)</f>
        <v/>
      </c>
      <c r="AN29" s="41">
        <f>IF(OR(AM29&gt;0,AND(AN$3&gt;=Assumptions!$E$227,AN$3&gt;=Assumptions!$B$14,Revenue_Build!AN10&gt;=Assumptions!$F$227*Assumptions!$B$55)),Assumptions!$D$227,0)</f>
        <v/>
      </c>
      <c r="AO29" s="41">
        <f>IF(OR(AN29&gt;0,AND(AO$3&gt;=Assumptions!$E$227,AO$3&gt;=Assumptions!$B$14,Revenue_Build!AO10&gt;=Assumptions!$F$227*Assumptions!$B$55)),Assumptions!$D$227,0)</f>
        <v/>
      </c>
      <c r="AP29" s="41">
        <f>IF(OR(AO29&gt;0,AND(AP$3&gt;=Assumptions!$E$227,AP$3&gt;=Assumptions!$B$14,Revenue_Build!AP10&gt;=Assumptions!$F$227*Assumptions!$B$55)),Assumptions!$D$227,0)</f>
        <v/>
      </c>
      <c r="AQ29" s="41">
        <f>IF(OR(AP29&gt;0,AND(AQ$3&gt;=Assumptions!$E$227,AQ$3&gt;=Assumptions!$B$14,Revenue_Build!AQ10&gt;=Assumptions!$F$227*Assumptions!$B$55)),Assumptions!$D$227,0)</f>
        <v/>
      </c>
      <c r="AR29" s="41">
        <f>IF(OR(AQ29&gt;0,AND(AR$3&gt;=Assumptions!$E$227,AR$3&gt;=Assumptions!$B$14,Revenue_Build!AR10&gt;=Assumptions!$F$227*Assumptions!$B$55)),Assumptions!$D$227,0)</f>
        <v/>
      </c>
      <c r="AS29" s="41">
        <f>IF(OR(AR29&gt;0,AND(AS$3&gt;=Assumptions!$E$227,AS$3&gt;=Assumptions!$B$14,Revenue_Build!AS10&gt;=Assumptions!$F$227*Assumptions!$B$55)),Assumptions!$D$227,0)</f>
        <v/>
      </c>
      <c r="AT29" s="41">
        <f>IF(OR(AS29&gt;0,AND(AT$3&gt;=Assumptions!$E$227,AT$3&gt;=Assumptions!$B$14,Revenue_Build!AT10&gt;=Assumptions!$F$227*Assumptions!$B$55)),Assumptions!$D$227,0)</f>
        <v/>
      </c>
      <c r="AU29" s="41">
        <f>IF(OR(AT29&gt;0,AND(AU$3&gt;=Assumptions!$E$227,AU$3&gt;=Assumptions!$B$14,Revenue_Build!AU10&gt;=Assumptions!$F$227*Assumptions!$B$55)),Assumptions!$D$227,0)</f>
        <v/>
      </c>
      <c r="AV29" s="41">
        <f>IF(OR(AU29&gt;0,AND(AV$3&gt;=Assumptions!$E$227,AV$3&gt;=Assumptions!$B$14,Revenue_Build!AV10&gt;=Assumptions!$F$227*Assumptions!$B$55)),Assumptions!$D$227,0)</f>
        <v/>
      </c>
      <c r="AW29" s="41">
        <f>IF(OR(AV29&gt;0,AND(AW$3&gt;=Assumptions!$E$227,AW$3&gt;=Assumptions!$B$14,Revenue_Build!AW10&gt;=Assumptions!$F$227*Assumptions!$B$55)),Assumptions!$D$227,0)</f>
        <v/>
      </c>
      <c r="AX29" s="41">
        <f>IF(OR(AW29&gt;0,AND(AX$3&gt;=Assumptions!$E$227,AX$3&gt;=Assumptions!$B$14,Revenue_Build!AX10&gt;=Assumptions!$F$227*Assumptions!$B$55)),Assumptions!$D$227,0)</f>
        <v/>
      </c>
      <c r="AY29" s="41">
        <f>IF(OR(AX29&gt;0,AND(AY$3&gt;=Assumptions!$E$227,AY$3&gt;=Assumptions!$B$14,Revenue_Build!AY10&gt;=Assumptions!$F$227*Assumptions!$B$55)),Assumptions!$D$227,0)</f>
        <v/>
      </c>
      <c r="AZ29" s="41">
        <f>IF(OR(AY29&gt;0,AND(AZ$3&gt;=Assumptions!$E$227,AZ$3&gt;=Assumptions!$B$14,Revenue_Build!AZ10&gt;=Assumptions!$F$227*Assumptions!$B$55)),Assumptions!$D$227,0)</f>
        <v/>
      </c>
      <c r="BA29" s="41">
        <f>IF(OR(AZ29&gt;0,AND(BA$3&gt;=Assumptions!$E$227,BA$3&gt;=Assumptions!$B$14,Revenue_Build!BA10&gt;=Assumptions!$F$227*Assumptions!$B$55)),Assumptions!$D$227,0)</f>
        <v/>
      </c>
      <c r="BB29" s="41">
        <f>IF(OR(BA29&gt;0,AND(BB$3&gt;=Assumptions!$E$227,BB$3&gt;=Assumptions!$B$14,Revenue_Build!BB10&gt;=Assumptions!$F$227*Assumptions!$B$55)),Assumptions!$D$227,0)</f>
        <v/>
      </c>
      <c r="BC29" s="41">
        <f>IF(OR(BB29&gt;0,AND(BC$3&gt;=Assumptions!$E$227,BC$3&gt;=Assumptions!$B$14,Revenue_Build!BC10&gt;=Assumptions!$F$227*Assumptions!$B$55)),Assumptions!$D$227,0)</f>
        <v/>
      </c>
      <c r="BD29" s="41">
        <f>IF(OR(BC29&gt;0,AND(BD$3&gt;=Assumptions!$E$227,BD$3&gt;=Assumptions!$B$14,Revenue_Build!BD10&gt;=Assumptions!$F$227*Assumptions!$B$55)),Assumptions!$D$227,0)</f>
        <v/>
      </c>
      <c r="BE29" s="41">
        <f>IF(OR(BD29&gt;0,AND(BE$3&gt;=Assumptions!$E$227,BE$3&gt;=Assumptions!$B$14,Revenue_Build!BE10&gt;=Assumptions!$F$227*Assumptions!$B$55)),Assumptions!$D$227,0)</f>
        <v/>
      </c>
      <c r="BF29" s="41">
        <f>IF(OR(BE29&gt;0,AND(BF$3&gt;=Assumptions!$E$227,BF$3&gt;=Assumptions!$B$14,Revenue_Build!BF10&gt;=Assumptions!$F$227*Assumptions!$B$55)),Assumptions!$D$227,0)</f>
        <v/>
      </c>
      <c r="BG29" s="41">
        <f>IF(OR(BF29&gt;0,AND(BG$3&gt;=Assumptions!$E$227,BG$3&gt;=Assumptions!$B$14,Revenue_Build!BG10&gt;=Assumptions!$F$227*Assumptions!$B$55)),Assumptions!$D$227,0)</f>
        <v/>
      </c>
      <c r="BH29" s="41">
        <f>IF(OR(BG29&gt;0,AND(BH$3&gt;=Assumptions!$E$227,BH$3&gt;=Assumptions!$B$14,Revenue_Build!BH10&gt;=Assumptions!$F$227*Assumptions!$B$55)),Assumptions!$D$227,0)</f>
        <v/>
      </c>
      <c r="BI29" s="41">
        <f>IF(OR(BH29&gt;0,AND(BI$3&gt;=Assumptions!$E$227,BI$3&gt;=Assumptions!$B$14,Revenue_Build!BI10&gt;=Assumptions!$F$227*Assumptions!$B$55)),Assumptions!$D$227,0)</f>
        <v/>
      </c>
      <c r="BJ29" s="41">
        <f>IF(OR(BI29&gt;0,AND(BJ$3&gt;=Assumptions!$E$227,BJ$3&gt;=Assumptions!$B$14,Revenue_Build!BJ10&gt;=Assumptions!$F$227*Assumptions!$B$55)),Assumptions!$D$227,0)</f>
        <v/>
      </c>
    </row>
    <row r="30">
      <c r="A30" s="4" t="inlineStr">
        <is>
          <t>Lifecycle &amp; growth marketers</t>
        </is>
      </c>
      <c r="B30" s="17" t="inlineStr">
        <is>
          <t>FTE</t>
        </is>
      </c>
      <c r="C30" s="41">
        <f>IF(AND(C$3&gt;=Assumptions!$E$228,C$3&gt;=Assumptions!$B$14,Revenue_Build!C10&gt;=Assumptions!$F$228*Assumptions!$B$55),Assumptions!$D$228,0)</f>
        <v/>
      </c>
      <c r="D30" s="41">
        <f>IF(OR(C30&gt;0,AND(D$3&gt;=Assumptions!$E$228,D$3&gt;=Assumptions!$B$14,Revenue_Build!D10&gt;=Assumptions!$F$228*Assumptions!$B$55)),Assumptions!$D$228,0)</f>
        <v/>
      </c>
      <c r="E30" s="41">
        <f>IF(OR(D30&gt;0,AND(E$3&gt;=Assumptions!$E$228,E$3&gt;=Assumptions!$B$14,Revenue_Build!E10&gt;=Assumptions!$F$228*Assumptions!$B$55)),Assumptions!$D$228,0)</f>
        <v/>
      </c>
      <c r="F30" s="41">
        <f>IF(OR(E30&gt;0,AND(F$3&gt;=Assumptions!$E$228,F$3&gt;=Assumptions!$B$14,Revenue_Build!F10&gt;=Assumptions!$F$228*Assumptions!$B$55)),Assumptions!$D$228,0)</f>
        <v/>
      </c>
      <c r="G30" s="41">
        <f>IF(OR(F30&gt;0,AND(G$3&gt;=Assumptions!$E$228,G$3&gt;=Assumptions!$B$14,Revenue_Build!G10&gt;=Assumptions!$F$228*Assumptions!$B$55)),Assumptions!$D$228,0)</f>
        <v/>
      </c>
      <c r="H30" s="41">
        <f>IF(OR(G30&gt;0,AND(H$3&gt;=Assumptions!$E$228,H$3&gt;=Assumptions!$B$14,Revenue_Build!H10&gt;=Assumptions!$F$228*Assumptions!$B$55)),Assumptions!$D$228,0)</f>
        <v/>
      </c>
      <c r="I30" s="41">
        <f>IF(OR(H30&gt;0,AND(I$3&gt;=Assumptions!$E$228,I$3&gt;=Assumptions!$B$14,Revenue_Build!I10&gt;=Assumptions!$F$228*Assumptions!$B$55)),Assumptions!$D$228,0)</f>
        <v/>
      </c>
      <c r="J30" s="41">
        <f>IF(OR(I30&gt;0,AND(J$3&gt;=Assumptions!$E$228,J$3&gt;=Assumptions!$B$14,Revenue_Build!J10&gt;=Assumptions!$F$228*Assumptions!$B$55)),Assumptions!$D$228,0)</f>
        <v/>
      </c>
      <c r="K30" s="41">
        <f>IF(OR(J30&gt;0,AND(K$3&gt;=Assumptions!$E$228,K$3&gt;=Assumptions!$B$14,Revenue_Build!K10&gt;=Assumptions!$F$228*Assumptions!$B$55)),Assumptions!$D$228,0)</f>
        <v/>
      </c>
      <c r="L30" s="41">
        <f>IF(OR(K30&gt;0,AND(L$3&gt;=Assumptions!$E$228,L$3&gt;=Assumptions!$B$14,Revenue_Build!L10&gt;=Assumptions!$F$228*Assumptions!$B$55)),Assumptions!$D$228,0)</f>
        <v/>
      </c>
      <c r="M30" s="41">
        <f>IF(OR(L30&gt;0,AND(M$3&gt;=Assumptions!$E$228,M$3&gt;=Assumptions!$B$14,Revenue_Build!M10&gt;=Assumptions!$F$228*Assumptions!$B$55)),Assumptions!$D$228,0)</f>
        <v/>
      </c>
      <c r="N30" s="41">
        <f>IF(OR(M30&gt;0,AND(N$3&gt;=Assumptions!$E$228,N$3&gt;=Assumptions!$B$14,Revenue_Build!N10&gt;=Assumptions!$F$228*Assumptions!$B$55)),Assumptions!$D$228,0)</f>
        <v/>
      </c>
      <c r="O30" s="41">
        <f>IF(OR(N30&gt;0,AND(O$3&gt;=Assumptions!$E$228,O$3&gt;=Assumptions!$B$14,Revenue_Build!O10&gt;=Assumptions!$F$228*Assumptions!$B$55)),Assumptions!$D$228,0)</f>
        <v/>
      </c>
      <c r="P30" s="41">
        <f>IF(OR(O30&gt;0,AND(P$3&gt;=Assumptions!$E$228,P$3&gt;=Assumptions!$B$14,Revenue_Build!P10&gt;=Assumptions!$F$228*Assumptions!$B$55)),Assumptions!$D$228,0)</f>
        <v/>
      </c>
      <c r="Q30" s="41">
        <f>IF(OR(P30&gt;0,AND(Q$3&gt;=Assumptions!$E$228,Q$3&gt;=Assumptions!$B$14,Revenue_Build!Q10&gt;=Assumptions!$F$228*Assumptions!$B$55)),Assumptions!$D$228,0)</f>
        <v/>
      </c>
      <c r="R30" s="41">
        <f>IF(OR(Q30&gt;0,AND(R$3&gt;=Assumptions!$E$228,R$3&gt;=Assumptions!$B$14,Revenue_Build!R10&gt;=Assumptions!$F$228*Assumptions!$B$55)),Assumptions!$D$228,0)</f>
        <v/>
      </c>
      <c r="S30" s="41">
        <f>IF(OR(R30&gt;0,AND(S$3&gt;=Assumptions!$E$228,S$3&gt;=Assumptions!$B$14,Revenue_Build!S10&gt;=Assumptions!$F$228*Assumptions!$B$55)),Assumptions!$D$228,0)</f>
        <v/>
      </c>
      <c r="T30" s="41">
        <f>IF(OR(S30&gt;0,AND(T$3&gt;=Assumptions!$E$228,T$3&gt;=Assumptions!$B$14,Revenue_Build!T10&gt;=Assumptions!$F$228*Assumptions!$B$55)),Assumptions!$D$228,0)</f>
        <v/>
      </c>
      <c r="U30" s="41">
        <f>IF(OR(T30&gt;0,AND(U$3&gt;=Assumptions!$E$228,U$3&gt;=Assumptions!$B$14,Revenue_Build!U10&gt;=Assumptions!$F$228*Assumptions!$B$55)),Assumptions!$D$228,0)</f>
        <v/>
      </c>
      <c r="V30" s="41">
        <f>IF(OR(U30&gt;0,AND(V$3&gt;=Assumptions!$E$228,V$3&gt;=Assumptions!$B$14,Revenue_Build!V10&gt;=Assumptions!$F$228*Assumptions!$B$55)),Assumptions!$D$228,0)</f>
        <v/>
      </c>
      <c r="W30" s="41">
        <f>IF(OR(V30&gt;0,AND(W$3&gt;=Assumptions!$E$228,W$3&gt;=Assumptions!$B$14,Revenue_Build!W10&gt;=Assumptions!$F$228*Assumptions!$B$55)),Assumptions!$D$228,0)</f>
        <v/>
      </c>
      <c r="X30" s="41">
        <f>IF(OR(W30&gt;0,AND(X$3&gt;=Assumptions!$E$228,X$3&gt;=Assumptions!$B$14,Revenue_Build!X10&gt;=Assumptions!$F$228*Assumptions!$B$55)),Assumptions!$D$228,0)</f>
        <v/>
      </c>
      <c r="Y30" s="41">
        <f>IF(OR(X30&gt;0,AND(Y$3&gt;=Assumptions!$E$228,Y$3&gt;=Assumptions!$B$14,Revenue_Build!Y10&gt;=Assumptions!$F$228*Assumptions!$B$55)),Assumptions!$D$228,0)</f>
        <v/>
      </c>
      <c r="Z30" s="41">
        <f>IF(OR(Y30&gt;0,AND(Z$3&gt;=Assumptions!$E$228,Z$3&gt;=Assumptions!$B$14,Revenue_Build!Z10&gt;=Assumptions!$F$228*Assumptions!$B$55)),Assumptions!$D$228,0)</f>
        <v/>
      </c>
      <c r="AA30" s="41">
        <f>IF(OR(Z30&gt;0,AND(AA$3&gt;=Assumptions!$E$228,AA$3&gt;=Assumptions!$B$14,Revenue_Build!AA10&gt;=Assumptions!$F$228*Assumptions!$B$55)),Assumptions!$D$228,0)</f>
        <v/>
      </c>
      <c r="AB30" s="41">
        <f>IF(OR(AA30&gt;0,AND(AB$3&gt;=Assumptions!$E$228,AB$3&gt;=Assumptions!$B$14,Revenue_Build!AB10&gt;=Assumptions!$F$228*Assumptions!$B$55)),Assumptions!$D$228,0)</f>
        <v/>
      </c>
      <c r="AC30" s="41">
        <f>IF(OR(AB30&gt;0,AND(AC$3&gt;=Assumptions!$E$228,AC$3&gt;=Assumptions!$B$14,Revenue_Build!AC10&gt;=Assumptions!$F$228*Assumptions!$B$55)),Assumptions!$D$228,0)</f>
        <v/>
      </c>
      <c r="AD30" s="41">
        <f>IF(OR(AC30&gt;0,AND(AD$3&gt;=Assumptions!$E$228,AD$3&gt;=Assumptions!$B$14,Revenue_Build!AD10&gt;=Assumptions!$F$228*Assumptions!$B$55)),Assumptions!$D$228,0)</f>
        <v/>
      </c>
      <c r="AE30" s="41">
        <f>IF(OR(AD30&gt;0,AND(AE$3&gt;=Assumptions!$E$228,AE$3&gt;=Assumptions!$B$14,Revenue_Build!AE10&gt;=Assumptions!$F$228*Assumptions!$B$55)),Assumptions!$D$228,0)</f>
        <v/>
      </c>
      <c r="AF30" s="41">
        <f>IF(OR(AE30&gt;0,AND(AF$3&gt;=Assumptions!$E$228,AF$3&gt;=Assumptions!$B$14,Revenue_Build!AF10&gt;=Assumptions!$F$228*Assumptions!$B$55)),Assumptions!$D$228,0)</f>
        <v/>
      </c>
      <c r="AG30" s="41">
        <f>IF(OR(AF30&gt;0,AND(AG$3&gt;=Assumptions!$E$228,AG$3&gt;=Assumptions!$B$14,Revenue_Build!AG10&gt;=Assumptions!$F$228*Assumptions!$B$55)),Assumptions!$D$228,0)</f>
        <v/>
      </c>
      <c r="AH30" s="41">
        <f>IF(OR(AG30&gt;0,AND(AH$3&gt;=Assumptions!$E$228,AH$3&gt;=Assumptions!$B$14,Revenue_Build!AH10&gt;=Assumptions!$F$228*Assumptions!$B$55)),Assumptions!$D$228,0)</f>
        <v/>
      </c>
      <c r="AI30" s="41">
        <f>IF(OR(AH30&gt;0,AND(AI$3&gt;=Assumptions!$E$228,AI$3&gt;=Assumptions!$B$14,Revenue_Build!AI10&gt;=Assumptions!$F$228*Assumptions!$B$55)),Assumptions!$D$228,0)</f>
        <v/>
      </c>
      <c r="AJ30" s="41">
        <f>IF(OR(AI30&gt;0,AND(AJ$3&gt;=Assumptions!$E$228,AJ$3&gt;=Assumptions!$B$14,Revenue_Build!AJ10&gt;=Assumptions!$F$228*Assumptions!$B$55)),Assumptions!$D$228,0)</f>
        <v/>
      </c>
      <c r="AK30" s="41">
        <f>IF(OR(AJ30&gt;0,AND(AK$3&gt;=Assumptions!$E$228,AK$3&gt;=Assumptions!$B$14,Revenue_Build!AK10&gt;=Assumptions!$F$228*Assumptions!$B$55)),Assumptions!$D$228,0)</f>
        <v/>
      </c>
      <c r="AL30" s="41">
        <f>IF(OR(AK30&gt;0,AND(AL$3&gt;=Assumptions!$E$228,AL$3&gt;=Assumptions!$B$14,Revenue_Build!AL10&gt;=Assumptions!$F$228*Assumptions!$B$55)),Assumptions!$D$228,0)</f>
        <v/>
      </c>
      <c r="AM30" s="41">
        <f>IF(OR(AL30&gt;0,AND(AM$3&gt;=Assumptions!$E$228,AM$3&gt;=Assumptions!$B$14,Revenue_Build!AM10&gt;=Assumptions!$F$228*Assumptions!$B$55)),Assumptions!$D$228,0)</f>
        <v/>
      </c>
      <c r="AN30" s="41">
        <f>IF(OR(AM30&gt;0,AND(AN$3&gt;=Assumptions!$E$228,AN$3&gt;=Assumptions!$B$14,Revenue_Build!AN10&gt;=Assumptions!$F$228*Assumptions!$B$55)),Assumptions!$D$228,0)</f>
        <v/>
      </c>
      <c r="AO30" s="41">
        <f>IF(OR(AN30&gt;0,AND(AO$3&gt;=Assumptions!$E$228,AO$3&gt;=Assumptions!$B$14,Revenue_Build!AO10&gt;=Assumptions!$F$228*Assumptions!$B$55)),Assumptions!$D$228,0)</f>
        <v/>
      </c>
      <c r="AP30" s="41">
        <f>IF(OR(AO30&gt;0,AND(AP$3&gt;=Assumptions!$E$228,AP$3&gt;=Assumptions!$B$14,Revenue_Build!AP10&gt;=Assumptions!$F$228*Assumptions!$B$55)),Assumptions!$D$228,0)</f>
        <v/>
      </c>
      <c r="AQ30" s="41">
        <f>IF(OR(AP30&gt;0,AND(AQ$3&gt;=Assumptions!$E$228,AQ$3&gt;=Assumptions!$B$14,Revenue_Build!AQ10&gt;=Assumptions!$F$228*Assumptions!$B$55)),Assumptions!$D$228,0)</f>
        <v/>
      </c>
      <c r="AR30" s="41">
        <f>IF(OR(AQ30&gt;0,AND(AR$3&gt;=Assumptions!$E$228,AR$3&gt;=Assumptions!$B$14,Revenue_Build!AR10&gt;=Assumptions!$F$228*Assumptions!$B$55)),Assumptions!$D$228,0)</f>
        <v/>
      </c>
      <c r="AS30" s="41">
        <f>IF(OR(AR30&gt;0,AND(AS$3&gt;=Assumptions!$E$228,AS$3&gt;=Assumptions!$B$14,Revenue_Build!AS10&gt;=Assumptions!$F$228*Assumptions!$B$55)),Assumptions!$D$228,0)</f>
        <v/>
      </c>
      <c r="AT30" s="41">
        <f>IF(OR(AS30&gt;0,AND(AT$3&gt;=Assumptions!$E$228,AT$3&gt;=Assumptions!$B$14,Revenue_Build!AT10&gt;=Assumptions!$F$228*Assumptions!$B$55)),Assumptions!$D$228,0)</f>
        <v/>
      </c>
      <c r="AU30" s="41">
        <f>IF(OR(AT30&gt;0,AND(AU$3&gt;=Assumptions!$E$228,AU$3&gt;=Assumptions!$B$14,Revenue_Build!AU10&gt;=Assumptions!$F$228*Assumptions!$B$55)),Assumptions!$D$228,0)</f>
        <v/>
      </c>
      <c r="AV30" s="41">
        <f>IF(OR(AU30&gt;0,AND(AV$3&gt;=Assumptions!$E$228,AV$3&gt;=Assumptions!$B$14,Revenue_Build!AV10&gt;=Assumptions!$F$228*Assumptions!$B$55)),Assumptions!$D$228,0)</f>
        <v/>
      </c>
      <c r="AW30" s="41">
        <f>IF(OR(AV30&gt;0,AND(AW$3&gt;=Assumptions!$E$228,AW$3&gt;=Assumptions!$B$14,Revenue_Build!AW10&gt;=Assumptions!$F$228*Assumptions!$B$55)),Assumptions!$D$228,0)</f>
        <v/>
      </c>
      <c r="AX30" s="41">
        <f>IF(OR(AW30&gt;0,AND(AX$3&gt;=Assumptions!$E$228,AX$3&gt;=Assumptions!$B$14,Revenue_Build!AX10&gt;=Assumptions!$F$228*Assumptions!$B$55)),Assumptions!$D$228,0)</f>
        <v/>
      </c>
      <c r="AY30" s="41">
        <f>IF(OR(AX30&gt;0,AND(AY$3&gt;=Assumptions!$E$228,AY$3&gt;=Assumptions!$B$14,Revenue_Build!AY10&gt;=Assumptions!$F$228*Assumptions!$B$55)),Assumptions!$D$228,0)</f>
        <v/>
      </c>
      <c r="AZ30" s="41">
        <f>IF(OR(AY30&gt;0,AND(AZ$3&gt;=Assumptions!$E$228,AZ$3&gt;=Assumptions!$B$14,Revenue_Build!AZ10&gt;=Assumptions!$F$228*Assumptions!$B$55)),Assumptions!$D$228,0)</f>
        <v/>
      </c>
      <c r="BA30" s="41">
        <f>IF(OR(AZ30&gt;0,AND(BA$3&gt;=Assumptions!$E$228,BA$3&gt;=Assumptions!$B$14,Revenue_Build!BA10&gt;=Assumptions!$F$228*Assumptions!$B$55)),Assumptions!$D$228,0)</f>
        <v/>
      </c>
      <c r="BB30" s="41">
        <f>IF(OR(BA30&gt;0,AND(BB$3&gt;=Assumptions!$E$228,BB$3&gt;=Assumptions!$B$14,Revenue_Build!BB10&gt;=Assumptions!$F$228*Assumptions!$B$55)),Assumptions!$D$228,0)</f>
        <v/>
      </c>
      <c r="BC30" s="41">
        <f>IF(OR(BB30&gt;0,AND(BC$3&gt;=Assumptions!$E$228,BC$3&gt;=Assumptions!$B$14,Revenue_Build!BC10&gt;=Assumptions!$F$228*Assumptions!$B$55)),Assumptions!$D$228,0)</f>
        <v/>
      </c>
      <c r="BD30" s="41">
        <f>IF(OR(BC30&gt;0,AND(BD$3&gt;=Assumptions!$E$228,BD$3&gt;=Assumptions!$B$14,Revenue_Build!BD10&gt;=Assumptions!$F$228*Assumptions!$B$55)),Assumptions!$D$228,0)</f>
        <v/>
      </c>
      <c r="BE30" s="41">
        <f>IF(OR(BD30&gt;0,AND(BE$3&gt;=Assumptions!$E$228,BE$3&gt;=Assumptions!$B$14,Revenue_Build!BE10&gt;=Assumptions!$F$228*Assumptions!$B$55)),Assumptions!$D$228,0)</f>
        <v/>
      </c>
      <c r="BF30" s="41">
        <f>IF(OR(BE30&gt;0,AND(BF$3&gt;=Assumptions!$E$228,BF$3&gt;=Assumptions!$B$14,Revenue_Build!BF10&gt;=Assumptions!$F$228*Assumptions!$B$55)),Assumptions!$D$228,0)</f>
        <v/>
      </c>
      <c r="BG30" s="41">
        <f>IF(OR(BF30&gt;0,AND(BG$3&gt;=Assumptions!$E$228,BG$3&gt;=Assumptions!$B$14,Revenue_Build!BG10&gt;=Assumptions!$F$228*Assumptions!$B$55)),Assumptions!$D$228,0)</f>
        <v/>
      </c>
      <c r="BH30" s="41">
        <f>IF(OR(BG30&gt;0,AND(BH$3&gt;=Assumptions!$E$228,BH$3&gt;=Assumptions!$B$14,Revenue_Build!BH10&gt;=Assumptions!$F$228*Assumptions!$B$55)),Assumptions!$D$228,0)</f>
        <v/>
      </c>
      <c r="BI30" s="41">
        <f>IF(OR(BH30&gt;0,AND(BI$3&gt;=Assumptions!$E$228,BI$3&gt;=Assumptions!$B$14,Revenue_Build!BI10&gt;=Assumptions!$F$228*Assumptions!$B$55)),Assumptions!$D$228,0)</f>
        <v/>
      </c>
      <c r="BJ30" s="41">
        <f>IF(OR(BI30&gt;0,AND(BJ$3&gt;=Assumptions!$E$228,BJ$3&gt;=Assumptions!$B$14,Revenue_Build!BJ10&gt;=Assumptions!$F$228*Assumptions!$B$55)),Assumptions!$D$228,0)</f>
        <v/>
      </c>
    </row>
    <row r="31">
      <c r="A31" s="4" t="inlineStr">
        <is>
          <t>Marketing team expansion I</t>
        </is>
      </c>
      <c r="B31" s="17" t="inlineStr">
        <is>
          <t>FTE</t>
        </is>
      </c>
      <c r="C31" s="41">
        <f>IF(AND(C$3&gt;=Assumptions!$E$229,C$3&gt;=Assumptions!$B$14,Revenue_Build!C10&gt;=Assumptions!$F$229*Assumptions!$B$55),Assumptions!$D$229,0)</f>
        <v/>
      </c>
      <c r="D31" s="41">
        <f>IF(OR(C31&gt;0,AND(D$3&gt;=Assumptions!$E$229,D$3&gt;=Assumptions!$B$14,Revenue_Build!D10&gt;=Assumptions!$F$229*Assumptions!$B$55)),Assumptions!$D$229,0)</f>
        <v/>
      </c>
      <c r="E31" s="41">
        <f>IF(OR(D31&gt;0,AND(E$3&gt;=Assumptions!$E$229,E$3&gt;=Assumptions!$B$14,Revenue_Build!E10&gt;=Assumptions!$F$229*Assumptions!$B$55)),Assumptions!$D$229,0)</f>
        <v/>
      </c>
      <c r="F31" s="41">
        <f>IF(OR(E31&gt;0,AND(F$3&gt;=Assumptions!$E$229,F$3&gt;=Assumptions!$B$14,Revenue_Build!F10&gt;=Assumptions!$F$229*Assumptions!$B$55)),Assumptions!$D$229,0)</f>
        <v/>
      </c>
      <c r="G31" s="41">
        <f>IF(OR(F31&gt;0,AND(G$3&gt;=Assumptions!$E$229,G$3&gt;=Assumptions!$B$14,Revenue_Build!G10&gt;=Assumptions!$F$229*Assumptions!$B$55)),Assumptions!$D$229,0)</f>
        <v/>
      </c>
      <c r="H31" s="41">
        <f>IF(OR(G31&gt;0,AND(H$3&gt;=Assumptions!$E$229,H$3&gt;=Assumptions!$B$14,Revenue_Build!H10&gt;=Assumptions!$F$229*Assumptions!$B$55)),Assumptions!$D$229,0)</f>
        <v/>
      </c>
      <c r="I31" s="41">
        <f>IF(OR(H31&gt;0,AND(I$3&gt;=Assumptions!$E$229,I$3&gt;=Assumptions!$B$14,Revenue_Build!I10&gt;=Assumptions!$F$229*Assumptions!$B$55)),Assumptions!$D$229,0)</f>
        <v/>
      </c>
      <c r="J31" s="41">
        <f>IF(OR(I31&gt;0,AND(J$3&gt;=Assumptions!$E$229,J$3&gt;=Assumptions!$B$14,Revenue_Build!J10&gt;=Assumptions!$F$229*Assumptions!$B$55)),Assumptions!$D$229,0)</f>
        <v/>
      </c>
      <c r="K31" s="41">
        <f>IF(OR(J31&gt;0,AND(K$3&gt;=Assumptions!$E$229,K$3&gt;=Assumptions!$B$14,Revenue_Build!K10&gt;=Assumptions!$F$229*Assumptions!$B$55)),Assumptions!$D$229,0)</f>
        <v/>
      </c>
      <c r="L31" s="41">
        <f>IF(OR(K31&gt;0,AND(L$3&gt;=Assumptions!$E$229,L$3&gt;=Assumptions!$B$14,Revenue_Build!L10&gt;=Assumptions!$F$229*Assumptions!$B$55)),Assumptions!$D$229,0)</f>
        <v/>
      </c>
      <c r="M31" s="41">
        <f>IF(OR(L31&gt;0,AND(M$3&gt;=Assumptions!$E$229,M$3&gt;=Assumptions!$B$14,Revenue_Build!M10&gt;=Assumptions!$F$229*Assumptions!$B$55)),Assumptions!$D$229,0)</f>
        <v/>
      </c>
      <c r="N31" s="41">
        <f>IF(OR(M31&gt;0,AND(N$3&gt;=Assumptions!$E$229,N$3&gt;=Assumptions!$B$14,Revenue_Build!N10&gt;=Assumptions!$F$229*Assumptions!$B$55)),Assumptions!$D$229,0)</f>
        <v/>
      </c>
      <c r="O31" s="41">
        <f>IF(OR(N31&gt;0,AND(O$3&gt;=Assumptions!$E$229,O$3&gt;=Assumptions!$B$14,Revenue_Build!O10&gt;=Assumptions!$F$229*Assumptions!$B$55)),Assumptions!$D$229,0)</f>
        <v/>
      </c>
      <c r="P31" s="41">
        <f>IF(OR(O31&gt;0,AND(P$3&gt;=Assumptions!$E$229,P$3&gt;=Assumptions!$B$14,Revenue_Build!P10&gt;=Assumptions!$F$229*Assumptions!$B$55)),Assumptions!$D$229,0)</f>
        <v/>
      </c>
      <c r="Q31" s="41">
        <f>IF(OR(P31&gt;0,AND(Q$3&gt;=Assumptions!$E$229,Q$3&gt;=Assumptions!$B$14,Revenue_Build!Q10&gt;=Assumptions!$F$229*Assumptions!$B$55)),Assumptions!$D$229,0)</f>
        <v/>
      </c>
      <c r="R31" s="41">
        <f>IF(OR(Q31&gt;0,AND(R$3&gt;=Assumptions!$E$229,R$3&gt;=Assumptions!$B$14,Revenue_Build!R10&gt;=Assumptions!$F$229*Assumptions!$B$55)),Assumptions!$D$229,0)</f>
        <v/>
      </c>
      <c r="S31" s="41">
        <f>IF(OR(R31&gt;0,AND(S$3&gt;=Assumptions!$E$229,S$3&gt;=Assumptions!$B$14,Revenue_Build!S10&gt;=Assumptions!$F$229*Assumptions!$B$55)),Assumptions!$D$229,0)</f>
        <v/>
      </c>
      <c r="T31" s="41">
        <f>IF(OR(S31&gt;0,AND(T$3&gt;=Assumptions!$E$229,T$3&gt;=Assumptions!$B$14,Revenue_Build!T10&gt;=Assumptions!$F$229*Assumptions!$B$55)),Assumptions!$D$229,0)</f>
        <v/>
      </c>
      <c r="U31" s="41">
        <f>IF(OR(T31&gt;0,AND(U$3&gt;=Assumptions!$E$229,U$3&gt;=Assumptions!$B$14,Revenue_Build!U10&gt;=Assumptions!$F$229*Assumptions!$B$55)),Assumptions!$D$229,0)</f>
        <v/>
      </c>
      <c r="V31" s="41">
        <f>IF(OR(U31&gt;0,AND(V$3&gt;=Assumptions!$E$229,V$3&gt;=Assumptions!$B$14,Revenue_Build!V10&gt;=Assumptions!$F$229*Assumptions!$B$55)),Assumptions!$D$229,0)</f>
        <v/>
      </c>
      <c r="W31" s="41">
        <f>IF(OR(V31&gt;0,AND(W$3&gt;=Assumptions!$E$229,W$3&gt;=Assumptions!$B$14,Revenue_Build!W10&gt;=Assumptions!$F$229*Assumptions!$B$55)),Assumptions!$D$229,0)</f>
        <v/>
      </c>
      <c r="X31" s="41">
        <f>IF(OR(W31&gt;0,AND(X$3&gt;=Assumptions!$E$229,X$3&gt;=Assumptions!$B$14,Revenue_Build!X10&gt;=Assumptions!$F$229*Assumptions!$B$55)),Assumptions!$D$229,0)</f>
        <v/>
      </c>
      <c r="Y31" s="41">
        <f>IF(OR(X31&gt;0,AND(Y$3&gt;=Assumptions!$E$229,Y$3&gt;=Assumptions!$B$14,Revenue_Build!Y10&gt;=Assumptions!$F$229*Assumptions!$B$55)),Assumptions!$D$229,0)</f>
        <v/>
      </c>
      <c r="Z31" s="41">
        <f>IF(OR(Y31&gt;0,AND(Z$3&gt;=Assumptions!$E$229,Z$3&gt;=Assumptions!$B$14,Revenue_Build!Z10&gt;=Assumptions!$F$229*Assumptions!$B$55)),Assumptions!$D$229,0)</f>
        <v/>
      </c>
      <c r="AA31" s="41">
        <f>IF(OR(Z31&gt;0,AND(AA$3&gt;=Assumptions!$E$229,AA$3&gt;=Assumptions!$B$14,Revenue_Build!AA10&gt;=Assumptions!$F$229*Assumptions!$B$55)),Assumptions!$D$229,0)</f>
        <v/>
      </c>
      <c r="AB31" s="41">
        <f>IF(OR(AA31&gt;0,AND(AB$3&gt;=Assumptions!$E$229,AB$3&gt;=Assumptions!$B$14,Revenue_Build!AB10&gt;=Assumptions!$F$229*Assumptions!$B$55)),Assumptions!$D$229,0)</f>
        <v/>
      </c>
      <c r="AC31" s="41">
        <f>IF(OR(AB31&gt;0,AND(AC$3&gt;=Assumptions!$E$229,AC$3&gt;=Assumptions!$B$14,Revenue_Build!AC10&gt;=Assumptions!$F$229*Assumptions!$B$55)),Assumptions!$D$229,0)</f>
        <v/>
      </c>
      <c r="AD31" s="41">
        <f>IF(OR(AC31&gt;0,AND(AD$3&gt;=Assumptions!$E$229,AD$3&gt;=Assumptions!$B$14,Revenue_Build!AD10&gt;=Assumptions!$F$229*Assumptions!$B$55)),Assumptions!$D$229,0)</f>
        <v/>
      </c>
      <c r="AE31" s="41">
        <f>IF(OR(AD31&gt;0,AND(AE$3&gt;=Assumptions!$E$229,AE$3&gt;=Assumptions!$B$14,Revenue_Build!AE10&gt;=Assumptions!$F$229*Assumptions!$B$55)),Assumptions!$D$229,0)</f>
        <v/>
      </c>
      <c r="AF31" s="41">
        <f>IF(OR(AE31&gt;0,AND(AF$3&gt;=Assumptions!$E$229,AF$3&gt;=Assumptions!$B$14,Revenue_Build!AF10&gt;=Assumptions!$F$229*Assumptions!$B$55)),Assumptions!$D$229,0)</f>
        <v/>
      </c>
      <c r="AG31" s="41">
        <f>IF(OR(AF31&gt;0,AND(AG$3&gt;=Assumptions!$E$229,AG$3&gt;=Assumptions!$B$14,Revenue_Build!AG10&gt;=Assumptions!$F$229*Assumptions!$B$55)),Assumptions!$D$229,0)</f>
        <v/>
      </c>
      <c r="AH31" s="41">
        <f>IF(OR(AG31&gt;0,AND(AH$3&gt;=Assumptions!$E$229,AH$3&gt;=Assumptions!$B$14,Revenue_Build!AH10&gt;=Assumptions!$F$229*Assumptions!$B$55)),Assumptions!$D$229,0)</f>
        <v/>
      </c>
      <c r="AI31" s="41">
        <f>IF(OR(AH31&gt;0,AND(AI$3&gt;=Assumptions!$E$229,AI$3&gt;=Assumptions!$B$14,Revenue_Build!AI10&gt;=Assumptions!$F$229*Assumptions!$B$55)),Assumptions!$D$229,0)</f>
        <v/>
      </c>
      <c r="AJ31" s="41">
        <f>IF(OR(AI31&gt;0,AND(AJ$3&gt;=Assumptions!$E$229,AJ$3&gt;=Assumptions!$B$14,Revenue_Build!AJ10&gt;=Assumptions!$F$229*Assumptions!$B$55)),Assumptions!$D$229,0)</f>
        <v/>
      </c>
      <c r="AK31" s="41">
        <f>IF(OR(AJ31&gt;0,AND(AK$3&gt;=Assumptions!$E$229,AK$3&gt;=Assumptions!$B$14,Revenue_Build!AK10&gt;=Assumptions!$F$229*Assumptions!$B$55)),Assumptions!$D$229,0)</f>
        <v/>
      </c>
      <c r="AL31" s="41">
        <f>IF(OR(AK31&gt;0,AND(AL$3&gt;=Assumptions!$E$229,AL$3&gt;=Assumptions!$B$14,Revenue_Build!AL10&gt;=Assumptions!$F$229*Assumptions!$B$55)),Assumptions!$D$229,0)</f>
        <v/>
      </c>
      <c r="AM31" s="41">
        <f>IF(OR(AL31&gt;0,AND(AM$3&gt;=Assumptions!$E$229,AM$3&gt;=Assumptions!$B$14,Revenue_Build!AM10&gt;=Assumptions!$F$229*Assumptions!$B$55)),Assumptions!$D$229,0)</f>
        <v/>
      </c>
      <c r="AN31" s="41">
        <f>IF(OR(AM31&gt;0,AND(AN$3&gt;=Assumptions!$E$229,AN$3&gt;=Assumptions!$B$14,Revenue_Build!AN10&gt;=Assumptions!$F$229*Assumptions!$B$55)),Assumptions!$D$229,0)</f>
        <v/>
      </c>
      <c r="AO31" s="41">
        <f>IF(OR(AN31&gt;0,AND(AO$3&gt;=Assumptions!$E$229,AO$3&gt;=Assumptions!$B$14,Revenue_Build!AO10&gt;=Assumptions!$F$229*Assumptions!$B$55)),Assumptions!$D$229,0)</f>
        <v/>
      </c>
      <c r="AP31" s="41">
        <f>IF(OR(AO31&gt;0,AND(AP$3&gt;=Assumptions!$E$229,AP$3&gt;=Assumptions!$B$14,Revenue_Build!AP10&gt;=Assumptions!$F$229*Assumptions!$B$55)),Assumptions!$D$229,0)</f>
        <v/>
      </c>
      <c r="AQ31" s="41">
        <f>IF(OR(AP31&gt;0,AND(AQ$3&gt;=Assumptions!$E$229,AQ$3&gt;=Assumptions!$B$14,Revenue_Build!AQ10&gt;=Assumptions!$F$229*Assumptions!$B$55)),Assumptions!$D$229,0)</f>
        <v/>
      </c>
      <c r="AR31" s="41">
        <f>IF(OR(AQ31&gt;0,AND(AR$3&gt;=Assumptions!$E$229,AR$3&gt;=Assumptions!$B$14,Revenue_Build!AR10&gt;=Assumptions!$F$229*Assumptions!$B$55)),Assumptions!$D$229,0)</f>
        <v/>
      </c>
      <c r="AS31" s="41">
        <f>IF(OR(AR31&gt;0,AND(AS$3&gt;=Assumptions!$E$229,AS$3&gt;=Assumptions!$B$14,Revenue_Build!AS10&gt;=Assumptions!$F$229*Assumptions!$B$55)),Assumptions!$D$229,0)</f>
        <v/>
      </c>
      <c r="AT31" s="41">
        <f>IF(OR(AS31&gt;0,AND(AT$3&gt;=Assumptions!$E$229,AT$3&gt;=Assumptions!$B$14,Revenue_Build!AT10&gt;=Assumptions!$F$229*Assumptions!$B$55)),Assumptions!$D$229,0)</f>
        <v/>
      </c>
      <c r="AU31" s="41">
        <f>IF(OR(AT31&gt;0,AND(AU$3&gt;=Assumptions!$E$229,AU$3&gt;=Assumptions!$B$14,Revenue_Build!AU10&gt;=Assumptions!$F$229*Assumptions!$B$55)),Assumptions!$D$229,0)</f>
        <v/>
      </c>
      <c r="AV31" s="41">
        <f>IF(OR(AU31&gt;0,AND(AV$3&gt;=Assumptions!$E$229,AV$3&gt;=Assumptions!$B$14,Revenue_Build!AV10&gt;=Assumptions!$F$229*Assumptions!$B$55)),Assumptions!$D$229,0)</f>
        <v/>
      </c>
      <c r="AW31" s="41">
        <f>IF(OR(AV31&gt;0,AND(AW$3&gt;=Assumptions!$E$229,AW$3&gt;=Assumptions!$B$14,Revenue_Build!AW10&gt;=Assumptions!$F$229*Assumptions!$B$55)),Assumptions!$D$229,0)</f>
        <v/>
      </c>
      <c r="AX31" s="41">
        <f>IF(OR(AW31&gt;0,AND(AX$3&gt;=Assumptions!$E$229,AX$3&gt;=Assumptions!$B$14,Revenue_Build!AX10&gt;=Assumptions!$F$229*Assumptions!$B$55)),Assumptions!$D$229,0)</f>
        <v/>
      </c>
      <c r="AY31" s="41">
        <f>IF(OR(AX31&gt;0,AND(AY$3&gt;=Assumptions!$E$229,AY$3&gt;=Assumptions!$B$14,Revenue_Build!AY10&gt;=Assumptions!$F$229*Assumptions!$B$55)),Assumptions!$D$229,0)</f>
        <v/>
      </c>
      <c r="AZ31" s="41">
        <f>IF(OR(AY31&gt;0,AND(AZ$3&gt;=Assumptions!$E$229,AZ$3&gt;=Assumptions!$B$14,Revenue_Build!AZ10&gt;=Assumptions!$F$229*Assumptions!$B$55)),Assumptions!$D$229,0)</f>
        <v/>
      </c>
      <c r="BA31" s="41">
        <f>IF(OR(AZ31&gt;0,AND(BA$3&gt;=Assumptions!$E$229,BA$3&gt;=Assumptions!$B$14,Revenue_Build!BA10&gt;=Assumptions!$F$229*Assumptions!$B$55)),Assumptions!$D$229,0)</f>
        <v/>
      </c>
      <c r="BB31" s="41">
        <f>IF(OR(BA31&gt;0,AND(BB$3&gt;=Assumptions!$E$229,BB$3&gt;=Assumptions!$B$14,Revenue_Build!BB10&gt;=Assumptions!$F$229*Assumptions!$B$55)),Assumptions!$D$229,0)</f>
        <v/>
      </c>
      <c r="BC31" s="41">
        <f>IF(OR(BB31&gt;0,AND(BC$3&gt;=Assumptions!$E$229,BC$3&gt;=Assumptions!$B$14,Revenue_Build!BC10&gt;=Assumptions!$F$229*Assumptions!$B$55)),Assumptions!$D$229,0)</f>
        <v/>
      </c>
      <c r="BD31" s="41">
        <f>IF(OR(BC31&gt;0,AND(BD$3&gt;=Assumptions!$E$229,BD$3&gt;=Assumptions!$B$14,Revenue_Build!BD10&gt;=Assumptions!$F$229*Assumptions!$B$55)),Assumptions!$D$229,0)</f>
        <v/>
      </c>
      <c r="BE31" s="41">
        <f>IF(OR(BD31&gt;0,AND(BE$3&gt;=Assumptions!$E$229,BE$3&gt;=Assumptions!$B$14,Revenue_Build!BE10&gt;=Assumptions!$F$229*Assumptions!$B$55)),Assumptions!$D$229,0)</f>
        <v/>
      </c>
      <c r="BF31" s="41">
        <f>IF(OR(BE31&gt;0,AND(BF$3&gt;=Assumptions!$E$229,BF$3&gt;=Assumptions!$B$14,Revenue_Build!BF10&gt;=Assumptions!$F$229*Assumptions!$B$55)),Assumptions!$D$229,0)</f>
        <v/>
      </c>
      <c r="BG31" s="41">
        <f>IF(OR(BF31&gt;0,AND(BG$3&gt;=Assumptions!$E$229,BG$3&gt;=Assumptions!$B$14,Revenue_Build!BG10&gt;=Assumptions!$F$229*Assumptions!$B$55)),Assumptions!$D$229,0)</f>
        <v/>
      </c>
      <c r="BH31" s="41">
        <f>IF(OR(BG31&gt;0,AND(BH$3&gt;=Assumptions!$E$229,BH$3&gt;=Assumptions!$B$14,Revenue_Build!BH10&gt;=Assumptions!$F$229*Assumptions!$B$55)),Assumptions!$D$229,0)</f>
        <v/>
      </c>
      <c r="BI31" s="41">
        <f>IF(OR(BH31&gt;0,AND(BI$3&gt;=Assumptions!$E$229,BI$3&gt;=Assumptions!$B$14,Revenue_Build!BI10&gt;=Assumptions!$F$229*Assumptions!$B$55)),Assumptions!$D$229,0)</f>
        <v/>
      </c>
      <c r="BJ31" s="41">
        <f>IF(OR(BI31&gt;0,AND(BJ$3&gt;=Assumptions!$E$229,BJ$3&gt;=Assumptions!$B$14,Revenue_Build!BJ10&gt;=Assumptions!$F$229*Assumptions!$B$55)),Assumptions!$D$229,0)</f>
        <v/>
      </c>
    </row>
    <row r="32">
      <c r="A32" s="4" t="inlineStr">
        <is>
          <t>Marketing team expansion II</t>
        </is>
      </c>
      <c r="B32" s="17" t="inlineStr">
        <is>
          <t>FTE</t>
        </is>
      </c>
      <c r="C32" s="41">
        <f>IF(AND(C$3&gt;=Assumptions!$E$230,C$3&gt;=Assumptions!$B$14,Revenue_Build!C10&gt;=Assumptions!$F$230*Assumptions!$B$55),Assumptions!$D$230,0)</f>
        <v/>
      </c>
      <c r="D32" s="41">
        <f>IF(OR(C32&gt;0,AND(D$3&gt;=Assumptions!$E$230,D$3&gt;=Assumptions!$B$14,Revenue_Build!D10&gt;=Assumptions!$F$230*Assumptions!$B$55)),Assumptions!$D$230,0)</f>
        <v/>
      </c>
      <c r="E32" s="41">
        <f>IF(OR(D32&gt;0,AND(E$3&gt;=Assumptions!$E$230,E$3&gt;=Assumptions!$B$14,Revenue_Build!E10&gt;=Assumptions!$F$230*Assumptions!$B$55)),Assumptions!$D$230,0)</f>
        <v/>
      </c>
      <c r="F32" s="41">
        <f>IF(OR(E32&gt;0,AND(F$3&gt;=Assumptions!$E$230,F$3&gt;=Assumptions!$B$14,Revenue_Build!F10&gt;=Assumptions!$F$230*Assumptions!$B$55)),Assumptions!$D$230,0)</f>
        <v/>
      </c>
      <c r="G32" s="41">
        <f>IF(OR(F32&gt;0,AND(G$3&gt;=Assumptions!$E$230,G$3&gt;=Assumptions!$B$14,Revenue_Build!G10&gt;=Assumptions!$F$230*Assumptions!$B$55)),Assumptions!$D$230,0)</f>
        <v/>
      </c>
      <c r="H32" s="41">
        <f>IF(OR(G32&gt;0,AND(H$3&gt;=Assumptions!$E$230,H$3&gt;=Assumptions!$B$14,Revenue_Build!H10&gt;=Assumptions!$F$230*Assumptions!$B$55)),Assumptions!$D$230,0)</f>
        <v/>
      </c>
      <c r="I32" s="41">
        <f>IF(OR(H32&gt;0,AND(I$3&gt;=Assumptions!$E$230,I$3&gt;=Assumptions!$B$14,Revenue_Build!I10&gt;=Assumptions!$F$230*Assumptions!$B$55)),Assumptions!$D$230,0)</f>
        <v/>
      </c>
      <c r="J32" s="41">
        <f>IF(OR(I32&gt;0,AND(J$3&gt;=Assumptions!$E$230,J$3&gt;=Assumptions!$B$14,Revenue_Build!J10&gt;=Assumptions!$F$230*Assumptions!$B$55)),Assumptions!$D$230,0)</f>
        <v/>
      </c>
      <c r="K32" s="41">
        <f>IF(OR(J32&gt;0,AND(K$3&gt;=Assumptions!$E$230,K$3&gt;=Assumptions!$B$14,Revenue_Build!K10&gt;=Assumptions!$F$230*Assumptions!$B$55)),Assumptions!$D$230,0)</f>
        <v/>
      </c>
      <c r="L32" s="41">
        <f>IF(OR(K32&gt;0,AND(L$3&gt;=Assumptions!$E$230,L$3&gt;=Assumptions!$B$14,Revenue_Build!L10&gt;=Assumptions!$F$230*Assumptions!$B$55)),Assumptions!$D$230,0)</f>
        <v/>
      </c>
      <c r="M32" s="41">
        <f>IF(OR(L32&gt;0,AND(M$3&gt;=Assumptions!$E$230,M$3&gt;=Assumptions!$B$14,Revenue_Build!M10&gt;=Assumptions!$F$230*Assumptions!$B$55)),Assumptions!$D$230,0)</f>
        <v/>
      </c>
      <c r="N32" s="41">
        <f>IF(OR(M32&gt;0,AND(N$3&gt;=Assumptions!$E$230,N$3&gt;=Assumptions!$B$14,Revenue_Build!N10&gt;=Assumptions!$F$230*Assumptions!$B$55)),Assumptions!$D$230,0)</f>
        <v/>
      </c>
      <c r="O32" s="41">
        <f>IF(OR(N32&gt;0,AND(O$3&gt;=Assumptions!$E$230,O$3&gt;=Assumptions!$B$14,Revenue_Build!O10&gt;=Assumptions!$F$230*Assumptions!$B$55)),Assumptions!$D$230,0)</f>
        <v/>
      </c>
      <c r="P32" s="41">
        <f>IF(OR(O32&gt;0,AND(P$3&gt;=Assumptions!$E$230,P$3&gt;=Assumptions!$B$14,Revenue_Build!P10&gt;=Assumptions!$F$230*Assumptions!$B$55)),Assumptions!$D$230,0)</f>
        <v/>
      </c>
      <c r="Q32" s="41">
        <f>IF(OR(P32&gt;0,AND(Q$3&gt;=Assumptions!$E$230,Q$3&gt;=Assumptions!$B$14,Revenue_Build!Q10&gt;=Assumptions!$F$230*Assumptions!$B$55)),Assumptions!$D$230,0)</f>
        <v/>
      </c>
      <c r="R32" s="41">
        <f>IF(OR(Q32&gt;0,AND(R$3&gt;=Assumptions!$E$230,R$3&gt;=Assumptions!$B$14,Revenue_Build!R10&gt;=Assumptions!$F$230*Assumptions!$B$55)),Assumptions!$D$230,0)</f>
        <v/>
      </c>
      <c r="S32" s="41">
        <f>IF(OR(R32&gt;0,AND(S$3&gt;=Assumptions!$E$230,S$3&gt;=Assumptions!$B$14,Revenue_Build!S10&gt;=Assumptions!$F$230*Assumptions!$B$55)),Assumptions!$D$230,0)</f>
        <v/>
      </c>
      <c r="T32" s="41">
        <f>IF(OR(S32&gt;0,AND(T$3&gt;=Assumptions!$E$230,T$3&gt;=Assumptions!$B$14,Revenue_Build!T10&gt;=Assumptions!$F$230*Assumptions!$B$55)),Assumptions!$D$230,0)</f>
        <v/>
      </c>
      <c r="U32" s="41">
        <f>IF(OR(T32&gt;0,AND(U$3&gt;=Assumptions!$E$230,U$3&gt;=Assumptions!$B$14,Revenue_Build!U10&gt;=Assumptions!$F$230*Assumptions!$B$55)),Assumptions!$D$230,0)</f>
        <v/>
      </c>
      <c r="V32" s="41">
        <f>IF(OR(U32&gt;0,AND(V$3&gt;=Assumptions!$E$230,V$3&gt;=Assumptions!$B$14,Revenue_Build!V10&gt;=Assumptions!$F$230*Assumptions!$B$55)),Assumptions!$D$230,0)</f>
        <v/>
      </c>
      <c r="W32" s="41">
        <f>IF(OR(V32&gt;0,AND(W$3&gt;=Assumptions!$E$230,W$3&gt;=Assumptions!$B$14,Revenue_Build!W10&gt;=Assumptions!$F$230*Assumptions!$B$55)),Assumptions!$D$230,0)</f>
        <v/>
      </c>
      <c r="X32" s="41">
        <f>IF(OR(W32&gt;0,AND(X$3&gt;=Assumptions!$E$230,X$3&gt;=Assumptions!$B$14,Revenue_Build!X10&gt;=Assumptions!$F$230*Assumptions!$B$55)),Assumptions!$D$230,0)</f>
        <v/>
      </c>
      <c r="Y32" s="41">
        <f>IF(OR(X32&gt;0,AND(Y$3&gt;=Assumptions!$E$230,Y$3&gt;=Assumptions!$B$14,Revenue_Build!Y10&gt;=Assumptions!$F$230*Assumptions!$B$55)),Assumptions!$D$230,0)</f>
        <v/>
      </c>
      <c r="Z32" s="41">
        <f>IF(OR(Y32&gt;0,AND(Z$3&gt;=Assumptions!$E$230,Z$3&gt;=Assumptions!$B$14,Revenue_Build!Z10&gt;=Assumptions!$F$230*Assumptions!$B$55)),Assumptions!$D$230,0)</f>
        <v/>
      </c>
      <c r="AA32" s="41">
        <f>IF(OR(Z32&gt;0,AND(AA$3&gt;=Assumptions!$E$230,AA$3&gt;=Assumptions!$B$14,Revenue_Build!AA10&gt;=Assumptions!$F$230*Assumptions!$B$55)),Assumptions!$D$230,0)</f>
        <v/>
      </c>
      <c r="AB32" s="41">
        <f>IF(OR(AA32&gt;0,AND(AB$3&gt;=Assumptions!$E$230,AB$3&gt;=Assumptions!$B$14,Revenue_Build!AB10&gt;=Assumptions!$F$230*Assumptions!$B$55)),Assumptions!$D$230,0)</f>
        <v/>
      </c>
      <c r="AC32" s="41">
        <f>IF(OR(AB32&gt;0,AND(AC$3&gt;=Assumptions!$E$230,AC$3&gt;=Assumptions!$B$14,Revenue_Build!AC10&gt;=Assumptions!$F$230*Assumptions!$B$55)),Assumptions!$D$230,0)</f>
        <v/>
      </c>
      <c r="AD32" s="41">
        <f>IF(OR(AC32&gt;0,AND(AD$3&gt;=Assumptions!$E$230,AD$3&gt;=Assumptions!$B$14,Revenue_Build!AD10&gt;=Assumptions!$F$230*Assumptions!$B$55)),Assumptions!$D$230,0)</f>
        <v/>
      </c>
      <c r="AE32" s="41">
        <f>IF(OR(AD32&gt;0,AND(AE$3&gt;=Assumptions!$E$230,AE$3&gt;=Assumptions!$B$14,Revenue_Build!AE10&gt;=Assumptions!$F$230*Assumptions!$B$55)),Assumptions!$D$230,0)</f>
        <v/>
      </c>
      <c r="AF32" s="41">
        <f>IF(OR(AE32&gt;0,AND(AF$3&gt;=Assumptions!$E$230,AF$3&gt;=Assumptions!$B$14,Revenue_Build!AF10&gt;=Assumptions!$F$230*Assumptions!$B$55)),Assumptions!$D$230,0)</f>
        <v/>
      </c>
      <c r="AG32" s="41">
        <f>IF(OR(AF32&gt;0,AND(AG$3&gt;=Assumptions!$E$230,AG$3&gt;=Assumptions!$B$14,Revenue_Build!AG10&gt;=Assumptions!$F$230*Assumptions!$B$55)),Assumptions!$D$230,0)</f>
        <v/>
      </c>
      <c r="AH32" s="41">
        <f>IF(OR(AG32&gt;0,AND(AH$3&gt;=Assumptions!$E$230,AH$3&gt;=Assumptions!$B$14,Revenue_Build!AH10&gt;=Assumptions!$F$230*Assumptions!$B$55)),Assumptions!$D$230,0)</f>
        <v/>
      </c>
      <c r="AI32" s="41">
        <f>IF(OR(AH32&gt;0,AND(AI$3&gt;=Assumptions!$E$230,AI$3&gt;=Assumptions!$B$14,Revenue_Build!AI10&gt;=Assumptions!$F$230*Assumptions!$B$55)),Assumptions!$D$230,0)</f>
        <v/>
      </c>
      <c r="AJ32" s="41">
        <f>IF(OR(AI32&gt;0,AND(AJ$3&gt;=Assumptions!$E$230,AJ$3&gt;=Assumptions!$B$14,Revenue_Build!AJ10&gt;=Assumptions!$F$230*Assumptions!$B$55)),Assumptions!$D$230,0)</f>
        <v/>
      </c>
      <c r="AK32" s="41">
        <f>IF(OR(AJ32&gt;0,AND(AK$3&gt;=Assumptions!$E$230,AK$3&gt;=Assumptions!$B$14,Revenue_Build!AK10&gt;=Assumptions!$F$230*Assumptions!$B$55)),Assumptions!$D$230,0)</f>
        <v/>
      </c>
      <c r="AL32" s="41">
        <f>IF(OR(AK32&gt;0,AND(AL$3&gt;=Assumptions!$E$230,AL$3&gt;=Assumptions!$B$14,Revenue_Build!AL10&gt;=Assumptions!$F$230*Assumptions!$B$55)),Assumptions!$D$230,0)</f>
        <v/>
      </c>
      <c r="AM32" s="41">
        <f>IF(OR(AL32&gt;0,AND(AM$3&gt;=Assumptions!$E$230,AM$3&gt;=Assumptions!$B$14,Revenue_Build!AM10&gt;=Assumptions!$F$230*Assumptions!$B$55)),Assumptions!$D$230,0)</f>
        <v/>
      </c>
      <c r="AN32" s="41">
        <f>IF(OR(AM32&gt;0,AND(AN$3&gt;=Assumptions!$E$230,AN$3&gt;=Assumptions!$B$14,Revenue_Build!AN10&gt;=Assumptions!$F$230*Assumptions!$B$55)),Assumptions!$D$230,0)</f>
        <v/>
      </c>
      <c r="AO32" s="41">
        <f>IF(OR(AN32&gt;0,AND(AO$3&gt;=Assumptions!$E$230,AO$3&gt;=Assumptions!$B$14,Revenue_Build!AO10&gt;=Assumptions!$F$230*Assumptions!$B$55)),Assumptions!$D$230,0)</f>
        <v/>
      </c>
      <c r="AP32" s="41">
        <f>IF(OR(AO32&gt;0,AND(AP$3&gt;=Assumptions!$E$230,AP$3&gt;=Assumptions!$B$14,Revenue_Build!AP10&gt;=Assumptions!$F$230*Assumptions!$B$55)),Assumptions!$D$230,0)</f>
        <v/>
      </c>
      <c r="AQ32" s="41">
        <f>IF(OR(AP32&gt;0,AND(AQ$3&gt;=Assumptions!$E$230,AQ$3&gt;=Assumptions!$B$14,Revenue_Build!AQ10&gt;=Assumptions!$F$230*Assumptions!$B$55)),Assumptions!$D$230,0)</f>
        <v/>
      </c>
      <c r="AR32" s="41">
        <f>IF(OR(AQ32&gt;0,AND(AR$3&gt;=Assumptions!$E$230,AR$3&gt;=Assumptions!$B$14,Revenue_Build!AR10&gt;=Assumptions!$F$230*Assumptions!$B$55)),Assumptions!$D$230,0)</f>
        <v/>
      </c>
      <c r="AS32" s="41">
        <f>IF(OR(AR32&gt;0,AND(AS$3&gt;=Assumptions!$E$230,AS$3&gt;=Assumptions!$B$14,Revenue_Build!AS10&gt;=Assumptions!$F$230*Assumptions!$B$55)),Assumptions!$D$230,0)</f>
        <v/>
      </c>
      <c r="AT32" s="41">
        <f>IF(OR(AS32&gt;0,AND(AT$3&gt;=Assumptions!$E$230,AT$3&gt;=Assumptions!$B$14,Revenue_Build!AT10&gt;=Assumptions!$F$230*Assumptions!$B$55)),Assumptions!$D$230,0)</f>
        <v/>
      </c>
      <c r="AU32" s="41">
        <f>IF(OR(AT32&gt;0,AND(AU$3&gt;=Assumptions!$E$230,AU$3&gt;=Assumptions!$B$14,Revenue_Build!AU10&gt;=Assumptions!$F$230*Assumptions!$B$55)),Assumptions!$D$230,0)</f>
        <v/>
      </c>
      <c r="AV32" s="41">
        <f>IF(OR(AU32&gt;0,AND(AV$3&gt;=Assumptions!$E$230,AV$3&gt;=Assumptions!$B$14,Revenue_Build!AV10&gt;=Assumptions!$F$230*Assumptions!$B$55)),Assumptions!$D$230,0)</f>
        <v/>
      </c>
      <c r="AW32" s="41">
        <f>IF(OR(AV32&gt;0,AND(AW$3&gt;=Assumptions!$E$230,AW$3&gt;=Assumptions!$B$14,Revenue_Build!AW10&gt;=Assumptions!$F$230*Assumptions!$B$55)),Assumptions!$D$230,0)</f>
        <v/>
      </c>
      <c r="AX32" s="41">
        <f>IF(OR(AW32&gt;0,AND(AX$3&gt;=Assumptions!$E$230,AX$3&gt;=Assumptions!$B$14,Revenue_Build!AX10&gt;=Assumptions!$F$230*Assumptions!$B$55)),Assumptions!$D$230,0)</f>
        <v/>
      </c>
      <c r="AY32" s="41">
        <f>IF(OR(AX32&gt;0,AND(AY$3&gt;=Assumptions!$E$230,AY$3&gt;=Assumptions!$B$14,Revenue_Build!AY10&gt;=Assumptions!$F$230*Assumptions!$B$55)),Assumptions!$D$230,0)</f>
        <v/>
      </c>
      <c r="AZ32" s="41">
        <f>IF(OR(AY32&gt;0,AND(AZ$3&gt;=Assumptions!$E$230,AZ$3&gt;=Assumptions!$B$14,Revenue_Build!AZ10&gt;=Assumptions!$F$230*Assumptions!$B$55)),Assumptions!$D$230,0)</f>
        <v/>
      </c>
      <c r="BA32" s="41">
        <f>IF(OR(AZ32&gt;0,AND(BA$3&gt;=Assumptions!$E$230,BA$3&gt;=Assumptions!$B$14,Revenue_Build!BA10&gt;=Assumptions!$F$230*Assumptions!$B$55)),Assumptions!$D$230,0)</f>
        <v/>
      </c>
      <c r="BB32" s="41">
        <f>IF(OR(BA32&gt;0,AND(BB$3&gt;=Assumptions!$E$230,BB$3&gt;=Assumptions!$B$14,Revenue_Build!BB10&gt;=Assumptions!$F$230*Assumptions!$B$55)),Assumptions!$D$230,0)</f>
        <v/>
      </c>
      <c r="BC32" s="41">
        <f>IF(OR(BB32&gt;0,AND(BC$3&gt;=Assumptions!$E$230,BC$3&gt;=Assumptions!$B$14,Revenue_Build!BC10&gt;=Assumptions!$F$230*Assumptions!$B$55)),Assumptions!$D$230,0)</f>
        <v/>
      </c>
      <c r="BD32" s="41">
        <f>IF(OR(BC32&gt;0,AND(BD$3&gt;=Assumptions!$E$230,BD$3&gt;=Assumptions!$B$14,Revenue_Build!BD10&gt;=Assumptions!$F$230*Assumptions!$B$55)),Assumptions!$D$230,0)</f>
        <v/>
      </c>
      <c r="BE32" s="41">
        <f>IF(OR(BD32&gt;0,AND(BE$3&gt;=Assumptions!$E$230,BE$3&gt;=Assumptions!$B$14,Revenue_Build!BE10&gt;=Assumptions!$F$230*Assumptions!$B$55)),Assumptions!$D$230,0)</f>
        <v/>
      </c>
      <c r="BF32" s="41">
        <f>IF(OR(BE32&gt;0,AND(BF$3&gt;=Assumptions!$E$230,BF$3&gt;=Assumptions!$B$14,Revenue_Build!BF10&gt;=Assumptions!$F$230*Assumptions!$B$55)),Assumptions!$D$230,0)</f>
        <v/>
      </c>
      <c r="BG32" s="41">
        <f>IF(OR(BF32&gt;0,AND(BG$3&gt;=Assumptions!$E$230,BG$3&gt;=Assumptions!$B$14,Revenue_Build!BG10&gt;=Assumptions!$F$230*Assumptions!$B$55)),Assumptions!$D$230,0)</f>
        <v/>
      </c>
      <c r="BH32" s="41">
        <f>IF(OR(BG32&gt;0,AND(BH$3&gt;=Assumptions!$E$230,BH$3&gt;=Assumptions!$B$14,Revenue_Build!BH10&gt;=Assumptions!$F$230*Assumptions!$B$55)),Assumptions!$D$230,0)</f>
        <v/>
      </c>
      <c r="BI32" s="41">
        <f>IF(OR(BH32&gt;0,AND(BI$3&gt;=Assumptions!$E$230,BI$3&gt;=Assumptions!$B$14,Revenue_Build!BI10&gt;=Assumptions!$F$230*Assumptions!$B$55)),Assumptions!$D$230,0)</f>
        <v/>
      </c>
      <c r="BJ32" s="41">
        <f>IF(OR(BI32&gt;0,AND(BJ$3&gt;=Assumptions!$E$230,BJ$3&gt;=Assumptions!$B$14,Revenue_Build!BJ10&gt;=Assumptions!$F$230*Assumptions!$B$55)),Assumptions!$D$230,0)</f>
        <v/>
      </c>
    </row>
    <row r="33">
      <c r="A33" s="4" t="inlineStr">
        <is>
          <t>Marketing team expansion III</t>
        </is>
      </c>
      <c r="B33" s="17" t="inlineStr">
        <is>
          <t>FTE</t>
        </is>
      </c>
      <c r="C33" s="41">
        <f>IF(AND(C$3&gt;=Assumptions!$E$231,C$3&gt;=Assumptions!$B$14,Revenue_Build!C10&gt;=Assumptions!$F$231*Assumptions!$B$55),Assumptions!$D$231,0)</f>
        <v/>
      </c>
      <c r="D33" s="41">
        <f>IF(OR(C33&gt;0,AND(D$3&gt;=Assumptions!$E$231,D$3&gt;=Assumptions!$B$14,Revenue_Build!D10&gt;=Assumptions!$F$231*Assumptions!$B$55)),Assumptions!$D$231,0)</f>
        <v/>
      </c>
      <c r="E33" s="41">
        <f>IF(OR(D33&gt;0,AND(E$3&gt;=Assumptions!$E$231,E$3&gt;=Assumptions!$B$14,Revenue_Build!E10&gt;=Assumptions!$F$231*Assumptions!$B$55)),Assumptions!$D$231,0)</f>
        <v/>
      </c>
      <c r="F33" s="41">
        <f>IF(OR(E33&gt;0,AND(F$3&gt;=Assumptions!$E$231,F$3&gt;=Assumptions!$B$14,Revenue_Build!F10&gt;=Assumptions!$F$231*Assumptions!$B$55)),Assumptions!$D$231,0)</f>
        <v/>
      </c>
      <c r="G33" s="41">
        <f>IF(OR(F33&gt;0,AND(G$3&gt;=Assumptions!$E$231,G$3&gt;=Assumptions!$B$14,Revenue_Build!G10&gt;=Assumptions!$F$231*Assumptions!$B$55)),Assumptions!$D$231,0)</f>
        <v/>
      </c>
      <c r="H33" s="41">
        <f>IF(OR(G33&gt;0,AND(H$3&gt;=Assumptions!$E$231,H$3&gt;=Assumptions!$B$14,Revenue_Build!H10&gt;=Assumptions!$F$231*Assumptions!$B$55)),Assumptions!$D$231,0)</f>
        <v/>
      </c>
      <c r="I33" s="41">
        <f>IF(OR(H33&gt;0,AND(I$3&gt;=Assumptions!$E$231,I$3&gt;=Assumptions!$B$14,Revenue_Build!I10&gt;=Assumptions!$F$231*Assumptions!$B$55)),Assumptions!$D$231,0)</f>
        <v/>
      </c>
      <c r="J33" s="41">
        <f>IF(OR(I33&gt;0,AND(J$3&gt;=Assumptions!$E$231,J$3&gt;=Assumptions!$B$14,Revenue_Build!J10&gt;=Assumptions!$F$231*Assumptions!$B$55)),Assumptions!$D$231,0)</f>
        <v/>
      </c>
      <c r="K33" s="41">
        <f>IF(OR(J33&gt;0,AND(K$3&gt;=Assumptions!$E$231,K$3&gt;=Assumptions!$B$14,Revenue_Build!K10&gt;=Assumptions!$F$231*Assumptions!$B$55)),Assumptions!$D$231,0)</f>
        <v/>
      </c>
      <c r="L33" s="41">
        <f>IF(OR(K33&gt;0,AND(L$3&gt;=Assumptions!$E$231,L$3&gt;=Assumptions!$B$14,Revenue_Build!L10&gt;=Assumptions!$F$231*Assumptions!$B$55)),Assumptions!$D$231,0)</f>
        <v/>
      </c>
      <c r="M33" s="41">
        <f>IF(OR(L33&gt;0,AND(M$3&gt;=Assumptions!$E$231,M$3&gt;=Assumptions!$B$14,Revenue_Build!M10&gt;=Assumptions!$F$231*Assumptions!$B$55)),Assumptions!$D$231,0)</f>
        <v/>
      </c>
      <c r="N33" s="41">
        <f>IF(OR(M33&gt;0,AND(N$3&gt;=Assumptions!$E$231,N$3&gt;=Assumptions!$B$14,Revenue_Build!N10&gt;=Assumptions!$F$231*Assumptions!$B$55)),Assumptions!$D$231,0)</f>
        <v/>
      </c>
      <c r="O33" s="41">
        <f>IF(OR(N33&gt;0,AND(O$3&gt;=Assumptions!$E$231,O$3&gt;=Assumptions!$B$14,Revenue_Build!O10&gt;=Assumptions!$F$231*Assumptions!$B$55)),Assumptions!$D$231,0)</f>
        <v/>
      </c>
      <c r="P33" s="41">
        <f>IF(OR(O33&gt;0,AND(P$3&gt;=Assumptions!$E$231,P$3&gt;=Assumptions!$B$14,Revenue_Build!P10&gt;=Assumptions!$F$231*Assumptions!$B$55)),Assumptions!$D$231,0)</f>
        <v/>
      </c>
      <c r="Q33" s="41">
        <f>IF(OR(P33&gt;0,AND(Q$3&gt;=Assumptions!$E$231,Q$3&gt;=Assumptions!$B$14,Revenue_Build!Q10&gt;=Assumptions!$F$231*Assumptions!$B$55)),Assumptions!$D$231,0)</f>
        <v/>
      </c>
      <c r="R33" s="41">
        <f>IF(OR(Q33&gt;0,AND(R$3&gt;=Assumptions!$E$231,R$3&gt;=Assumptions!$B$14,Revenue_Build!R10&gt;=Assumptions!$F$231*Assumptions!$B$55)),Assumptions!$D$231,0)</f>
        <v/>
      </c>
      <c r="S33" s="41">
        <f>IF(OR(R33&gt;0,AND(S$3&gt;=Assumptions!$E$231,S$3&gt;=Assumptions!$B$14,Revenue_Build!S10&gt;=Assumptions!$F$231*Assumptions!$B$55)),Assumptions!$D$231,0)</f>
        <v/>
      </c>
      <c r="T33" s="41">
        <f>IF(OR(S33&gt;0,AND(T$3&gt;=Assumptions!$E$231,T$3&gt;=Assumptions!$B$14,Revenue_Build!T10&gt;=Assumptions!$F$231*Assumptions!$B$55)),Assumptions!$D$231,0)</f>
        <v/>
      </c>
      <c r="U33" s="41">
        <f>IF(OR(T33&gt;0,AND(U$3&gt;=Assumptions!$E$231,U$3&gt;=Assumptions!$B$14,Revenue_Build!U10&gt;=Assumptions!$F$231*Assumptions!$B$55)),Assumptions!$D$231,0)</f>
        <v/>
      </c>
      <c r="V33" s="41">
        <f>IF(OR(U33&gt;0,AND(V$3&gt;=Assumptions!$E$231,V$3&gt;=Assumptions!$B$14,Revenue_Build!V10&gt;=Assumptions!$F$231*Assumptions!$B$55)),Assumptions!$D$231,0)</f>
        <v/>
      </c>
      <c r="W33" s="41">
        <f>IF(OR(V33&gt;0,AND(W$3&gt;=Assumptions!$E$231,W$3&gt;=Assumptions!$B$14,Revenue_Build!W10&gt;=Assumptions!$F$231*Assumptions!$B$55)),Assumptions!$D$231,0)</f>
        <v/>
      </c>
      <c r="X33" s="41">
        <f>IF(OR(W33&gt;0,AND(X$3&gt;=Assumptions!$E$231,X$3&gt;=Assumptions!$B$14,Revenue_Build!X10&gt;=Assumptions!$F$231*Assumptions!$B$55)),Assumptions!$D$231,0)</f>
        <v/>
      </c>
      <c r="Y33" s="41">
        <f>IF(OR(X33&gt;0,AND(Y$3&gt;=Assumptions!$E$231,Y$3&gt;=Assumptions!$B$14,Revenue_Build!Y10&gt;=Assumptions!$F$231*Assumptions!$B$55)),Assumptions!$D$231,0)</f>
        <v/>
      </c>
      <c r="Z33" s="41">
        <f>IF(OR(Y33&gt;0,AND(Z$3&gt;=Assumptions!$E$231,Z$3&gt;=Assumptions!$B$14,Revenue_Build!Z10&gt;=Assumptions!$F$231*Assumptions!$B$55)),Assumptions!$D$231,0)</f>
        <v/>
      </c>
      <c r="AA33" s="41">
        <f>IF(OR(Z33&gt;0,AND(AA$3&gt;=Assumptions!$E$231,AA$3&gt;=Assumptions!$B$14,Revenue_Build!AA10&gt;=Assumptions!$F$231*Assumptions!$B$55)),Assumptions!$D$231,0)</f>
        <v/>
      </c>
      <c r="AB33" s="41">
        <f>IF(OR(AA33&gt;0,AND(AB$3&gt;=Assumptions!$E$231,AB$3&gt;=Assumptions!$B$14,Revenue_Build!AB10&gt;=Assumptions!$F$231*Assumptions!$B$55)),Assumptions!$D$231,0)</f>
        <v/>
      </c>
      <c r="AC33" s="41">
        <f>IF(OR(AB33&gt;0,AND(AC$3&gt;=Assumptions!$E$231,AC$3&gt;=Assumptions!$B$14,Revenue_Build!AC10&gt;=Assumptions!$F$231*Assumptions!$B$55)),Assumptions!$D$231,0)</f>
        <v/>
      </c>
      <c r="AD33" s="41">
        <f>IF(OR(AC33&gt;0,AND(AD$3&gt;=Assumptions!$E$231,AD$3&gt;=Assumptions!$B$14,Revenue_Build!AD10&gt;=Assumptions!$F$231*Assumptions!$B$55)),Assumptions!$D$231,0)</f>
        <v/>
      </c>
      <c r="AE33" s="41">
        <f>IF(OR(AD33&gt;0,AND(AE$3&gt;=Assumptions!$E$231,AE$3&gt;=Assumptions!$B$14,Revenue_Build!AE10&gt;=Assumptions!$F$231*Assumptions!$B$55)),Assumptions!$D$231,0)</f>
        <v/>
      </c>
      <c r="AF33" s="41">
        <f>IF(OR(AE33&gt;0,AND(AF$3&gt;=Assumptions!$E$231,AF$3&gt;=Assumptions!$B$14,Revenue_Build!AF10&gt;=Assumptions!$F$231*Assumptions!$B$55)),Assumptions!$D$231,0)</f>
        <v/>
      </c>
      <c r="AG33" s="41">
        <f>IF(OR(AF33&gt;0,AND(AG$3&gt;=Assumptions!$E$231,AG$3&gt;=Assumptions!$B$14,Revenue_Build!AG10&gt;=Assumptions!$F$231*Assumptions!$B$55)),Assumptions!$D$231,0)</f>
        <v/>
      </c>
      <c r="AH33" s="41">
        <f>IF(OR(AG33&gt;0,AND(AH$3&gt;=Assumptions!$E$231,AH$3&gt;=Assumptions!$B$14,Revenue_Build!AH10&gt;=Assumptions!$F$231*Assumptions!$B$55)),Assumptions!$D$231,0)</f>
        <v/>
      </c>
      <c r="AI33" s="41">
        <f>IF(OR(AH33&gt;0,AND(AI$3&gt;=Assumptions!$E$231,AI$3&gt;=Assumptions!$B$14,Revenue_Build!AI10&gt;=Assumptions!$F$231*Assumptions!$B$55)),Assumptions!$D$231,0)</f>
        <v/>
      </c>
      <c r="AJ33" s="41">
        <f>IF(OR(AI33&gt;0,AND(AJ$3&gt;=Assumptions!$E$231,AJ$3&gt;=Assumptions!$B$14,Revenue_Build!AJ10&gt;=Assumptions!$F$231*Assumptions!$B$55)),Assumptions!$D$231,0)</f>
        <v/>
      </c>
      <c r="AK33" s="41">
        <f>IF(OR(AJ33&gt;0,AND(AK$3&gt;=Assumptions!$E$231,AK$3&gt;=Assumptions!$B$14,Revenue_Build!AK10&gt;=Assumptions!$F$231*Assumptions!$B$55)),Assumptions!$D$231,0)</f>
        <v/>
      </c>
      <c r="AL33" s="41">
        <f>IF(OR(AK33&gt;0,AND(AL$3&gt;=Assumptions!$E$231,AL$3&gt;=Assumptions!$B$14,Revenue_Build!AL10&gt;=Assumptions!$F$231*Assumptions!$B$55)),Assumptions!$D$231,0)</f>
        <v/>
      </c>
      <c r="AM33" s="41">
        <f>IF(OR(AL33&gt;0,AND(AM$3&gt;=Assumptions!$E$231,AM$3&gt;=Assumptions!$B$14,Revenue_Build!AM10&gt;=Assumptions!$F$231*Assumptions!$B$55)),Assumptions!$D$231,0)</f>
        <v/>
      </c>
      <c r="AN33" s="41">
        <f>IF(OR(AM33&gt;0,AND(AN$3&gt;=Assumptions!$E$231,AN$3&gt;=Assumptions!$B$14,Revenue_Build!AN10&gt;=Assumptions!$F$231*Assumptions!$B$55)),Assumptions!$D$231,0)</f>
        <v/>
      </c>
      <c r="AO33" s="41">
        <f>IF(OR(AN33&gt;0,AND(AO$3&gt;=Assumptions!$E$231,AO$3&gt;=Assumptions!$B$14,Revenue_Build!AO10&gt;=Assumptions!$F$231*Assumptions!$B$55)),Assumptions!$D$231,0)</f>
        <v/>
      </c>
      <c r="AP33" s="41">
        <f>IF(OR(AO33&gt;0,AND(AP$3&gt;=Assumptions!$E$231,AP$3&gt;=Assumptions!$B$14,Revenue_Build!AP10&gt;=Assumptions!$F$231*Assumptions!$B$55)),Assumptions!$D$231,0)</f>
        <v/>
      </c>
      <c r="AQ33" s="41">
        <f>IF(OR(AP33&gt;0,AND(AQ$3&gt;=Assumptions!$E$231,AQ$3&gt;=Assumptions!$B$14,Revenue_Build!AQ10&gt;=Assumptions!$F$231*Assumptions!$B$55)),Assumptions!$D$231,0)</f>
        <v/>
      </c>
      <c r="AR33" s="41">
        <f>IF(OR(AQ33&gt;0,AND(AR$3&gt;=Assumptions!$E$231,AR$3&gt;=Assumptions!$B$14,Revenue_Build!AR10&gt;=Assumptions!$F$231*Assumptions!$B$55)),Assumptions!$D$231,0)</f>
        <v/>
      </c>
      <c r="AS33" s="41">
        <f>IF(OR(AR33&gt;0,AND(AS$3&gt;=Assumptions!$E$231,AS$3&gt;=Assumptions!$B$14,Revenue_Build!AS10&gt;=Assumptions!$F$231*Assumptions!$B$55)),Assumptions!$D$231,0)</f>
        <v/>
      </c>
      <c r="AT33" s="41">
        <f>IF(OR(AS33&gt;0,AND(AT$3&gt;=Assumptions!$E$231,AT$3&gt;=Assumptions!$B$14,Revenue_Build!AT10&gt;=Assumptions!$F$231*Assumptions!$B$55)),Assumptions!$D$231,0)</f>
        <v/>
      </c>
      <c r="AU33" s="41">
        <f>IF(OR(AT33&gt;0,AND(AU$3&gt;=Assumptions!$E$231,AU$3&gt;=Assumptions!$B$14,Revenue_Build!AU10&gt;=Assumptions!$F$231*Assumptions!$B$55)),Assumptions!$D$231,0)</f>
        <v/>
      </c>
      <c r="AV33" s="41">
        <f>IF(OR(AU33&gt;0,AND(AV$3&gt;=Assumptions!$E$231,AV$3&gt;=Assumptions!$B$14,Revenue_Build!AV10&gt;=Assumptions!$F$231*Assumptions!$B$55)),Assumptions!$D$231,0)</f>
        <v/>
      </c>
      <c r="AW33" s="41">
        <f>IF(OR(AV33&gt;0,AND(AW$3&gt;=Assumptions!$E$231,AW$3&gt;=Assumptions!$B$14,Revenue_Build!AW10&gt;=Assumptions!$F$231*Assumptions!$B$55)),Assumptions!$D$231,0)</f>
        <v/>
      </c>
      <c r="AX33" s="41">
        <f>IF(OR(AW33&gt;0,AND(AX$3&gt;=Assumptions!$E$231,AX$3&gt;=Assumptions!$B$14,Revenue_Build!AX10&gt;=Assumptions!$F$231*Assumptions!$B$55)),Assumptions!$D$231,0)</f>
        <v/>
      </c>
      <c r="AY33" s="41">
        <f>IF(OR(AX33&gt;0,AND(AY$3&gt;=Assumptions!$E$231,AY$3&gt;=Assumptions!$B$14,Revenue_Build!AY10&gt;=Assumptions!$F$231*Assumptions!$B$55)),Assumptions!$D$231,0)</f>
        <v/>
      </c>
      <c r="AZ33" s="41">
        <f>IF(OR(AY33&gt;0,AND(AZ$3&gt;=Assumptions!$E$231,AZ$3&gt;=Assumptions!$B$14,Revenue_Build!AZ10&gt;=Assumptions!$F$231*Assumptions!$B$55)),Assumptions!$D$231,0)</f>
        <v/>
      </c>
      <c r="BA33" s="41">
        <f>IF(OR(AZ33&gt;0,AND(BA$3&gt;=Assumptions!$E$231,BA$3&gt;=Assumptions!$B$14,Revenue_Build!BA10&gt;=Assumptions!$F$231*Assumptions!$B$55)),Assumptions!$D$231,0)</f>
        <v/>
      </c>
      <c r="BB33" s="41">
        <f>IF(OR(BA33&gt;0,AND(BB$3&gt;=Assumptions!$E$231,BB$3&gt;=Assumptions!$B$14,Revenue_Build!BB10&gt;=Assumptions!$F$231*Assumptions!$B$55)),Assumptions!$D$231,0)</f>
        <v/>
      </c>
      <c r="BC33" s="41">
        <f>IF(OR(BB33&gt;0,AND(BC$3&gt;=Assumptions!$E$231,BC$3&gt;=Assumptions!$B$14,Revenue_Build!BC10&gt;=Assumptions!$F$231*Assumptions!$B$55)),Assumptions!$D$231,0)</f>
        <v/>
      </c>
      <c r="BD33" s="41">
        <f>IF(OR(BC33&gt;0,AND(BD$3&gt;=Assumptions!$E$231,BD$3&gt;=Assumptions!$B$14,Revenue_Build!BD10&gt;=Assumptions!$F$231*Assumptions!$B$55)),Assumptions!$D$231,0)</f>
        <v/>
      </c>
      <c r="BE33" s="41">
        <f>IF(OR(BD33&gt;0,AND(BE$3&gt;=Assumptions!$E$231,BE$3&gt;=Assumptions!$B$14,Revenue_Build!BE10&gt;=Assumptions!$F$231*Assumptions!$B$55)),Assumptions!$D$231,0)</f>
        <v/>
      </c>
      <c r="BF33" s="41">
        <f>IF(OR(BE33&gt;0,AND(BF$3&gt;=Assumptions!$E$231,BF$3&gt;=Assumptions!$B$14,Revenue_Build!BF10&gt;=Assumptions!$F$231*Assumptions!$B$55)),Assumptions!$D$231,0)</f>
        <v/>
      </c>
      <c r="BG33" s="41">
        <f>IF(OR(BF33&gt;0,AND(BG$3&gt;=Assumptions!$E$231,BG$3&gt;=Assumptions!$B$14,Revenue_Build!BG10&gt;=Assumptions!$F$231*Assumptions!$B$55)),Assumptions!$D$231,0)</f>
        <v/>
      </c>
      <c r="BH33" s="41">
        <f>IF(OR(BG33&gt;0,AND(BH$3&gt;=Assumptions!$E$231,BH$3&gt;=Assumptions!$B$14,Revenue_Build!BH10&gt;=Assumptions!$F$231*Assumptions!$B$55)),Assumptions!$D$231,0)</f>
        <v/>
      </c>
      <c r="BI33" s="41">
        <f>IF(OR(BH33&gt;0,AND(BI$3&gt;=Assumptions!$E$231,BI$3&gt;=Assumptions!$B$14,Revenue_Build!BI10&gt;=Assumptions!$F$231*Assumptions!$B$55)),Assumptions!$D$231,0)</f>
        <v/>
      </c>
      <c r="BJ33" s="41">
        <f>IF(OR(BI33&gt;0,AND(BJ$3&gt;=Assumptions!$E$231,BJ$3&gt;=Assumptions!$B$14,Revenue_Build!BJ10&gt;=Assumptions!$F$231*Assumptions!$B$55)),Assumptions!$D$231,0)</f>
        <v/>
      </c>
    </row>
    <row r="34">
      <c r="A34" s="4" t="inlineStr">
        <is>
          <t>Partnerships manager #1 (agency programme)</t>
        </is>
      </c>
      <c r="B34" s="17" t="inlineStr">
        <is>
          <t>FTE</t>
        </is>
      </c>
      <c r="C34" s="41">
        <f>IF(AND(C$3&gt;=Assumptions!$E$232,C$3&gt;=Assumptions!$B$14,Revenue_Build!C10&gt;=Assumptions!$F$232*Assumptions!$B$55),Assumptions!$D$232,0)</f>
        <v/>
      </c>
      <c r="D34" s="41">
        <f>IF(OR(C34&gt;0,AND(D$3&gt;=Assumptions!$E$232,D$3&gt;=Assumptions!$B$14,Revenue_Build!D10&gt;=Assumptions!$F$232*Assumptions!$B$55)),Assumptions!$D$232,0)</f>
        <v/>
      </c>
      <c r="E34" s="41">
        <f>IF(OR(D34&gt;0,AND(E$3&gt;=Assumptions!$E$232,E$3&gt;=Assumptions!$B$14,Revenue_Build!E10&gt;=Assumptions!$F$232*Assumptions!$B$55)),Assumptions!$D$232,0)</f>
        <v/>
      </c>
      <c r="F34" s="41">
        <f>IF(OR(E34&gt;0,AND(F$3&gt;=Assumptions!$E$232,F$3&gt;=Assumptions!$B$14,Revenue_Build!F10&gt;=Assumptions!$F$232*Assumptions!$B$55)),Assumptions!$D$232,0)</f>
        <v/>
      </c>
      <c r="G34" s="41">
        <f>IF(OR(F34&gt;0,AND(G$3&gt;=Assumptions!$E$232,G$3&gt;=Assumptions!$B$14,Revenue_Build!G10&gt;=Assumptions!$F$232*Assumptions!$B$55)),Assumptions!$D$232,0)</f>
        <v/>
      </c>
      <c r="H34" s="41">
        <f>IF(OR(G34&gt;0,AND(H$3&gt;=Assumptions!$E$232,H$3&gt;=Assumptions!$B$14,Revenue_Build!H10&gt;=Assumptions!$F$232*Assumptions!$B$55)),Assumptions!$D$232,0)</f>
        <v/>
      </c>
      <c r="I34" s="41">
        <f>IF(OR(H34&gt;0,AND(I$3&gt;=Assumptions!$E$232,I$3&gt;=Assumptions!$B$14,Revenue_Build!I10&gt;=Assumptions!$F$232*Assumptions!$B$55)),Assumptions!$D$232,0)</f>
        <v/>
      </c>
      <c r="J34" s="41">
        <f>IF(OR(I34&gt;0,AND(J$3&gt;=Assumptions!$E$232,J$3&gt;=Assumptions!$B$14,Revenue_Build!J10&gt;=Assumptions!$F$232*Assumptions!$B$55)),Assumptions!$D$232,0)</f>
        <v/>
      </c>
      <c r="K34" s="41">
        <f>IF(OR(J34&gt;0,AND(K$3&gt;=Assumptions!$E$232,K$3&gt;=Assumptions!$B$14,Revenue_Build!K10&gt;=Assumptions!$F$232*Assumptions!$B$55)),Assumptions!$D$232,0)</f>
        <v/>
      </c>
      <c r="L34" s="41">
        <f>IF(OR(K34&gt;0,AND(L$3&gt;=Assumptions!$E$232,L$3&gt;=Assumptions!$B$14,Revenue_Build!L10&gt;=Assumptions!$F$232*Assumptions!$B$55)),Assumptions!$D$232,0)</f>
        <v/>
      </c>
      <c r="M34" s="41">
        <f>IF(OR(L34&gt;0,AND(M$3&gt;=Assumptions!$E$232,M$3&gt;=Assumptions!$B$14,Revenue_Build!M10&gt;=Assumptions!$F$232*Assumptions!$B$55)),Assumptions!$D$232,0)</f>
        <v/>
      </c>
      <c r="N34" s="41">
        <f>IF(OR(M34&gt;0,AND(N$3&gt;=Assumptions!$E$232,N$3&gt;=Assumptions!$B$14,Revenue_Build!N10&gt;=Assumptions!$F$232*Assumptions!$B$55)),Assumptions!$D$232,0)</f>
        <v/>
      </c>
      <c r="O34" s="41">
        <f>IF(OR(N34&gt;0,AND(O$3&gt;=Assumptions!$E$232,O$3&gt;=Assumptions!$B$14,Revenue_Build!O10&gt;=Assumptions!$F$232*Assumptions!$B$55)),Assumptions!$D$232,0)</f>
        <v/>
      </c>
      <c r="P34" s="41">
        <f>IF(OR(O34&gt;0,AND(P$3&gt;=Assumptions!$E$232,P$3&gt;=Assumptions!$B$14,Revenue_Build!P10&gt;=Assumptions!$F$232*Assumptions!$B$55)),Assumptions!$D$232,0)</f>
        <v/>
      </c>
      <c r="Q34" s="41">
        <f>IF(OR(P34&gt;0,AND(Q$3&gt;=Assumptions!$E$232,Q$3&gt;=Assumptions!$B$14,Revenue_Build!Q10&gt;=Assumptions!$F$232*Assumptions!$B$55)),Assumptions!$D$232,0)</f>
        <v/>
      </c>
      <c r="R34" s="41">
        <f>IF(OR(Q34&gt;0,AND(R$3&gt;=Assumptions!$E$232,R$3&gt;=Assumptions!$B$14,Revenue_Build!R10&gt;=Assumptions!$F$232*Assumptions!$B$55)),Assumptions!$D$232,0)</f>
        <v/>
      </c>
      <c r="S34" s="41">
        <f>IF(OR(R34&gt;0,AND(S$3&gt;=Assumptions!$E$232,S$3&gt;=Assumptions!$B$14,Revenue_Build!S10&gt;=Assumptions!$F$232*Assumptions!$B$55)),Assumptions!$D$232,0)</f>
        <v/>
      </c>
      <c r="T34" s="41">
        <f>IF(OR(S34&gt;0,AND(T$3&gt;=Assumptions!$E$232,T$3&gt;=Assumptions!$B$14,Revenue_Build!T10&gt;=Assumptions!$F$232*Assumptions!$B$55)),Assumptions!$D$232,0)</f>
        <v/>
      </c>
      <c r="U34" s="41">
        <f>IF(OR(T34&gt;0,AND(U$3&gt;=Assumptions!$E$232,U$3&gt;=Assumptions!$B$14,Revenue_Build!U10&gt;=Assumptions!$F$232*Assumptions!$B$55)),Assumptions!$D$232,0)</f>
        <v/>
      </c>
      <c r="V34" s="41">
        <f>IF(OR(U34&gt;0,AND(V$3&gt;=Assumptions!$E$232,V$3&gt;=Assumptions!$B$14,Revenue_Build!V10&gt;=Assumptions!$F$232*Assumptions!$B$55)),Assumptions!$D$232,0)</f>
        <v/>
      </c>
      <c r="W34" s="41">
        <f>IF(OR(V34&gt;0,AND(W$3&gt;=Assumptions!$E$232,W$3&gt;=Assumptions!$B$14,Revenue_Build!W10&gt;=Assumptions!$F$232*Assumptions!$B$55)),Assumptions!$D$232,0)</f>
        <v/>
      </c>
      <c r="X34" s="41">
        <f>IF(OR(W34&gt;0,AND(X$3&gt;=Assumptions!$E$232,X$3&gt;=Assumptions!$B$14,Revenue_Build!X10&gt;=Assumptions!$F$232*Assumptions!$B$55)),Assumptions!$D$232,0)</f>
        <v/>
      </c>
      <c r="Y34" s="41">
        <f>IF(OR(X34&gt;0,AND(Y$3&gt;=Assumptions!$E$232,Y$3&gt;=Assumptions!$B$14,Revenue_Build!Y10&gt;=Assumptions!$F$232*Assumptions!$B$55)),Assumptions!$D$232,0)</f>
        <v/>
      </c>
      <c r="Z34" s="41">
        <f>IF(OR(Y34&gt;0,AND(Z$3&gt;=Assumptions!$E$232,Z$3&gt;=Assumptions!$B$14,Revenue_Build!Z10&gt;=Assumptions!$F$232*Assumptions!$B$55)),Assumptions!$D$232,0)</f>
        <v/>
      </c>
      <c r="AA34" s="41">
        <f>IF(OR(Z34&gt;0,AND(AA$3&gt;=Assumptions!$E$232,AA$3&gt;=Assumptions!$B$14,Revenue_Build!AA10&gt;=Assumptions!$F$232*Assumptions!$B$55)),Assumptions!$D$232,0)</f>
        <v/>
      </c>
      <c r="AB34" s="41">
        <f>IF(OR(AA34&gt;0,AND(AB$3&gt;=Assumptions!$E$232,AB$3&gt;=Assumptions!$B$14,Revenue_Build!AB10&gt;=Assumptions!$F$232*Assumptions!$B$55)),Assumptions!$D$232,0)</f>
        <v/>
      </c>
      <c r="AC34" s="41">
        <f>IF(OR(AB34&gt;0,AND(AC$3&gt;=Assumptions!$E$232,AC$3&gt;=Assumptions!$B$14,Revenue_Build!AC10&gt;=Assumptions!$F$232*Assumptions!$B$55)),Assumptions!$D$232,0)</f>
        <v/>
      </c>
      <c r="AD34" s="41">
        <f>IF(OR(AC34&gt;0,AND(AD$3&gt;=Assumptions!$E$232,AD$3&gt;=Assumptions!$B$14,Revenue_Build!AD10&gt;=Assumptions!$F$232*Assumptions!$B$55)),Assumptions!$D$232,0)</f>
        <v/>
      </c>
      <c r="AE34" s="41">
        <f>IF(OR(AD34&gt;0,AND(AE$3&gt;=Assumptions!$E$232,AE$3&gt;=Assumptions!$B$14,Revenue_Build!AE10&gt;=Assumptions!$F$232*Assumptions!$B$55)),Assumptions!$D$232,0)</f>
        <v/>
      </c>
      <c r="AF34" s="41">
        <f>IF(OR(AE34&gt;0,AND(AF$3&gt;=Assumptions!$E$232,AF$3&gt;=Assumptions!$B$14,Revenue_Build!AF10&gt;=Assumptions!$F$232*Assumptions!$B$55)),Assumptions!$D$232,0)</f>
        <v/>
      </c>
      <c r="AG34" s="41">
        <f>IF(OR(AF34&gt;0,AND(AG$3&gt;=Assumptions!$E$232,AG$3&gt;=Assumptions!$B$14,Revenue_Build!AG10&gt;=Assumptions!$F$232*Assumptions!$B$55)),Assumptions!$D$232,0)</f>
        <v/>
      </c>
      <c r="AH34" s="41">
        <f>IF(OR(AG34&gt;0,AND(AH$3&gt;=Assumptions!$E$232,AH$3&gt;=Assumptions!$B$14,Revenue_Build!AH10&gt;=Assumptions!$F$232*Assumptions!$B$55)),Assumptions!$D$232,0)</f>
        <v/>
      </c>
      <c r="AI34" s="41">
        <f>IF(OR(AH34&gt;0,AND(AI$3&gt;=Assumptions!$E$232,AI$3&gt;=Assumptions!$B$14,Revenue_Build!AI10&gt;=Assumptions!$F$232*Assumptions!$B$55)),Assumptions!$D$232,0)</f>
        <v/>
      </c>
      <c r="AJ34" s="41">
        <f>IF(OR(AI34&gt;0,AND(AJ$3&gt;=Assumptions!$E$232,AJ$3&gt;=Assumptions!$B$14,Revenue_Build!AJ10&gt;=Assumptions!$F$232*Assumptions!$B$55)),Assumptions!$D$232,0)</f>
        <v/>
      </c>
      <c r="AK34" s="41">
        <f>IF(OR(AJ34&gt;0,AND(AK$3&gt;=Assumptions!$E$232,AK$3&gt;=Assumptions!$B$14,Revenue_Build!AK10&gt;=Assumptions!$F$232*Assumptions!$B$55)),Assumptions!$D$232,0)</f>
        <v/>
      </c>
      <c r="AL34" s="41">
        <f>IF(OR(AK34&gt;0,AND(AL$3&gt;=Assumptions!$E$232,AL$3&gt;=Assumptions!$B$14,Revenue_Build!AL10&gt;=Assumptions!$F$232*Assumptions!$B$55)),Assumptions!$D$232,0)</f>
        <v/>
      </c>
      <c r="AM34" s="41">
        <f>IF(OR(AL34&gt;0,AND(AM$3&gt;=Assumptions!$E$232,AM$3&gt;=Assumptions!$B$14,Revenue_Build!AM10&gt;=Assumptions!$F$232*Assumptions!$B$55)),Assumptions!$D$232,0)</f>
        <v/>
      </c>
      <c r="AN34" s="41">
        <f>IF(OR(AM34&gt;0,AND(AN$3&gt;=Assumptions!$E$232,AN$3&gt;=Assumptions!$B$14,Revenue_Build!AN10&gt;=Assumptions!$F$232*Assumptions!$B$55)),Assumptions!$D$232,0)</f>
        <v/>
      </c>
      <c r="AO34" s="41">
        <f>IF(OR(AN34&gt;0,AND(AO$3&gt;=Assumptions!$E$232,AO$3&gt;=Assumptions!$B$14,Revenue_Build!AO10&gt;=Assumptions!$F$232*Assumptions!$B$55)),Assumptions!$D$232,0)</f>
        <v/>
      </c>
      <c r="AP34" s="41">
        <f>IF(OR(AO34&gt;0,AND(AP$3&gt;=Assumptions!$E$232,AP$3&gt;=Assumptions!$B$14,Revenue_Build!AP10&gt;=Assumptions!$F$232*Assumptions!$B$55)),Assumptions!$D$232,0)</f>
        <v/>
      </c>
      <c r="AQ34" s="41">
        <f>IF(OR(AP34&gt;0,AND(AQ$3&gt;=Assumptions!$E$232,AQ$3&gt;=Assumptions!$B$14,Revenue_Build!AQ10&gt;=Assumptions!$F$232*Assumptions!$B$55)),Assumptions!$D$232,0)</f>
        <v/>
      </c>
      <c r="AR34" s="41">
        <f>IF(OR(AQ34&gt;0,AND(AR$3&gt;=Assumptions!$E$232,AR$3&gt;=Assumptions!$B$14,Revenue_Build!AR10&gt;=Assumptions!$F$232*Assumptions!$B$55)),Assumptions!$D$232,0)</f>
        <v/>
      </c>
      <c r="AS34" s="41">
        <f>IF(OR(AR34&gt;0,AND(AS$3&gt;=Assumptions!$E$232,AS$3&gt;=Assumptions!$B$14,Revenue_Build!AS10&gt;=Assumptions!$F$232*Assumptions!$B$55)),Assumptions!$D$232,0)</f>
        <v/>
      </c>
      <c r="AT34" s="41">
        <f>IF(OR(AS34&gt;0,AND(AT$3&gt;=Assumptions!$E$232,AT$3&gt;=Assumptions!$B$14,Revenue_Build!AT10&gt;=Assumptions!$F$232*Assumptions!$B$55)),Assumptions!$D$232,0)</f>
        <v/>
      </c>
      <c r="AU34" s="41">
        <f>IF(OR(AT34&gt;0,AND(AU$3&gt;=Assumptions!$E$232,AU$3&gt;=Assumptions!$B$14,Revenue_Build!AU10&gt;=Assumptions!$F$232*Assumptions!$B$55)),Assumptions!$D$232,0)</f>
        <v/>
      </c>
      <c r="AV34" s="41">
        <f>IF(OR(AU34&gt;0,AND(AV$3&gt;=Assumptions!$E$232,AV$3&gt;=Assumptions!$B$14,Revenue_Build!AV10&gt;=Assumptions!$F$232*Assumptions!$B$55)),Assumptions!$D$232,0)</f>
        <v/>
      </c>
      <c r="AW34" s="41">
        <f>IF(OR(AV34&gt;0,AND(AW$3&gt;=Assumptions!$E$232,AW$3&gt;=Assumptions!$B$14,Revenue_Build!AW10&gt;=Assumptions!$F$232*Assumptions!$B$55)),Assumptions!$D$232,0)</f>
        <v/>
      </c>
      <c r="AX34" s="41">
        <f>IF(OR(AW34&gt;0,AND(AX$3&gt;=Assumptions!$E$232,AX$3&gt;=Assumptions!$B$14,Revenue_Build!AX10&gt;=Assumptions!$F$232*Assumptions!$B$55)),Assumptions!$D$232,0)</f>
        <v/>
      </c>
      <c r="AY34" s="41">
        <f>IF(OR(AX34&gt;0,AND(AY$3&gt;=Assumptions!$E$232,AY$3&gt;=Assumptions!$B$14,Revenue_Build!AY10&gt;=Assumptions!$F$232*Assumptions!$B$55)),Assumptions!$D$232,0)</f>
        <v/>
      </c>
      <c r="AZ34" s="41">
        <f>IF(OR(AY34&gt;0,AND(AZ$3&gt;=Assumptions!$E$232,AZ$3&gt;=Assumptions!$B$14,Revenue_Build!AZ10&gt;=Assumptions!$F$232*Assumptions!$B$55)),Assumptions!$D$232,0)</f>
        <v/>
      </c>
      <c r="BA34" s="41">
        <f>IF(OR(AZ34&gt;0,AND(BA$3&gt;=Assumptions!$E$232,BA$3&gt;=Assumptions!$B$14,Revenue_Build!BA10&gt;=Assumptions!$F$232*Assumptions!$B$55)),Assumptions!$D$232,0)</f>
        <v/>
      </c>
      <c r="BB34" s="41">
        <f>IF(OR(BA34&gt;0,AND(BB$3&gt;=Assumptions!$E$232,BB$3&gt;=Assumptions!$B$14,Revenue_Build!BB10&gt;=Assumptions!$F$232*Assumptions!$B$55)),Assumptions!$D$232,0)</f>
        <v/>
      </c>
      <c r="BC34" s="41">
        <f>IF(OR(BB34&gt;0,AND(BC$3&gt;=Assumptions!$E$232,BC$3&gt;=Assumptions!$B$14,Revenue_Build!BC10&gt;=Assumptions!$F$232*Assumptions!$B$55)),Assumptions!$D$232,0)</f>
        <v/>
      </c>
      <c r="BD34" s="41">
        <f>IF(OR(BC34&gt;0,AND(BD$3&gt;=Assumptions!$E$232,BD$3&gt;=Assumptions!$B$14,Revenue_Build!BD10&gt;=Assumptions!$F$232*Assumptions!$B$55)),Assumptions!$D$232,0)</f>
        <v/>
      </c>
      <c r="BE34" s="41">
        <f>IF(OR(BD34&gt;0,AND(BE$3&gt;=Assumptions!$E$232,BE$3&gt;=Assumptions!$B$14,Revenue_Build!BE10&gt;=Assumptions!$F$232*Assumptions!$B$55)),Assumptions!$D$232,0)</f>
        <v/>
      </c>
      <c r="BF34" s="41">
        <f>IF(OR(BE34&gt;0,AND(BF$3&gt;=Assumptions!$E$232,BF$3&gt;=Assumptions!$B$14,Revenue_Build!BF10&gt;=Assumptions!$F$232*Assumptions!$B$55)),Assumptions!$D$232,0)</f>
        <v/>
      </c>
      <c r="BG34" s="41">
        <f>IF(OR(BF34&gt;0,AND(BG$3&gt;=Assumptions!$E$232,BG$3&gt;=Assumptions!$B$14,Revenue_Build!BG10&gt;=Assumptions!$F$232*Assumptions!$B$55)),Assumptions!$D$232,0)</f>
        <v/>
      </c>
      <c r="BH34" s="41">
        <f>IF(OR(BG34&gt;0,AND(BH$3&gt;=Assumptions!$E$232,BH$3&gt;=Assumptions!$B$14,Revenue_Build!BH10&gt;=Assumptions!$F$232*Assumptions!$B$55)),Assumptions!$D$232,0)</f>
        <v/>
      </c>
      <c r="BI34" s="41">
        <f>IF(OR(BH34&gt;0,AND(BI$3&gt;=Assumptions!$E$232,BI$3&gt;=Assumptions!$B$14,Revenue_Build!BI10&gt;=Assumptions!$F$232*Assumptions!$B$55)),Assumptions!$D$232,0)</f>
        <v/>
      </c>
      <c r="BJ34" s="41">
        <f>IF(OR(BI34&gt;0,AND(BJ$3&gt;=Assumptions!$E$232,BJ$3&gt;=Assumptions!$B$14,Revenue_Build!BJ10&gt;=Assumptions!$F$232*Assumptions!$B$55)),Assumptions!$D$232,0)</f>
        <v/>
      </c>
    </row>
    <row r="35">
      <c r="A35" s="4" t="inlineStr">
        <is>
          <t>Partnerships manager #2</t>
        </is>
      </c>
      <c r="B35" s="17" t="inlineStr">
        <is>
          <t>FTE</t>
        </is>
      </c>
      <c r="C35" s="41">
        <f>IF(AND(C$3&gt;=Assumptions!$E$233,C$3&gt;=Assumptions!$B$14,Revenue_Build!C10&gt;=Assumptions!$F$233*Assumptions!$B$55),Assumptions!$D$233,0)</f>
        <v/>
      </c>
      <c r="D35" s="41">
        <f>IF(OR(C35&gt;0,AND(D$3&gt;=Assumptions!$E$233,D$3&gt;=Assumptions!$B$14,Revenue_Build!D10&gt;=Assumptions!$F$233*Assumptions!$B$55)),Assumptions!$D$233,0)</f>
        <v/>
      </c>
      <c r="E35" s="41">
        <f>IF(OR(D35&gt;0,AND(E$3&gt;=Assumptions!$E$233,E$3&gt;=Assumptions!$B$14,Revenue_Build!E10&gt;=Assumptions!$F$233*Assumptions!$B$55)),Assumptions!$D$233,0)</f>
        <v/>
      </c>
      <c r="F35" s="41">
        <f>IF(OR(E35&gt;0,AND(F$3&gt;=Assumptions!$E$233,F$3&gt;=Assumptions!$B$14,Revenue_Build!F10&gt;=Assumptions!$F$233*Assumptions!$B$55)),Assumptions!$D$233,0)</f>
        <v/>
      </c>
      <c r="G35" s="41">
        <f>IF(OR(F35&gt;0,AND(G$3&gt;=Assumptions!$E$233,G$3&gt;=Assumptions!$B$14,Revenue_Build!G10&gt;=Assumptions!$F$233*Assumptions!$B$55)),Assumptions!$D$233,0)</f>
        <v/>
      </c>
      <c r="H35" s="41">
        <f>IF(OR(G35&gt;0,AND(H$3&gt;=Assumptions!$E$233,H$3&gt;=Assumptions!$B$14,Revenue_Build!H10&gt;=Assumptions!$F$233*Assumptions!$B$55)),Assumptions!$D$233,0)</f>
        <v/>
      </c>
      <c r="I35" s="41">
        <f>IF(OR(H35&gt;0,AND(I$3&gt;=Assumptions!$E$233,I$3&gt;=Assumptions!$B$14,Revenue_Build!I10&gt;=Assumptions!$F$233*Assumptions!$B$55)),Assumptions!$D$233,0)</f>
        <v/>
      </c>
      <c r="J35" s="41">
        <f>IF(OR(I35&gt;0,AND(J$3&gt;=Assumptions!$E$233,J$3&gt;=Assumptions!$B$14,Revenue_Build!J10&gt;=Assumptions!$F$233*Assumptions!$B$55)),Assumptions!$D$233,0)</f>
        <v/>
      </c>
      <c r="K35" s="41">
        <f>IF(OR(J35&gt;0,AND(K$3&gt;=Assumptions!$E$233,K$3&gt;=Assumptions!$B$14,Revenue_Build!K10&gt;=Assumptions!$F$233*Assumptions!$B$55)),Assumptions!$D$233,0)</f>
        <v/>
      </c>
      <c r="L35" s="41">
        <f>IF(OR(K35&gt;0,AND(L$3&gt;=Assumptions!$E$233,L$3&gt;=Assumptions!$B$14,Revenue_Build!L10&gt;=Assumptions!$F$233*Assumptions!$B$55)),Assumptions!$D$233,0)</f>
        <v/>
      </c>
      <c r="M35" s="41">
        <f>IF(OR(L35&gt;0,AND(M$3&gt;=Assumptions!$E$233,M$3&gt;=Assumptions!$B$14,Revenue_Build!M10&gt;=Assumptions!$F$233*Assumptions!$B$55)),Assumptions!$D$233,0)</f>
        <v/>
      </c>
      <c r="N35" s="41">
        <f>IF(OR(M35&gt;0,AND(N$3&gt;=Assumptions!$E$233,N$3&gt;=Assumptions!$B$14,Revenue_Build!N10&gt;=Assumptions!$F$233*Assumptions!$B$55)),Assumptions!$D$233,0)</f>
        <v/>
      </c>
      <c r="O35" s="41">
        <f>IF(OR(N35&gt;0,AND(O$3&gt;=Assumptions!$E$233,O$3&gt;=Assumptions!$B$14,Revenue_Build!O10&gt;=Assumptions!$F$233*Assumptions!$B$55)),Assumptions!$D$233,0)</f>
        <v/>
      </c>
      <c r="P35" s="41">
        <f>IF(OR(O35&gt;0,AND(P$3&gt;=Assumptions!$E$233,P$3&gt;=Assumptions!$B$14,Revenue_Build!P10&gt;=Assumptions!$F$233*Assumptions!$B$55)),Assumptions!$D$233,0)</f>
        <v/>
      </c>
      <c r="Q35" s="41">
        <f>IF(OR(P35&gt;0,AND(Q$3&gt;=Assumptions!$E$233,Q$3&gt;=Assumptions!$B$14,Revenue_Build!Q10&gt;=Assumptions!$F$233*Assumptions!$B$55)),Assumptions!$D$233,0)</f>
        <v/>
      </c>
      <c r="R35" s="41">
        <f>IF(OR(Q35&gt;0,AND(R$3&gt;=Assumptions!$E$233,R$3&gt;=Assumptions!$B$14,Revenue_Build!R10&gt;=Assumptions!$F$233*Assumptions!$B$55)),Assumptions!$D$233,0)</f>
        <v/>
      </c>
      <c r="S35" s="41">
        <f>IF(OR(R35&gt;0,AND(S$3&gt;=Assumptions!$E$233,S$3&gt;=Assumptions!$B$14,Revenue_Build!S10&gt;=Assumptions!$F$233*Assumptions!$B$55)),Assumptions!$D$233,0)</f>
        <v/>
      </c>
      <c r="T35" s="41">
        <f>IF(OR(S35&gt;0,AND(T$3&gt;=Assumptions!$E$233,T$3&gt;=Assumptions!$B$14,Revenue_Build!T10&gt;=Assumptions!$F$233*Assumptions!$B$55)),Assumptions!$D$233,0)</f>
        <v/>
      </c>
      <c r="U35" s="41">
        <f>IF(OR(T35&gt;0,AND(U$3&gt;=Assumptions!$E$233,U$3&gt;=Assumptions!$B$14,Revenue_Build!U10&gt;=Assumptions!$F$233*Assumptions!$B$55)),Assumptions!$D$233,0)</f>
        <v/>
      </c>
      <c r="V35" s="41">
        <f>IF(OR(U35&gt;0,AND(V$3&gt;=Assumptions!$E$233,V$3&gt;=Assumptions!$B$14,Revenue_Build!V10&gt;=Assumptions!$F$233*Assumptions!$B$55)),Assumptions!$D$233,0)</f>
        <v/>
      </c>
      <c r="W35" s="41">
        <f>IF(OR(V35&gt;0,AND(W$3&gt;=Assumptions!$E$233,W$3&gt;=Assumptions!$B$14,Revenue_Build!W10&gt;=Assumptions!$F$233*Assumptions!$B$55)),Assumptions!$D$233,0)</f>
        <v/>
      </c>
      <c r="X35" s="41">
        <f>IF(OR(W35&gt;0,AND(X$3&gt;=Assumptions!$E$233,X$3&gt;=Assumptions!$B$14,Revenue_Build!X10&gt;=Assumptions!$F$233*Assumptions!$B$55)),Assumptions!$D$233,0)</f>
        <v/>
      </c>
      <c r="Y35" s="41">
        <f>IF(OR(X35&gt;0,AND(Y$3&gt;=Assumptions!$E$233,Y$3&gt;=Assumptions!$B$14,Revenue_Build!Y10&gt;=Assumptions!$F$233*Assumptions!$B$55)),Assumptions!$D$233,0)</f>
        <v/>
      </c>
      <c r="Z35" s="41">
        <f>IF(OR(Y35&gt;0,AND(Z$3&gt;=Assumptions!$E$233,Z$3&gt;=Assumptions!$B$14,Revenue_Build!Z10&gt;=Assumptions!$F$233*Assumptions!$B$55)),Assumptions!$D$233,0)</f>
        <v/>
      </c>
      <c r="AA35" s="41">
        <f>IF(OR(Z35&gt;0,AND(AA$3&gt;=Assumptions!$E$233,AA$3&gt;=Assumptions!$B$14,Revenue_Build!AA10&gt;=Assumptions!$F$233*Assumptions!$B$55)),Assumptions!$D$233,0)</f>
        <v/>
      </c>
      <c r="AB35" s="41">
        <f>IF(OR(AA35&gt;0,AND(AB$3&gt;=Assumptions!$E$233,AB$3&gt;=Assumptions!$B$14,Revenue_Build!AB10&gt;=Assumptions!$F$233*Assumptions!$B$55)),Assumptions!$D$233,0)</f>
        <v/>
      </c>
      <c r="AC35" s="41">
        <f>IF(OR(AB35&gt;0,AND(AC$3&gt;=Assumptions!$E$233,AC$3&gt;=Assumptions!$B$14,Revenue_Build!AC10&gt;=Assumptions!$F$233*Assumptions!$B$55)),Assumptions!$D$233,0)</f>
        <v/>
      </c>
      <c r="AD35" s="41">
        <f>IF(OR(AC35&gt;0,AND(AD$3&gt;=Assumptions!$E$233,AD$3&gt;=Assumptions!$B$14,Revenue_Build!AD10&gt;=Assumptions!$F$233*Assumptions!$B$55)),Assumptions!$D$233,0)</f>
        <v/>
      </c>
      <c r="AE35" s="41">
        <f>IF(OR(AD35&gt;0,AND(AE$3&gt;=Assumptions!$E$233,AE$3&gt;=Assumptions!$B$14,Revenue_Build!AE10&gt;=Assumptions!$F$233*Assumptions!$B$55)),Assumptions!$D$233,0)</f>
        <v/>
      </c>
      <c r="AF35" s="41">
        <f>IF(OR(AE35&gt;0,AND(AF$3&gt;=Assumptions!$E$233,AF$3&gt;=Assumptions!$B$14,Revenue_Build!AF10&gt;=Assumptions!$F$233*Assumptions!$B$55)),Assumptions!$D$233,0)</f>
        <v/>
      </c>
      <c r="AG35" s="41">
        <f>IF(OR(AF35&gt;0,AND(AG$3&gt;=Assumptions!$E$233,AG$3&gt;=Assumptions!$B$14,Revenue_Build!AG10&gt;=Assumptions!$F$233*Assumptions!$B$55)),Assumptions!$D$233,0)</f>
        <v/>
      </c>
      <c r="AH35" s="41">
        <f>IF(OR(AG35&gt;0,AND(AH$3&gt;=Assumptions!$E$233,AH$3&gt;=Assumptions!$B$14,Revenue_Build!AH10&gt;=Assumptions!$F$233*Assumptions!$B$55)),Assumptions!$D$233,0)</f>
        <v/>
      </c>
      <c r="AI35" s="41">
        <f>IF(OR(AH35&gt;0,AND(AI$3&gt;=Assumptions!$E$233,AI$3&gt;=Assumptions!$B$14,Revenue_Build!AI10&gt;=Assumptions!$F$233*Assumptions!$B$55)),Assumptions!$D$233,0)</f>
        <v/>
      </c>
      <c r="AJ35" s="41">
        <f>IF(OR(AI35&gt;0,AND(AJ$3&gt;=Assumptions!$E$233,AJ$3&gt;=Assumptions!$B$14,Revenue_Build!AJ10&gt;=Assumptions!$F$233*Assumptions!$B$55)),Assumptions!$D$233,0)</f>
        <v/>
      </c>
      <c r="AK35" s="41">
        <f>IF(OR(AJ35&gt;0,AND(AK$3&gt;=Assumptions!$E$233,AK$3&gt;=Assumptions!$B$14,Revenue_Build!AK10&gt;=Assumptions!$F$233*Assumptions!$B$55)),Assumptions!$D$233,0)</f>
        <v/>
      </c>
      <c r="AL35" s="41">
        <f>IF(OR(AK35&gt;0,AND(AL$3&gt;=Assumptions!$E$233,AL$3&gt;=Assumptions!$B$14,Revenue_Build!AL10&gt;=Assumptions!$F$233*Assumptions!$B$55)),Assumptions!$D$233,0)</f>
        <v/>
      </c>
      <c r="AM35" s="41">
        <f>IF(OR(AL35&gt;0,AND(AM$3&gt;=Assumptions!$E$233,AM$3&gt;=Assumptions!$B$14,Revenue_Build!AM10&gt;=Assumptions!$F$233*Assumptions!$B$55)),Assumptions!$D$233,0)</f>
        <v/>
      </c>
      <c r="AN35" s="41">
        <f>IF(OR(AM35&gt;0,AND(AN$3&gt;=Assumptions!$E$233,AN$3&gt;=Assumptions!$B$14,Revenue_Build!AN10&gt;=Assumptions!$F$233*Assumptions!$B$55)),Assumptions!$D$233,0)</f>
        <v/>
      </c>
      <c r="AO35" s="41">
        <f>IF(OR(AN35&gt;0,AND(AO$3&gt;=Assumptions!$E$233,AO$3&gt;=Assumptions!$B$14,Revenue_Build!AO10&gt;=Assumptions!$F$233*Assumptions!$B$55)),Assumptions!$D$233,0)</f>
        <v/>
      </c>
      <c r="AP35" s="41">
        <f>IF(OR(AO35&gt;0,AND(AP$3&gt;=Assumptions!$E$233,AP$3&gt;=Assumptions!$B$14,Revenue_Build!AP10&gt;=Assumptions!$F$233*Assumptions!$B$55)),Assumptions!$D$233,0)</f>
        <v/>
      </c>
      <c r="AQ35" s="41">
        <f>IF(OR(AP35&gt;0,AND(AQ$3&gt;=Assumptions!$E$233,AQ$3&gt;=Assumptions!$B$14,Revenue_Build!AQ10&gt;=Assumptions!$F$233*Assumptions!$B$55)),Assumptions!$D$233,0)</f>
        <v/>
      </c>
      <c r="AR35" s="41">
        <f>IF(OR(AQ35&gt;0,AND(AR$3&gt;=Assumptions!$E$233,AR$3&gt;=Assumptions!$B$14,Revenue_Build!AR10&gt;=Assumptions!$F$233*Assumptions!$B$55)),Assumptions!$D$233,0)</f>
        <v/>
      </c>
      <c r="AS35" s="41">
        <f>IF(OR(AR35&gt;0,AND(AS$3&gt;=Assumptions!$E$233,AS$3&gt;=Assumptions!$B$14,Revenue_Build!AS10&gt;=Assumptions!$F$233*Assumptions!$B$55)),Assumptions!$D$233,0)</f>
        <v/>
      </c>
      <c r="AT35" s="41">
        <f>IF(OR(AS35&gt;0,AND(AT$3&gt;=Assumptions!$E$233,AT$3&gt;=Assumptions!$B$14,Revenue_Build!AT10&gt;=Assumptions!$F$233*Assumptions!$B$55)),Assumptions!$D$233,0)</f>
        <v/>
      </c>
      <c r="AU35" s="41">
        <f>IF(OR(AT35&gt;0,AND(AU$3&gt;=Assumptions!$E$233,AU$3&gt;=Assumptions!$B$14,Revenue_Build!AU10&gt;=Assumptions!$F$233*Assumptions!$B$55)),Assumptions!$D$233,0)</f>
        <v/>
      </c>
      <c r="AV35" s="41">
        <f>IF(OR(AU35&gt;0,AND(AV$3&gt;=Assumptions!$E$233,AV$3&gt;=Assumptions!$B$14,Revenue_Build!AV10&gt;=Assumptions!$F$233*Assumptions!$B$55)),Assumptions!$D$233,0)</f>
        <v/>
      </c>
      <c r="AW35" s="41">
        <f>IF(OR(AV35&gt;0,AND(AW$3&gt;=Assumptions!$E$233,AW$3&gt;=Assumptions!$B$14,Revenue_Build!AW10&gt;=Assumptions!$F$233*Assumptions!$B$55)),Assumptions!$D$233,0)</f>
        <v/>
      </c>
      <c r="AX35" s="41">
        <f>IF(OR(AW35&gt;0,AND(AX$3&gt;=Assumptions!$E$233,AX$3&gt;=Assumptions!$B$14,Revenue_Build!AX10&gt;=Assumptions!$F$233*Assumptions!$B$55)),Assumptions!$D$233,0)</f>
        <v/>
      </c>
      <c r="AY35" s="41">
        <f>IF(OR(AX35&gt;0,AND(AY$3&gt;=Assumptions!$E$233,AY$3&gt;=Assumptions!$B$14,Revenue_Build!AY10&gt;=Assumptions!$F$233*Assumptions!$B$55)),Assumptions!$D$233,0)</f>
        <v/>
      </c>
      <c r="AZ35" s="41">
        <f>IF(OR(AY35&gt;0,AND(AZ$3&gt;=Assumptions!$E$233,AZ$3&gt;=Assumptions!$B$14,Revenue_Build!AZ10&gt;=Assumptions!$F$233*Assumptions!$B$55)),Assumptions!$D$233,0)</f>
        <v/>
      </c>
      <c r="BA35" s="41">
        <f>IF(OR(AZ35&gt;0,AND(BA$3&gt;=Assumptions!$E$233,BA$3&gt;=Assumptions!$B$14,Revenue_Build!BA10&gt;=Assumptions!$F$233*Assumptions!$B$55)),Assumptions!$D$233,0)</f>
        <v/>
      </c>
      <c r="BB35" s="41">
        <f>IF(OR(BA35&gt;0,AND(BB$3&gt;=Assumptions!$E$233,BB$3&gt;=Assumptions!$B$14,Revenue_Build!BB10&gt;=Assumptions!$F$233*Assumptions!$B$55)),Assumptions!$D$233,0)</f>
        <v/>
      </c>
      <c r="BC35" s="41">
        <f>IF(OR(BB35&gt;0,AND(BC$3&gt;=Assumptions!$E$233,BC$3&gt;=Assumptions!$B$14,Revenue_Build!BC10&gt;=Assumptions!$F$233*Assumptions!$B$55)),Assumptions!$D$233,0)</f>
        <v/>
      </c>
      <c r="BD35" s="41">
        <f>IF(OR(BC35&gt;0,AND(BD$3&gt;=Assumptions!$E$233,BD$3&gt;=Assumptions!$B$14,Revenue_Build!BD10&gt;=Assumptions!$F$233*Assumptions!$B$55)),Assumptions!$D$233,0)</f>
        <v/>
      </c>
      <c r="BE35" s="41">
        <f>IF(OR(BD35&gt;0,AND(BE$3&gt;=Assumptions!$E$233,BE$3&gt;=Assumptions!$B$14,Revenue_Build!BE10&gt;=Assumptions!$F$233*Assumptions!$B$55)),Assumptions!$D$233,0)</f>
        <v/>
      </c>
      <c r="BF35" s="41">
        <f>IF(OR(BE35&gt;0,AND(BF$3&gt;=Assumptions!$E$233,BF$3&gt;=Assumptions!$B$14,Revenue_Build!BF10&gt;=Assumptions!$F$233*Assumptions!$B$55)),Assumptions!$D$233,0)</f>
        <v/>
      </c>
      <c r="BG35" s="41">
        <f>IF(OR(BF35&gt;0,AND(BG$3&gt;=Assumptions!$E$233,BG$3&gt;=Assumptions!$B$14,Revenue_Build!BG10&gt;=Assumptions!$F$233*Assumptions!$B$55)),Assumptions!$D$233,0)</f>
        <v/>
      </c>
      <c r="BH35" s="41">
        <f>IF(OR(BG35&gt;0,AND(BH$3&gt;=Assumptions!$E$233,BH$3&gt;=Assumptions!$B$14,Revenue_Build!BH10&gt;=Assumptions!$F$233*Assumptions!$B$55)),Assumptions!$D$233,0)</f>
        <v/>
      </c>
      <c r="BI35" s="41">
        <f>IF(OR(BH35&gt;0,AND(BI$3&gt;=Assumptions!$E$233,BI$3&gt;=Assumptions!$B$14,Revenue_Build!BI10&gt;=Assumptions!$F$233*Assumptions!$B$55)),Assumptions!$D$233,0)</f>
        <v/>
      </c>
      <c r="BJ35" s="41">
        <f>IF(OR(BI35&gt;0,AND(BJ$3&gt;=Assumptions!$E$233,BJ$3&gt;=Assumptions!$B$14,Revenue_Build!BJ10&gt;=Assumptions!$F$233*Assumptions!$B$55)),Assumptions!$D$233,0)</f>
        <v/>
      </c>
    </row>
    <row r="36">
      <c r="A36" s="4" t="inlineStr">
        <is>
          <t>Partnerships managers (scale-up I)</t>
        </is>
      </c>
      <c r="B36" s="17" t="inlineStr">
        <is>
          <t>FTE</t>
        </is>
      </c>
      <c r="C36" s="41">
        <f>IF(AND(C$3&gt;=Assumptions!$E$234,C$3&gt;=Assumptions!$B$14,Revenue_Build!C10&gt;=Assumptions!$F$234*Assumptions!$B$55),Assumptions!$D$234,0)</f>
        <v/>
      </c>
      <c r="D36" s="41">
        <f>IF(OR(C36&gt;0,AND(D$3&gt;=Assumptions!$E$234,D$3&gt;=Assumptions!$B$14,Revenue_Build!D10&gt;=Assumptions!$F$234*Assumptions!$B$55)),Assumptions!$D$234,0)</f>
        <v/>
      </c>
      <c r="E36" s="41">
        <f>IF(OR(D36&gt;0,AND(E$3&gt;=Assumptions!$E$234,E$3&gt;=Assumptions!$B$14,Revenue_Build!E10&gt;=Assumptions!$F$234*Assumptions!$B$55)),Assumptions!$D$234,0)</f>
        <v/>
      </c>
      <c r="F36" s="41">
        <f>IF(OR(E36&gt;0,AND(F$3&gt;=Assumptions!$E$234,F$3&gt;=Assumptions!$B$14,Revenue_Build!F10&gt;=Assumptions!$F$234*Assumptions!$B$55)),Assumptions!$D$234,0)</f>
        <v/>
      </c>
      <c r="G36" s="41">
        <f>IF(OR(F36&gt;0,AND(G$3&gt;=Assumptions!$E$234,G$3&gt;=Assumptions!$B$14,Revenue_Build!G10&gt;=Assumptions!$F$234*Assumptions!$B$55)),Assumptions!$D$234,0)</f>
        <v/>
      </c>
      <c r="H36" s="41">
        <f>IF(OR(G36&gt;0,AND(H$3&gt;=Assumptions!$E$234,H$3&gt;=Assumptions!$B$14,Revenue_Build!H10&gt;=Assumptions!$F$234*Assumptions!$B$55)),Assumptions!$D$234,0)</f>
        <v/>
      </c>
      <c r="I36" s="41">
        <f>IF(OR(H36&gt;0,AND(I$3&gt;=Assumptions!$E$234,I$3&gt;=Assumptions!$B$14,Revenue_Build!I10&gt;=Assumptions!$F$234*Assumptions!$B$55)),Assumptions!$D$234,0)</f>
        <v/>
      </c>
      <c r="J36" s="41">
        <f>IF(OR(I36&gt;0,AND(J$3&gt;=Assumptions!$E$234,J$3&gt;=Assumptions!$B$14,Revenue_Build!J10&gt;=Assumptions!$F$234*Assumptions!$B$55)),Assumptions!$D$234,0)</f>
        <v/>
      </c>
      <c r="K36" s="41">
        <f>IF(OR(J36&gt;0,AND(K$3&gt;=Assumptions!$E$234,K$3&gt;=Assumptions!$B$14,Revenue_Build!K10&gt;=Assumptions!$F$234*Assumptions!$B$55)),Assumptions!$D$234,0)</f>
        <v/>
      </c>
      <c r="L36" s="41">
        <f>IF(OR(K36&gt;0,AND(L$3&gt;=Assumptions!$E$234,L$3&gt;=Assumptions!$B$14,Revenue_Build!L10&gt;=Assumptions!$F$234*Assumptions!$B$55)),Assumptions!$D$234,0)</f>
        <v/>
      </c>
      <c r="M36" s="41">
        <f>IF(OR(L36&gt;0,AND(M$3&gt;=Assumptions!$E$234,M$3&gt;=Assumptions!$B$14,Revenue_Build!M10&gt;=Assumptions!$F$234*Assumptions!$B$55)),Assumptions!$D$234,0)</f>
        <v/>
      </c>
      <c r="N36" s="41">
        <f>IF(OR(M36&gt;0,AND(N$3&gt;=Assumptions!$E$234,N$3&gt;=Assumptions!$B$14,Revenue_Build!N10&gt;=Assumptions!$F$234*Assumptions!$B$55)),Assumptions!$D$234,0)</f>
        <v/>
      </c>
      <c r="O36" s="41">
        <f>IF(OR(N36&gt;0,AND(O$3&gt;=Assumptions!$E$234,O$3&gt;=Assumptions!$B$14,Revenue_Build!O10&gt;=Assumptions!$F$234*Assumptions!$B$55)),Assumptions!$D$234,0)</f>
        <v/>
      </c>
      <c r="P36" s="41">
        <f>IF(OR(O36&gt;0,AND(P$3&gt;=Assumptions!$E$234,P$3&gt;=Assumptions!$B$14,Revenue_Build!P10&gt;=Assumptions!$F$234*Assumptions!$B$55)),Assumptions!$D$234,0)</f>
        <v/>
      </c>
      <c r="Q36" s="41">
        <f>IF(OR(P36&gt;0,AND(Q$3&gt;=Assumptions!$E$234,Q$3&gt;=Assumptions!$B$14,Revenue_Build!Q10&gt;=Assumptions!$F$234*Assumptions!$B$55)),Assumptions!$D$234,0)</f>
        <v/>
      </c>
      <c r="R36" s="41">
        <f>IF(OR(Q36&gt;0,AND(R$3&gt;=Assumptions!$E$234,R$3&gt;=Assumptions!$B$14,Revenue_Build!R10&gt;=Assumptions!$F$234*Assumptions!$B$55)),Assumptions!$D$234,0)</f>
        <v/>
      </c>
      <c r="S36" s="41">
        <f>IF(OR(R36&gt;0,AND(S$3&gt;=Assumptions!$E$234,S$3&gt;=Assumptions!$B$14,Revenue_Build!S10&gt;=Assumptions!$F$234*Assumptions!$B$55)),Assumptions!$D$234,0)</f>
        <v/>
      </c>
      <c r="T36" s="41">
        <f>IF(OR(S36&gt;0,AND(T$3&gt;=Assumptions!$E$234,T$3&gt;=Assumptions!$B$14,Revenue_Build!T10&gt;=Assumptions!$F$234*Assumptions!$B$55)),Assumptions!$D$234,0)</f>
        <v/>
      </c>
      <c r="U36" s="41">
        <f>IF(OR(T36&gt;0,AND(U$3&gt;=Assumptions!$E$234,U$3&gt;=Assumptions!$B$14,Revenue_Build!U10&gt;=Assumptions!$F$234*Assumptions!$B$55)),Assumptions!$D$234,0)</f>
        <v/>
      </c>
      <c r="V36" s="41">
        <f>IF(OR(U36&gt;0,AND(V$3&gt;=Assumptions!$E$234,V$3&gt;=Assumptions!$B$14,Revenue_Build!V10&gt;=Assumptions!$F$234*Assumptions!$B$55)),Assumptions!$D$234,0)</f>
        <v/>
      </c>
      <c r="W36" s="41">
        <f>IF(OR(V36&gt;0,AND(W$3&gt;=Assumptions!$E$234,W$3&gt;=Assumptions!$B$14,Revenue_Build!W10&gt;=Assumptions!$F$234*Assumptions!$B$55)),Assumptions!$D$234,0)</f>
        <v/>
      </c>
      <c r="X36" s="41">
        <f>IF(OR(W36&gt;0,AND(X$3&gt;=Assumptions!$E$234,X$3&gt;=Assumptions!$B$14,Revenue_Build!X10&gt;=Assumptions!$F$234*Assumptions!$B$55)),Assumptions!$D$234,0)</f>
        <v/>
      </c>
      <c r="Y36" s="41">
        <f>IF(OR(X36&gt;0,AND(Y$3&gt;=Assumptions!$E$234,Y$3&gt;=Assumptions!$B$14,Revenue_Build!Y10&gt;=Assumptions!$F$234*Assumptions!$B$55)),Assumptions!$D$234,0)</f>
        <v/>
      </c>
      <c r="Z36" s="41">
        <f>IF(OR(Y36&gt;0,AND(Z$3&gt;=Assumptions!$E$234,Z$3&gt;=Assumptions!$B$14,Revenue_Build!Z10&gt;=Assumptions!$F$234*Assumptions!$B$55)),Assumptions!$D$234,0)</f>
        <v/>
      </c>
      <c r="AA36" s="41">
        <f>IF(OR(Z36&gt;0,AND(AA$3&gt;=Assumptions!$E$234,AA$3&gt;=Assumptions!$B$14,Revenue_Build!AA10&gt;=Assumptions!$F$234*Assumptions!$B$55)),Assumptions!$D$234,0)</f>
        <v/>
      </c>
      <c r="AB36" s="41">
        <f>IF(OR(AA36&gt;0,AND(AB$3&gt;=Assumptions!$E$234,AB$3&gt;=Assumptions!$B$14,Revenue_Build!AB10&gt;=Assumptions!$F$234*Assumptions!$B$55)),Assumptions!$D$234,0)</f>
        <v/>
      </c>
      <c r="AC36" s="41">
        <f>IF(OR(AB36&gt;0,AND(AC$3&gt;=Assumptions!$E$234,AC$3&gt;=Assumptions!$B$14,Revenue_Build!AC10&gt;=Assumptions!$F$234*Assumptions!$B$55)),Assumptions!$D$234,0)</f>
        <v/>
      </c>
      <c r="AD36" s="41">
        <f>IF(OR(AC36&gt;0,AND(AD$3&gt;=Assumptions!$E$234,AD$3&gt;=Assumptions!$B$14,Revenue_Build!AD10&gt;=Assumptions!$F$234*Assumptions!$B$55)),Assumptions!$D$234,0)</f>
        <v/>
      </c>
      <c r="AE36" s="41">
        <f>IF(OR(AD36&gt;0,AND(AE$3&gt;=Assumptions!$E$234,AE$3&gt;=Assumptions!$B$14,Revenue_Build!AE10&gt;=Assumptions!$F$234*Assumptions!$B$55)),Assumptions!$D$234,0)</f>
        <v/>
      </c>
      <c r="AF36" s="41">
        <f>IF(OR(AE36&gt;0,AND(AF$3&gt;=Assumptions!$E$234,AF$3&gt;=Assumptions!$B$14,Revenue_Build!AF10&gt;=Assumptions!$F$234*Assumptions!$B$55)),Assumptions!$D$234,0)</f>
        <v/>
      </c>
      <c r="AG36" s="41">
        <f>IF(OR(AF36&gt;0,AND(AG$3&gt;=Assumptions!$E$234,AG$3&gt;=Assumptions!$B$14,Revenue_Build!AG10&gt;=Assumptions!$F$234*Assumptions!$B$55)),Assumptions!$D$234,0)</f>
        <v/>
      </c>
      <c r="AH36" s="41">
        <f>IF(OR(AG36&gt;0,AND(AH$3&gt;=Assumptions!$E$234,AH$3&gt;=Assumptions!$B$14,Revenue_Build!AH10&gt;=Assumptions!$F$234*Assumptions!$B$55)),Assumptions!$D$234,0)</f>
        <v/>
      </c>
      <c r="AI36" s="41">
        <f>IF(OR(AH36&gt;0,AND(AI$3&gt;=Assumptions!$E$234,AI$3&gt;=Assumptions!$B$14,Revenue_Build!AI10&gt;=Assumptions!$F$234*Assumptions!$B$55)),Assumptions!$D$234,0)</f>
        <v/>
      </c>
      <c r="AJ36" s="41">
        <f>IF(OR(AI36&gt;0,AND(AJ$3&gt;=Assumptions!$E$234,AJ$3&gt;=Assumptions!$B$14,Revenue_Build!AJ10&gt;=Assumptions!$F$234*Assumptions!$B$55)),Assumptions!$D$234,0)</f>
        <v/>
      </c>
      <c r="AK36" s="41">
        <f>IF(OR(AJ36&gt;0,AND(AK$3&gt;=Assumptions!$E$234,AK$3&gt;=Assumptions!$B$14,Revenue_Build!AK10&gt;=Assumptions!$F$234*Assumptions!$B$55)),Assumptions!$D$234,0)</f>
        <v/>
      </c>
      <c r="AL36" s="41">
        <f>IF(OR(AK36&gt;0,AND(AL$3&gt;=Assumptions!$E$234,AL$3&gt;=Assumptions!$B$14,Revenue_Build!AL10&gt;=Assumptions!$F$234*Assumptions!$B$55)),Assumptions!$D$234,0)</f>
        <v/>
      </c>
      <c r="AM36" s="41">
        <f>IF(OR(AL36&gt;0,AND(AM$3&gt;=Assumptions!$E$234,AM$3&gt;=Assumptions!$B$14,Revenue_Build!AM10&gt;=Assumptions!$F$234*Assumptions!$B$55)),Assumptions!$D$234,0)</f>
        <v/>
      </c>
      <c r="AN36" s="41">
        <f>IF(OR(AM36&gt;0,AND(AN$3&gt;=Assumptions!$E$234,AN$3&gt;=Assumptions!$B$14,Revenue_Build!AN10&gt;=Assumptions!$F$234*Assumptions!$B$55)),Assumptions!$D$234,0)</f>
        <v/>
      </c>
      <c r="AO36" s="41">
        <f>IF(OR(AN36&gt;0,AND(AO$3&gt;=Assumptions!$E$234,AO$3&gt;=Assumptions!$B$14,Revenue_Build!AO10&gt;=Assumptions!$F$234*Assumptions!$B$55)),Assumptions!$D$234,0)</f>
        <v/>
      </c>
      <c r="AP36" s="41">
        <f>IF(OR(AO36&gt;0,AND(AP$3&gt;=Assumptions!$E$234,AP$3&gt;=Assumptions!$B$14,Revenue_Build!AP10&gt;=Assumptions!$F$234*Assumptions!$B$55)),Assumptions!$D$234,0)</f>
        <v/>
      </c>
      <c r="AQ36" s="41">
        <f>IF(OR(AP36&gt;0,AND(AQ$3&gt;=Assumptions!$E$234,AQ$3&gt;=Assumptions!$B$14,Revenue_Build!AQ10&gt;=Assumptions!$F$234*Assumptions!$B$55)),Assumptions!$D$234,0)</f>
        <v/>
      </c>
      <c r="AR36" s="41">
        <f>IF(OR(AQ36&gt;0,AND(AR$3&gt;=Assumptions!$E$234,AR$3&gt;=Assumptions!$B$14,Revenue_Build!AR10&gt;=Assumptions!$F$234*Assumptions!$B$55)),Assumptions!$D$234,0)</f>
        <v/>
      </c>
      <c r="AS36" s="41">
        <f>IF(OR(AR36&gt;0,AND(AS$3&gt;=Assumptions!$E$234,AS$3&gt;=Assumptions!$B$14,Revenue_Build!AS10&gt;=Assumptions!$F$234*Assumptions!$B$55)),Assumptions!$D$234,0)</f>
        <v/>
      </c>
      <c r="AT36" s="41">
        <f>IF(OR(AS36&gt;0,AND(AT$3&gt;=Assumptions!$E$234,AT$3&gt;=Assumptions!$B$14,Revenue_Build!AT10&gt;=Assumptions!$F$234*Assumptions!$B$55)),Assumptions!$D$234,0)</f>
        <v/>
      </c>
      <c r="AU36" s="41">
        <f>IF(OR(AT36&gt;0,AND(AU$3&gt;=Assumptions!$E$234,AU$3&gt;=Assumptions!$B$14,Revenue_Build!AU10&gt;=Assumptions!$F$234*Assumptions!$B$55)),Assumptions!$D$234,0)</f>
        <v/>
      </c>
      <c r="AV36" s="41">
        <f>IF(OR(AU36&gt;0,AND(AV$3&gt;=Assumptions!$E$234,AV$3&gt;=Assumptions!$B$14,Revenue_Build!AV10&gt;=Assumptions!$F$234*Assumptions!$B$55)),Assumptions!$D$234,0)</f>
        <v/>
      </c>
      <c r="AW36" s="41">
        <f>IF(OR(AV36&gt;0,AND(AW$3&gt;=Assumptions!$E$234,AW$3&gt;=Assumptions!$B$14,Revenue_Build!AW10&gt;=Assumptions!$F$234*Assumptions!$B$55)),Assumptions!$D$234,0)</f>
        <v/>
      </c>
      <c r="AX36" s="41">
        <f>IF(OR(AW36&gt;0,AND(AX$3&gt;=Assumptions!$E$234,AX$3&gt;=Assumptions!$B$14,Revenue_Build!AX10&gt;=Assumptions!$F$234*Assumptions!$B$55)),Assumptions!$D$234,0)</f>
        <v/>
      </c>
      <c r="AY36" s="41">
        <f>IF(OR(AX36&gt;0,AND(AY$3&gt;=Assumptions!$E$234,AY$3&gt;=Assumptions!$B$14,Revenue_Build!AY10&gt;=Assumptions!$F$234*Assumptions!$B$55)),Assumptions!$D$234,0)</f>
        <v/>
      </c>
      <c r="AZ36" s="41">
        <f>IF(OR(AY36&gt;0,AND(AZ$3&gt;=Assumptions!$E$234,AZ$3&gt;=Assumptions!$B$14,Revenue_Build!AZ10&gt;=Assumptions!$F$234*Assumptions!$B$55)),Assumptions!$D$234,0)</f>
        <v/>
      </c>
      <c r="BA36" s="41">
        <f>IF(OR(AZ36&gt;0,AND(BA$3&gt;=Assumptions!$E$234,BA$3&gt;=Assumptions!$B$14,Revenue_Build!BA10&gt;=Assumptions!$F$234*Assumptions!$B$55)),Assumptions!$D$234,0)</f>
        <v/>
      </c>
      <c r="BB36" s="41">
        <f>IF(OR(BA36&gt;0,AND(BB$3&gt;=Assumptions!$E$234,BB$3&gt;=Assumptions!$B$14,Revenue_Build!BB10&gt;=Assumptions!$F$234*Assumptions!$B$55)),Assumptions!$D$234,0)</f>
        <v/>
      </c>
      <c r="BC36" s="41">
        <f>IF(OR(BB36&gt;0,AND(BC$3&gt;=Assumptions!$E$234,BC$3&gt;=Assumptions!$B$14,Revenue_Build!BC10&gt;=Assumptions!$F$234*Assumptions!$B$55)),Assumptions!$D$234,0)</f>
        <v/>
      </c>
      <c r="BD36" s="41">
        <f>IF(OR(BC36&gt;0,AND(BD$3&gt;=Assumptions!$E$234,BD$3&gt;=Assumptions!$B$14,Revenue_Build!BD10&gt;=Assumptions!$F$234*Assumptions!$B$55)),Assumptions!$D$234,0)</f>
        <v/>
      </c>
      <c r="BE36" s="41">
        <f>IF(OR(BD36&gt;0,AND(BE$3&gt;=Assumptions!$E$234,BE$3&gt;=Assumptions!$B$14,Revenue_Build!BE10&gt;=Assumptions!$F$234*Assumptions!$B$55)),Assumptions!$D$234,0)</f>
        <v/>
      </c>
      <c r="BF36" s="41">
        <f>IF(OR(BE36&gt;0,AND(BF$3&gt;=Assumptions!$E$234,BF$3&gt;=Assumptions!$B$14,Revenue_Build!BF10&gt;=Assumptions!$F$234*Assumptions!$B$55)),Assumptions!$D$234,0)</f>
        <v/>
      </c>
      <c r="BG36" s="41">
        <f>IF(OR(BF36&gt;0,AND(BG$3&gt;=Assumptions!$E$234,BG$3&gt;=Assumptions!$B$14,Revenue_Build!BG10&gt;=Assumptions!$F$234*Assumptions!$B$55)),Assumptions!$D$234,0)</f>
        <v/>
      </c>
      <c r="BH36" s="41">
        <f>IF(OR(BG36&gt;0,AND(BH$3&gt;=Assumptions!$E$234,BH$3&gt;=Assumptions!$B$14,Revenue_Build!BH10&gt;=Assumptions!$F$234*Assumptions!$B$55)),Assumptions!$D$234,0)</f>
        <v/>
      </c>
      <c r="BI36" s="41">
        <f>IF(OR(BH36&gt;0,AND(BI$3&gt;=Assumptions!$E$234,BI$3&gt;=Assumptions!$B$14,Revenue_Build!BI10&gt;=Assumptions!$F$234*Assumptions!$B$55)),Assumptions!$D$234,0)</f>
        <v/>
      </c>
      <c r="BJ36" s="41">
        <f>IF(OR(BI36&gt;0,AND(BJ$3&gt;=Assumptions!$E$234,BJ$3&gt;=Assumptions!$B$14,Revenue_Build!BJ10&gt;=Assumptions!$F$234*Assumptions!$B$55)),Assumptions!$D$234,0)</f>
        <v/>
      </c>
    </row>
    <row r="37">
      <c r="A37" s="4" t="inlineStr">
        <is>
          <t>Partnerships managers (scale-up II)</t>
        </is>
      </c>
      <c r="B37" s="17" t="inlineStr">
        <is>
          <t>FTE</t>
        </is>
      </c>
      <c r="C37" s="41">
        <f>IF(AND(C$3&gt;=Assumptions!$E$235,C$3&gt;=Assumptions!$B$14,Revenue_Build!C10&gt;=Assumptions!$F$235*Assumptions!$B$55),Assumptions!$D$235,0)</f>
        <v/>
      </c>
      <c r="D37" s="41">
        <f>IF(OR(C37&gt;0,AND(D$3&gt;=Assumptions!$E$235,D$3&gt;=Assumptions!$B$14,Revenue_Build!D10&gt;=Assumptions!$F$235*Assumptions!$B$55)),Assumptions!$D$235,0)</f>
        <v/>
      </c>
      <c r="E37" s="41">
        <f>IF(OR(D37&gt;0,AND(E$3&gt;=Assumptions!$E$235,E$3&gt;=Assumptions!$B$14,Revenue_Build!E10&gt;=Assumptions!$F$235*Assumptions!$B$55)),Assumptions!$D$235,0)</f>
        <v/>
      </c>
      <c r="F37" s="41">
        <f>IF(OR(E37&gt;0,AND(F$3&gt;=Assumptions!$E$235,F$3&gt;=Assumptions!$B$14,Revenue_Build!F10&gt;=Assumptions!$F$235*Assumptions!$B$55)),Assumptions!$D$235,0)</f>
        <v/>
      </c>
      <c r="G37" s="41">
        <f>IF(OR(F37&gt;0,AND(G$3&gt;=Assumptions!$E$235,G$3&gt;=Assumptions!$B$14,Revenue_Build!G10&gt;=Assumptions!$F$235*Assumptions!$B$55)),Assumptions!$D$235,0)</f>
        <v/>
      </c>
      <c r="H37" s="41">
        <f>IF(OR(G37&gt;0,AND(H$3&gt;=Assumptions!$E$235,H$3&gt;=Assumptions!$B$14,Revenue_Build!H10&gt;=Assumptions!$F$235*Assumptions!$B$55)),Assumptions!$D$235,0)</f>
        <v/>
      </c>
      <c r="I37" s="41">
        <f>IF(OR(H37&gt;0,AND(I$3&gt;=Assumptions!$E$235,I$3&gt;=Assumptions!$B$14,Revenue_Build!I10&gt;=Assumptions!$F$235*Assumptions!$B$55)),Assumptions!$D$235,0)</f>
        <v/>
      </c>
      <c r="J37" s="41">
        <f>IF(OR(I37&gt;0,AND(J$3&gt;=Assumptions!$E$235,J$3&gt;=Assumptions!$B$14,Revenue_Build!J10&gt;=Assumptions!$F$235*Assumptions!$B$55)),Assumptions!$D$235,0)</f>
        <v/>
      </c>
      <c r="K37" s="41">
        <f>IF(OR(J37&gt;0,AND(K$3&gt;=Assumptions!$E$235,K$3&gt;=Assumptions!$B$14,Revenue_Build!K10&gt;=Assumptions!$F$235*Assumptions!$B$55)),Assumptions!$D$235,0)</f>
        <v/>
      </c>
      <c r="L37" s="41">
        <f>IF(OR(K37&gt;0,AND(L$3&gt;=Assumptions!$E$235,L$3&gt;=Assumptions!$B$14,Revenue_Build!L10&gt;=Assumptions!$F$235*Assumptions!$B$55)),Assumptions!$D$235,0)</f>
        <v/>
      </c>
      <c r="M37" s="41">
        <f>IF(OR(L37&gt;0,AND(M$3&gt;=Assumptions!$E$235,M$3&gt;=Assumptions!$B$14,Revenue_Build!M10&gt;=Assumptions!$F$235*Assumptions!$B$55)),Assumptions!$D$235,0)</f>
        <v/>
      </c>
      <c r="N37" s="41">
        <f>IF(OR(M37&gt;0,AND(N$3&gt;=Assumptions!$E$235,N$3&gt;=Assumptions!$B$14,Revenue_Build!N10&gt;=Assumptions!$F$235*Assumptions!$B$55)),Assumptions!$D$235,0)</f>
        <v/>
      </c>
      <c r="O37" s="41">
        <f>IF(OR(N37&gt;0,AND(O$3&gt;=Assumptions!$E$235,O$3&gt;=Assumptions!$B$14,Revenue_Build!O10&gt;=Assumptions!$F$235*Assumptions!$B$55)),Assumptions!$D$235,0)</f>
        <v/>
      </c>
      <c r="P37" s="41">
        <f>IF(OR(O37&gt;0,AND(P$3&gt;=Assumptions!$E$235,P$3&gt;=Assumptions!$B$14,Revenue_Build!P10&gt;=Assumptions!$F$235*Assumptions!$B$55)),Assumptions!$D$235,0)</f>
        <v/>
      </c>
      <c r="Q37" s="41">
        <f>IF(OR(P37&gt;0,AND(Q$3&gt;=Assumptions!$E$235,Q$3&gt;=Assumptions!$B$14,Revenue_Build!Q10&gt;=Assumptions!$F$235*Assumptions!$B$55)),Assumptions!$D$235,0)</f>
        <v/>
      </c>
      <c r="R37" s="41">
        <f>IF(OR(Q37&gt;0,AND(R$3&gt;=Assumptions!$E$235,R$3&gt;=Assumptions!$B$14,Revenue_Build!R10&gt;=Assumptions!$F$235*Assumptions!$B$55)),Assumptions!$D$235,0)</f>
        <v/>
      </c>
      <c r="S37" s="41">
        <f>IF(OR(R37&gt;0,AND(S$3&gt;=Assumptions!$E$235,S$3&gt;=Assumptions!$B$14,Revenue_Build!S10&gt;=Assumptions!$F$235*Assumptions!$B$55)),Assumptions!$D$235,0)</f>
        <v/>
      </c>
      <c r="T37" s="41">
        <f>IF(OR(S37&gt;0,AND(T$3&gt;=Assumptions!$E$235,T$3&gt;=Assumptions!$B$14,Revenue_Build!T10&gt;=Assumptions!$F$235*Assumptions!$B$55)),Assumptions!$D$235,0)</f>
        <v/>
      </c>
      <c r="U37" s="41">
        <f>IF(OR(T37&gt;0,AND(U$3&gt;=Assumptions!$E$235,U$3&gt;=Assumptions!$B$14,Revenue_Build!U10&gt;=Assumptions!$F$235*Assumptions!$B$55)),Assumptions!$D$235,0)</f>
        <v/>
      </c>
      <c r="V37" s="41">
        <f>IF(OR(U37&gt;0,AND(V$3&gt;=Assumptions!$E$235,V$3&gt;=Assumptions!$B$14,Revenue_Build!V10&gt;=Assumptions!$F$235*Assumptions!$B$55)),Assumptions!$D$235,0)</f>
        <v/>
      </c>
      <c r="W37" s="41">
        <f>IF(OR(V37&gt;0,AND(W$3&gt;=Assumptions!$E$235,W$3&gt;=Assumptions!$B$14,Revenue_Build!W10&gt;=Assumptions!$F$235*Assumptions!$B$55)),Assumptions!$D$235,0)</f>
        <v/>
      </c>
      <c r="X37" s="41">
        <f>IF(OR(W37&gt;0,AND(X$3&gt;=Assumptions!$E$235,X$3&gt;=Assumptions!$B$14,Revenue_Build!X10&gt;=Assumptions!$F$235*Assumptions!$B$55)),Assumptions!$D$235,0)</f>
        <v/>
      </c>
      <c r="Y37" s="41">
        <f>IF(OR(X37&gt;0,AND(Y$3&gt;=Assumptions!$E$235,Y$3&gt;=Assumptions!$B$14,Revenue_Build!Y10&gt;=Assumptions!$F$235*Assumptions!$B$55)),Assumptions!$D$235,0)</f>
        <v/>
      </c>
      <c r="Z37" s="41">
        <f>IF(OR(Y37&gt;0,AND(Z$3&gt;=Assumptions!$E$235,Z$3&gt;=Assumptions!$B$14,Revenue_Build!Z10&gt;=Assumptions!$F$235*Assumptions!$B$55)),Assumptions!$D$235,0)</f>
        <v/>
      </c>
      <c r="AA37" s="41">
        <f>IF(OR(Z37&gt;0,AND(AA$3&gt;=Assumptions!$E$235,AA$3&gt;=Assumptions!$B$14,Revenue_Build!AA10&gt;=Assumptions!$F$235*Assumptions!$B$55)),Assumptions!$D$235,0)</f>
        <v/>
      </c>
      <c r="AB37" s="41">
        <f>IF(OR(AA37&gt;0,AND(AB$3&gt;=Assumptions!$E$235,AB$3&gt;=Assumptions!$B$14,Revenue_Build!AB10&gt;=Assumptions!$F$235*Assumptions!$B$55)),Assumptions!$D$235,0)</f>
        <v/>
      </c>
      <c r="AC37" s="41">
        <f>IF(OR(AB37&gt;0,AND(AC$3&gt;=Assumptions!$E$235,AC$3&gt;=Assumptions!$B$14,Revenue_Build!AC10&gt;=Assumptions!$F$235*Assumptions!$B$55)),Assumptions!$D$235,0)</f>
        <v/>
      </c>
      <c r="AD37" s="41">
        <f>IF(OR(AC37&gt;0,AND(AD$3&gt;=Assumptions!$E$235,AD$3&gt;=Assumptions!$B$14,Revenue_Build!AD10&gt;=Assumptions!$F$235*Assumptions!$B$55)),Assumptions!$D$235,0)</f>
        <v/>
      </c>
      <c r="AE37" s="41">
        <f>IF(OR(AD37&gt;0,AND(AE$3&gt;=Assumptions!$E$235,AE$3&gt;=Assumptions!$B$14,Revenue_Build!AE10&gt;=Assumptions!$F$235*Assumptions!$B$55)),Assumptions!$D$235,0)</f>
        <v/>
      </c>
      <c r="AF37" s="41">
        <f>IF(OR(AE37&gt;0,AND(AF$3&gt;=Assumptions!$E$235,AF$3&gt;=Assumptions!$B$14,Revenue_Build!AF10&gt;=Assumptions!$F$235*Assumptions!$B$55)),Assumptions!$D$235,0)</f>
        <v/>
      </c>
      <c r="AG37" s="41">
        <f>IF(OR(AF37&gt;0,AND(AG$3&gt;=Assumptions!$E$235,AG$3&gt;=Assumptions!$B$14,Revenue_Build!AG10&gt;=Assumptions!$F$235*Assumptions!$B$55)),Assumptions!$D$235,0)</f>
        <v/>
      </c>
      <c r="AH37" s="41">
        <f>IF(OR(AG37&gt;0,AND(AH$3&gt;=Assumptions!$E$235,AH$3&gt;=Assumptions!$B$14,Revenue_Build!AH10&gt;=Assumptions!$F$235*Assumptions!$B$55)),Assumptions!$D$235,0)</f>
        <v/>
      </c>
      <c r="AI37" s="41">
        <f>IF(OR(AH37&gt;0,AND(AI$3&gt;=Assumptions!$E$235,AI$3&gt;=Assumptions!$B$14,Revenue_Build!AI10&gt;=Assumptions!$F$235*Assumptions!$B$55)),Assumptions!$D$235,0)</f>
        <v/>
      </c>
      <c r="AJ37" s="41">
        <f>IF(OR(AI37&gt;0,AND(AJ$3&gt;=Assumptions!$E$235,AJ$3&gt;=Assumptions!$B$14,Revenue_Build!AJ10&gt;=Assumptions!$F$235*Assumptions!$B$55)),Assumptions!$D$235,0)</f>
        <v/>
      </c>
      <c r="AK37" s="41">
        <f>IF(OR(AJ37&gt;0,AND(AK$3&gt;=Assumptions!$E$235,AK$3&gt;=Assumptions!$B$14,Revenue_Build!AK10&gt;=Assumptions!$F$235*Assumptions!$B$55)),Assumptions!$D$235,0)</f>
        <v/>
      </c>
      <c r="AL37" s="41">
        <f>IF(OR(AK37&gt;0,AND(AL$3&gt;=Assumptions!$E$235,AL$3&gt;=Assumptions!$B$14,Revenue_Build!AL10&gt;=Assumptions!$F$235*Assumptions!$B$55)),Assumptions!$D$235,0)</f>
        <v/>
      </c>
      <c r="AM37" s="41">
        <f>IF(OR(AL37&gt;0,AND(AM$3&gt;=Assumptions!$E$235,AM$3&gt;=Assumptions!$B$14,Revenue_Build!AM10&gt;=Assumptions!$F$235*Assumptions!$B$55)),Assumptions!$D$235,0)</f>
        <v/>
      </c>
      <c r="AN37" s="41">
        <f>IF(OR(AM37&gt;0,AND(AN$3&gt;=Assumptions!$E$235,AN$3&gt;=Assumptions!$B$14,Revenue_Build!AN10&gt;=Assumptions!$F$235*Assumptions!$B$55)),Assumptions!$D$235,0)</f>
        <v/>
      </c>
      <c r="AO37" s="41">
        <f>IF(OR(AN37&gt;0,AND(AO$3&gt;=Assumptions!$E$235,AO$3&gt;=Assumptions!$B$14,Revenue_Build!AO10&gt;=Assumptions!$F$235*Assumptions!$B$55)),Assumptions!$D$235,0)</f>
        <v/>
      </c>
      <c r="AP37" s="41">
        <f>IF(OR(AO37&gt;0,AND(AP$3&gt;=Assumptions!$E$235,AP$3&gt;=Assumptions!$B$14,Revenue_Build!AP10&gt;=Assumptions!$F$235*Assumptions!$B$55)),Assumptions!$D$235,0)</f>
        <v/>
      </c>
      <c r="AQ37" s="41">
        <f>IF(OR(AP37&gt;0,AND(AQ$3&gt;=Assumptions!$E$235,AQ$3&gt;=Assumptions!$B$14,Revenue_Build!AQ10&gt;=Assumptions!$F$235*Assumptions!$B$55)),Assumptions!$D$235,0)</f>
        <v/>
      </c>
      <c r="AR37" s="41">
        <f>IF(OR(AQ37&gt;0,AND(AR$3&gt;=Assumptions!$E$235,AR$3&gt;=Assumptions!$B$14,Revenue_Build!AR10&gt;=Assumptions!$F$235*Assumptions!$B$55)),Assumptions!$D$235,0)</f>
        <v/>
      </c>
      <c r="AS37" s="41">
        <f>IF(OR(AR37&gt;0,AND(AS$3&gt;=Assumptions!$E$235,AS$3&gt;=Assumptions!$B$14,Revenue_Build!AS10&gt;=Assumptions!$F$235*Assumptions!$B$55)),Assumptions!$D$235,0)</f>
        <v/>
      </c>
      <c r="AT37" s="41">
        <f>IF(OR(AS37&gt;0,AND(AT$3&gt;=Assumptions!$E$235,AT$3&gt;=Assumptions!$B$14,Revenue_Build!AT10&gt;=Assumptions!$F$235*Assumptions!$B$55)),Assumptions!$D$235,0)</f>
        <v/>
      </c>
      <c r="AU37" s="41">
        <f>IF(OR(AT37&gt;0,AND(AU$3&gt;=Assumptions!$E$235,AU$3&gt;=Assumptions!$B$14,Revenue_Build!AU10&gt;=Assumptions!$F$235*Assumptions!$B$55)),Assumptions!$D$235,0)</f>
        <v/>
      </c>
      <c r="AV37" s="41">
        <f>IF(OR(AU37&gt;0,AND(AV$3&gt;=Assumptions!$E$235,AV$3&gt;=Assumptions!$B$14,Revenue_Build!AV10&gt;=Assumptions!$F$235*Assumptions!$B$55)),Assumptions!$D$235,0)</f>
        <v/>
      </c>
      <c r="AW37" s="41">
        <f>IF(OR(AV37&gt;0,AND(AW$3&gt;=Assumptions!$E$235,AW$3&gt;=Assumptions!$B$14,Revenue_Build!AW10&gt;=Assumptions!$F$235*Assumptions!$B$55)),Assumptions!$D$235,0)</f>
        <v/>
      </c>
      <c r="AX37" s="41">
        <f>IF(OR(AW37&gt;0,AND(AX$3&gt;=Assumptions!$E$235,AX$3&gt;=Assumptions!$B$14,Revenue_Build!AX10&gt;=Assumptions!$F$235*Assumptions!$B$55)),Assumptions!$D$235,0)</f>
        <v/>
      </c>
      <c r="AY37" s="41">
        <f>IF(OR(AX37&gt;0,AND(AY$3&gt;=Assumptions!$E$235,AY$3&gt;=Assumptions!$B$14,Revenue_Build!AY10&gt;=Assumptions!$F$235*Assumptions!$B$55)),Assumptions!$D$235,0)</f>
        <v/>
      </c>
      <c r="AZ37" s="41">
        <f>IF(OR(AY37&gt;0,AND(AZ$3&gt;=Assumptions!$E$235,AZ$3&gt;=Assumptions!$B$14,Revenue_Build!AZ10&gt;=Assumptions!$F$235*Assumptions!$B$55)),Assumptions!$D$235,0)</f>
        <v/>
      </c>
      <c r="BA37" s="41">
        <f>IF(OR(AZ37&gt;0,AND(BA$3&gt;=Assumptions!$E$235,BA$3&gt;=Assumptions!$B$14,Revenue_Build!BA10&gt;=Assumptions!$F$235*Assumptions!$B$55)),Assumptions!$D$235,0)</f>
        <v/>
      </c>
      <c r="BB37" s="41">
        <f>IF(OR(BA37&gt;0,AND(BB$3&gt;=Assumptions!$E$235,BB$3&gt;=Assumptions!$B$14,Revenue_Build!BB10&gt;=Assumptions!$F$235*Assumptions!$B$55)),Assumptions!$D$235,0)</f>
        <v/>
      </c>
      <c r="BC37" s="41">
        <f>IF(OR(BB37&gt;0,AND(BC$3&gt;=Assumptions!$E$235,BC$3&gt;=Assumptions!$B$14,Revenue_Build!BC10&gt;=Assumptions!$F$235*Assumptions!$B$55)),Assumptions!$D$235,0)</f>
        <v/>
      </c>
      <c r="BD37" s="41">
        <f>IF(OR(BC37&gt;0,AND(BD$3&gt;=Assumptions!$E$235,BD$3&gt;=Assumptions!$B$14,Revenue_Build!BD10&gt;=Assumptions!$F$235*Assumptions!$B$55)),Assumptions!$D$235,0)</f>
        <v/>
      </c>
      <c r="BE37" s="41">
        <f>IF(OR(BD37&gt;0,AND(BE$3&gt;=Assumptions!$E$235,BE$3&gt;=Assumptions!$B$14,Revenue_Build!BE10&gt;=Assumptions!$F$235*Assumptions!$B$55)),Assumptions!$D$235,0)</f>
        <v/>
      </c>
      <c r="BF37" s="41">
        <f>IF(OR(BE37&gt;0,AND(BF$3&gt;=Assumptions!$E$235,BF$3&gt;=Assumptions!$B$14,Revenue_Build!BF10&gt;=Assumptions!$F$235*Assumptions!$B$55)),Assumptions!$D$235,0)</f>
        <v/>
      </c>
      <c r="BG37" s="41">
        <f>IF(OR(BF37&gt;0,AND(BG$3&gt;=Assumptions!$E$235,BG$3&gt;=Assumptions!$B$14,Revenue_Build!BG10&gt;=Assumptions!$F$235*Assumptions!$B$55)),Assumptions!$D$235,0)</f>
        <v/>
      </c>
      <c r="BH37" s="41">
        <f>IF(OR(BG37&gt;0,AND(BH$3&gt;=Assumptions!$E$235,BH$3&gt;=Assumptions!$B$14,Revenue_Build!BH10&gt;=Assumptions!$F$235*Assumptions!$B$55)),Assumptions!$D$235,0)</f>
        <v/>
      </c>
      <c r="BI37" s="41">
        <f>IF(OR(BH37&gt;0,AND(BI$3&gt;=Assumptions!$E$235,BI$3&gt;=Assumptions!$B$14,Revenue_Build!BI10&gt;=Assumptions!$F$235*Assumptions!$B$55)),Assumptions!$D$235,0)</f>
        <v/>
      </c>
      <c r="BJ37" s="41">
        <f>IF(OR(BI37&gt;0,AND(BJ$3&gt;=Assumptions!$E$235,BJ$3&gt;=Assumptions!$B$14,Revenue_Build!BJ10&gt;=Assumptions!$F$235*Assumptions!$B$55)),Assumptions!$D$235,0)</f>
        <v/>
      </c>
    </row>
    <row r="38">
      <c r="A38" s="4" t="inlineStr">
        <is>
          <t>SME onboarding &amp; sales-assist</t>
        </is>
      </c>
      <c r="B38" s="17" t="inlineStr">
        <is>
          <t>FTE</t>
        </is>
      </c>
      <c r="C38" s="41">
        <f>IF(AND(C$3&gt;=Assumptions!$E$236,C$3&gt;=Assumptions!$B$14,Revenue_Build!C10&gt;=Assumptions!$F$236*Assumptions!$B$55),Assumptions!$D$236,0)</f>
        <v/>
      </c>
      <c r="D38" s="41">
        <f>IF(OR(C38&gt;0,AND(D$3&gt;=Assumptions!$E$236,D$3&gt;=Assumptions!$B$14,Revenue_Build!D10&gt;=Assumptions!$F$236*Assumptions!$B$55)),Assumptions!$D$236,0)</f>
        <v/>
      </c>
      <c r="E38" s="41">
        <f>IF(OR(D38&gt;0,AND(E$3&gt;=Assumptions!$E$236,E$3&gt;=Assumptions!$B$14,Revenue_Build!E10&gt;=Assumptions!$F$236*Assumptions!$B$55)),Assumptions!$D$236,0)</f>
        <v/>
      </c>
      <c r="F38" s="41">
        <f>IF(OR(E38&gt;0,AND(F$3&gt;=Assumptions!$E$236,F$3&gt;=Assumptions!$B$14,Revenue_Build!F10&gt;=Assumptions!$F$236*Assumptions!$B$55)),Assumptions!$D$236,0)</f>
        <v/>
      </c>
      <c r="G38" s="41">
        <f>IF(OR(F38&gt;0,AND(G$3&gt;=Assumptions!$E$236,G$3&gt;=Assumptions!$B$14,Revenue_Build!G10&gt;=Assumptions!$F$236*Assumptions!$B$55)),Assumptions!$D$236,0)</f>
        <v/>
      </c>
      <c r="H38" s="41">
        <f>IF(OR(G38&gt;0,AND(H$3&gt;=Assumptions!$E$236,H$3&gt;=Assumptions!$B$14,Revenue_Build!H10&gt;=Assumptions!$F$236*Assumptions!$B$55)),Assumptions!$D$236,0)</f>
        <v/>
      </c>
      <c r="I38" s="41">
        <f>IF(OR(H38&gt;0,AND(I$3&gt;=Assumptions!$E$236,I$3&gt;=Assumptions!$B$14,Revenue_Build!I10&gt;=Assumptions!$F$236*Assumptions!$B$55)),Assumptions!$D$236,0)</f>
        <v/>
      </c>
      <c r="J38" s="41">
        <f>IF(OR(I38&gt;0,AND(J$3&gt;=Assumptions!$E$236,J$3&gt;=Assumptions!$B$14,Revenue_Build!J10&gt;=Assumptions!$F$236*Assumptions!$B$55)),Assumptions!$D$236,0)</f>
        <v/>
      </c>
      <c r="K38" s="41">
        <f>IF(OR(J38&gt;0,AND(K$3&gt;=Assumptions!$E$236,K$3&gt;=Assumptions!$B$14,Revenue_Build!K10&gt;=Assumptions!$F$236*Assumptions!$B$55)),Assumptions!$D$236,0)</f>
        <v/>
      </c>
      <c r="L38" s="41">
        <f>IF(OR(K38&gt;0,AND(L$3&gt;=Assumptions!$E$236,L$3&gt;=Assumptions!$B$14,Revenue_Build!L10&gt;=Assumptions!$F$236*Assumptions!$B$55)),Assumptions!$D$236,0)</f>
        <v/>
      </c>
      <c r="M38" s="41">
        <f>IF(OR(L38&gt;0,AND(M$3&gt;=Assumptions!$E$236,M$3&gt;=Assumptions!$B$14,Revenue_Build!M10&gt;=Assumptions!$F$236*Assumptions!$B$55)),Assumptions!$D$236,0)</f>
        <v/>
      </c>
      <c r="N38" s="41">
        <f>IF(OR(M38&gt;0,AND(N$3&gt;=Assumptions!$E$236,N$3&gt;=Assumptions!$B$14,Revenue_Build!N10&gt;=Assumptions!$F$236*Assumptions!$B$55)),Assumptions!$D$236,0)</f>
        <v/>
      </c>
      <c r="O38" s="41">
        <f>IF(OR(N38&gt;0,AND(O$3&gt;=Assumptions!$E$236,O$3&gt;=Assumptions!$B$14,Revenue_Build!O10&gt;=Assumptions!$F$236*Assumptions!$B$55)),Assumptions!$D$236,0)</f>
        <v/>
      </c>
      <c r="P38" s="41">
        <f>IF(OR(O38&gt;0,AND(P$3&gt;=Assumptions!$E$236,P$3&gt;=Assumptions!$B$14,Revenue_Build!P10&gt;=Assumptions!$F$236*Assumptions!$B$55)),Assumptions!$D$236,0)</f>
        <v/>
      </c>
      <c r="Q38" s="41">
        <f>IF(OR(P38&gt;0,AND(Q$3&gt;=Assumptions!$E$236,Q$3&gt;=Assumptions!$B$14,Revenue_Build!Q10&gt;=Assumptions!$F$236*Assumptions!$B$55)),Assumptions!$D$236,0)</f>
        <v/>
      </c>
      <c r="R38" s="41">
        <f>IF(OR(Q38&gt;0,AND(R$3&gt;=Assumptions!$E$236,R$3&gt;=Assumptions!$B$14,Revenue_Build!R10&gt;=Assumptions!$F$236*Assumptions!$B$55)),Assumptions!$D$236,0)</f>
        <v/>
      </c>
      <c r="S38" s="41">
        <f>IF(OR(R38&gt;0,AND(S$3&gt;=Assumptions!$E$236,S$3&gt;=Assumptions!$B$14,Revenue_Build!S10&gt;=Assumptions!$F$236*Assumptions!$B$55)),Assumptions!$D$236,0)</f>
        <v/>
      </c>
      <c r="T38" s="41">
        <f>IF(OR(S38&gt;0,AND(T$3&gt;=Assumptions!$E$236,T$3&gt;=Assumptions!$B$14,Revenue_Build!T10&gt;=Assumptions!$F$236*Assumptions!$B$55)),Assumptions!$D$236,0)</f>
        <v/>
      </c>
      <c r="U38" s="41">
        <f>IF(OR(T38&gt;0,AND(U$3&gt;=Assumptions!$E$236,U$3&gt;=Assumptions!$B$14,Revenue_Build!U10&gt;=Assumptions!$F$236*Assumptions!$B$55)),Assumptions!$D$236,0)</f>
        <v/>
      </c>
      <c r="V38" s="41">
        <f>IF(OR(U38&gt;0,AND(V$3&gt;=Assumptions!$E$236,V$3&gt;=Assumptions!$B$14,Revenue_Build!V10&gt;=Assumptions!$F$236*Assumptions!$B$55)),Assumptions!$D$236,0)</f>
        <v/>
      </c>
      <c r="W38" s="41">
        <f>IF(OR(V38&gt;0,AND(W$3&gt;=Assumptions!$E$236,W$3&gt;=Assumptions!$B$14,Revenue_Build!W10&gt;=Assumptions!$F$236*Assumptions!$B$55)),Assumptions!$D$236,0)</f>
        <v/>
      </c>
      <c r="X38" s="41">
        <f>IF(OR(W38&gt;0,AND(X$3&gt;=Assumptions!$E$236,X$3&gt;=Assumptions!$B$14,Revenue_Build!X10&gt;=Assumptions!$F$236*Assumptions!$B$55)),Assumptions!$D$236,0)</f>
        <v/>
      </c>
      <c r="Y38" s="41">
        <f>IF(OR(X38&gt;0,AND(Y$3&gt;=Assumptions!$E$236,Y$3&gt;=Assumptions!$B$14,Revenue_Build!Y10&gt;=Assumptions!$F$236*Assumptions!$B$55)),Assumptions!$D$236,0)</f>
        <v/>
      </c>
      <c r="Z38" s="41">
        <f>IF(OR(Y38&gt;0,AND(Z$3&gt;=Assumptions!$E$236,Z$3&gt;=Assumptions!$B$14,Revenue_Build!Z10&gt;=Assumptions!$F$236*Assumptions!$B$55)),Assumptions!$D$236,0)</f>
        <v/>
      </c>
      <c r="AA38" s="41">
        <f>IF(OR(Z38&gt;0,AND(AA$3&gt;=Assumptions!$E$236,AA$3&gt;=Assumptions!$B$14,Revenue_Build!AA10&gt;=Assumptions!$F$236*Assumptions!$B$55)),Assumptions!$D$236,0)</f>
        <v/>
      </c>
      <c r="AB38" s="41">
        <f>IF(OR(AA38&gt;0,AND(AB$3&gt;=Assumptions!$E$236,AB$3&gt;=Assumptions!$B$14,Revenue_Build!AB10&gt;=Assumptions!$F$236*Assumptions!$B$55)),Assumptions!$D$236,0)</f>
        <v/>
      </c>
      <c r="AC38" s="41">
        <f>IF(OR(AB38&gt;0,AND(AC$3&gt;=Assumptions!$E$236,AC$3&gt;=Assumptions!$B$14,Revenue_Build!AC10&gt;=Assumptions!$F$236*Assumptions!$B$55)),Assumptions!$D$236,0)</f>
        <v/>
      </c>
      <c r="AD38" s="41">
        <f>IF(OR(AC38&gt;0,AND(AD$3&gt;=Assumptions!$E$236,AD$3&gt;=Assumptions!$B$14,Revenue_Build!AD10&gt;=Assumptions!$F$236*Assumptions!$B$55)),Assumptions!$D$236,0)</f>
        <v/>
      </c>
      <c r="AE38" s="41">
        <f>IF(OR(AD38&gt;0,AND(AE$3&gt;=Assumptions!$E$236,AE$3&gt;=Assumptions!$B$14,Revenue_Build!AE10&gt;=Assumptions!$F$236*Assumptions!$B$55)),Assumptions!$D$236,0)</f>
        <v/>
      </c>
      <c r="AF38" s="41">
        <f>IF(OR(AE38&gt;0,AND(AF$3&gt;=Assumptions!$E$236,AF$3&gt;=Assumptions!$B$14,Revenue_Build!AF10&gt;=Assumptions!$F$236*Assumptions!$B$55)),Assumptions!$D$236,0)</f>
        <v/>
      </c>
      <c r="AG38" s="41">
        <f>IF(OR(AF38&gt;0,AND(AG$3&gt;=Assumptions!$E$236,AG$3&gt;=Assumptions!$B$14,Revenue_Build!AG10&gt;=Assumptions!$F$236*Assumptions!$B$55)),Assumptions!$D$236,0)</f>
        <v/>
      </c>
      <c r="AH38" s="41">
        <f>IF(OR(AG38&gt;0,AND(AH$3&gt;=Assumptions!$E$236,AH$3&gt;=Assumptions!$B$14,Revenue_Build!AH10&gt;=Assumptions!$F$236*Assumptions!$B$55)),Assumptions!$D$236,0)</f>
        <v/>
      </c>
      <c r="AI38" s="41">
        <f>IF(OR(AH38&gt;0,AND(AI$3&gt;=Assumptions!$E$236,AI$3&gt;=Assumptions!$B$14,Revenue_Build!AI10&gt;=Assumptions!$F$236*Assumptions!$B$55)),Assumptions!$D$236,0)</f>
        <v/>
      </c>
      <c r="AJ38" s="41">
        <f>IF(OR(AI38&gt;0,AND(AJ$3&gt;=Assumptions!$E$236,AJ$3&gt;=Assumptions!$B$14,Revenue_Build!AJ10&gt;=Assumptions!$F$236*Assumptions!$B$55)),Assumptions!$D$236,0)</f>
        <v/>
      </c>
      <c r="AK38" s="41">
        <f>IF(OR(AJ38&gt;0,AND(AK$3&gt;=Assumptions!$E$236,AK$3&gt;=Assumptions!$B$14,Revenue_Build!AK10&gt;=Assumptions!$F$236*Assumptions!$B$55)),Assumptions!$D$236,0)</f>
        <v/>
      </c>
      <c r="AL38" s="41">
        <f>IF(OR(AK38&gt;0,AND(AL$3&gt;=Assumptions!$E$236,AL$3&gt;=Assumptions!$B$14,Revenue_Build!AL10&gt;=Assumptions!$F$236*Assumptions!$B$55)),Assumptions!$D$236,0)</f>
        <v/>
      </c>
      <c r="AM38" s="41">
        <f>IF(OR(AL38&gt;0,AND(AM$3&gt;=Assumptions!$E$236,AM$3&gt;=Assumptions!$B$14,Revenue_Build!AM10&gt;=Assumptions!$F$236*Assumptions!$B$55)),Assumptions!$D$236,0)</f>
        <v/>
      </c>
      <c r="AN38" s="41">
        <f>IF(OR(AM38&gt;0,AND(AN$3&gt;=Assumptions!$E$236,AN$3&gt;=Assumptions!$B$14,Revenue_Build!AN10&gt;=Assumptions!$F$236*Assumptions!$B$55)),Assumptions!$D$236,0)</f>
        <v/>
      </c>
      <c r="AO38" s="41">
        <f>IF(OR(AN38&gt;0,AND(AO$3&gt;=Assumptions!$E$236,AO$3&gt;=Assumptions!$B$14,Revenue_Build!AO10&gt;=Assumptions!$F$236*Assumptions!$B$55)),Assumptions!$D$236,0)</f>
        <v/>
      </c>
      <c r="AP38" s="41">
        <f>IF(OR(AO38&gt;0,AND(AP$3&gt;=Assumptions!$E$236,AP$3&gt;=Assumptions!$B$14,Revenue_Build!AP10&gt;=Assumptions!$F$236*Assumptions!$B$55)),Assumptions!$D$236,0)</f>
        <v/>
      </c>
      <c r="AQ38" s="41">
        <f>IF(OR(AP38&gt;0,AND(AQ$3&gt;=Assumptions!$E$236,AQ$3&gt;=Assumptions!$B$14,Revenue_Build!AQ10&gt;=Assumptions!$F$236*Assumptions!$B$55)),Assumptions!$D$236,0)</f>
        <v/>
      </c>
      <c r="AR38" s="41">
        <f>IF(OR(AQ38&gt;0,AND(AR$3&gt;=Assumptions!$E$236,AR$3&gt;=Assumptions!$B$14,Revenue_Build!AR10&gt;=Assumptions!$F$236*Assumptions!$B$55)),Assumptions!$D$236,0)</f>
        <v/>
      </c>
      <c r="AS38" s="41">
        <f>IF(OR(AR38&gt;0,AND(AS$3&gt;=Assumptions!$E$236,AS$3&gt;=Assumptions!$B$14,Revenue_Build!AS10&gt;=Assumptions!$F$236*Assumptions!$B$55)),Assumptions!$D$236,0)</f>
        <v/>
      </c>
      <c r="AT38" s="41">
        <f>IF(OR(AS38&gt;0,AND(AT$3&gt;=Assumptions!$E$236,AT$3&gt;=Assumptions!$B$14,Revenue_Build!AT10&gt;=Assumptions!$F$236*Assumptions!$B$55)),Assumptions!$D$236,0)</f>
        <v/>
      </c>
      <c r="AU38" s="41">
        <f>IF(OR(AT38&gt;0,AND(AU$3&gt;=Assumptions!$E$236,AU$3&gt;=Assumptions!$B$14,Revenue_Build!AU10&gt;=Assumptions!$F$236*Assumptions!$B$55)),Assumptions!$D$236,0)</f>
        <v/>
      </c>
      <c r="AV38" s="41">
        <f>IF(OR(AU38&gt;0,AND(AV$3&gt;=Assumptions!$E$236,AV$3&gt;=Assumptions!$B$14,Revenue_Build!AV10&gt;=Assumptions!$F$236*Assumptions!$B$55)),Assumptions!$D$236,0)</f>
        <v/>
      </c>
      <c r="AW38" s="41">
        <f>IF(OR(AV38&gt;0,AND(AW$3&gt;=Assumptions!$E$236,AW$3&gt;=Assumptions!$B$14,Revenue_Build!AW10&gt;=Assumptions!$F$236*Assumptions!$B$55)),Assumptions!$D$236,0)</f>
        <v/>
      </c>
      <c r="AX38" s="41">
        <f>IF(OR(AW38&gt;0,AND(AX$3&gt;=Assumptions!$E$236,AX$3&gt;=Assumptions!$B$14,Revenue_Build!AX10&gt;=Assumptions!$F$236*Assumptions!$B$55)),Assumptions!$D$236,0)</f>
        <v/>
      </c>
      <c r="AY38" s="41">
        <f>IF(OR(AX38&gt;0,AND(AY$3&gt;=Assumptions!$E$236,AY$3&gt;=Assumptions!$B$14,Revenue_Build!AY10&gt;=Assumptions!$F$236*Assumptions!$B$55)),Assumptions!$D$236,0)</f>
        <v/>
      </c>
      <c r="AZ38" s="41">
        <f>IF(OR(AY38&gt;0,AND(AZ$3&gt;=Assumptions!$E$236,AZ$3&gt;=Assumptions!$B$14,Revenue_Build!AZ10&gt;=Assumptions!$F$236*Assumptions!$B$55)),Assumptions!$D$236,0)</f>
        <v/>
      </c>
      <c r="BA38" s="41">
        <f>IF(OR(AZ38&gt;0,AND(BA$3&gt;=Assumptions!$E$236,BA$3&gt;=Assumptions!$B$14,Revenue_Build!BA10&gt;=Assumptions!$F$236*Assumptions!$B$55)),Assumptions!$D$236,0)</f>
        <v/>
      </c>
      <c r="BB38" s="41">
        <f>IF(OR(BA38&gt;0,AND(BB$3&gt;=Assumptions!$E$236,BB$3&gt;=Assumptions!$B$14,Revenue_Build!BB10&gt;=Assumptions!$F$236*Assumptions!$B$55)),Assumptions!$D$236,0)</f>
        <v/>
      </c>
      <c r="BC38" s="41">
        <f>IF(OR(BB38&gt;0,AND(BC$3&gt;=Assumptions!$E$236,BC$3&gt;=Assumptions!$B$14,Revenue_Build!BC10&gt;=Assumptions!$F$236*Assumptions!$B$55)),Assumptions!$D$236,0)</f>
        <v/>
      </c>
      <c r="BD38" s="41">
        <f>IF(OR(BC38&gt;0,AND(BD$3&gt;=Assumptions!$E$236,BD$3&gt;=Assumptions!$B$14,Revenue_Build!BD10&gt;=Assumptions!$F$236*Assumptions!$B$55)),Assumptions!$D$236,0)</f>
        <v/>
      </c>
      <c r="BE38" s="41">
        <f>IF(OR(BD38&gt;0,AND(BE$3&gt;=Assumptions!$E$236,BE$3&gt;=Assumptions!$B$14,Revenue_Build!BE10&gt;=Assumptions!$F$236*Assumptions!$B$55)),Assumptions!$D$236,0)</f>
        <v/>
      </c>
      <c r="BF38" s="41">
        <f>IF(OR(BE38&gt;0,AND(BF$3&gt;=Assumptions!$E$236,BF$3&gt;=Assumptions!$B$14,Revenue_Build!BF10&gt;=Assumptions!$F$236*Assumptions!$B$55)),Assumptions!$D$236,0)</f>
        <v/>
      </c>
      <c r="BG38" s="41">
        <f>IF(OR(BF38&gt;0,AND(BG$3&gt;=Assumptions!$E$236,BG$3&gt;=Assumptions!$B$14,Revenue_Build!BG10&gt;=Assumptions!$F$236*Assumptions!$B$55)),Assumptions!$D$236,0)</f>
        <v/>
      </c>
      <c r="BH38" s="41">
        <f>IF(OR(BG38&gt;0,AND(BH$3&gt;=Assumptions!$E$236,BH$3&gt;=Assumptions!$B$14,Revenue_Build!BH10&gt;=Assumptions!$F$236*Assumptions!$B$55)),Assumptions!$D$236,0)</f>
        <v/>
      </c>
      <c r="BI38" s="41">
        <f>IF(OR(BH38&gt;0,AND(BI$3&gt;=Assumptions!$E$236,BI$3&gt;=Assumptions!$B$14,Revenue_Build!BI10&gt;=Assumptions!$F$236*Assumptions!$B$55)),Assumptions!$D$236,0)</f>
        <v/>
      </c>
      <c r="BJ38" s="41">
        <f>IF(OR(BI38&gt;0,AND(BJ$3&gt;=Assumptions!$E$236,BJ$3&gt;=Assumptions!$B$14,Revenue_Build!BJ10&gt;=Assumptions!$F$236*Assumptions!$B$55)),Assumptions!$D$236,0)</f>
        <v/>
      </c>
    </row>
    <row r="39">
      <c r="A39" s="4" t="inlineStr">
        <is>
          <t>Head of Sales &amp; Partnerships</t>
        </is>
      </c>
      <c r="B39" s="17" t="inlineStr">
        <is>
          <t>FTE</t>
        </is>
      </c>
      <c r="C39" s="41">
        <f>IF(AND(C$3&gt;=Assumptions!$E$237,C$3&gt;=Assumptions!$B$14,Revenue_Build!C10&gt;=Assumptions!$F$237*Assumptions!$B$55),Assumptions!$D$237,0)</f>
        <v/>
      </c>
      <c r="D39" s="41">
        <f>IF(OR(C39&gt;0,AND(D$3&gt;=Assumptions!$E$237,D$3&gt;=Assumptions!$B$14,Revenue_Build!D10&gt;=Assumptions!$F$237*Assumptions!$B$55)),Assumptions!$D$237,0)</f>
        <v/>
      </c>
      <c r="E39" s="41">
        <f>IF(OR(D39&gt;0,AND(E$3&gt;=Assumptions!$E$237,E$3&gt;=Assumptions!$B$14,Revenue_Build!E10&gt;=Assumptions!$F$237*Assumptions!$B$55)),Assumptions!$D$237,0)</f>
        <v/>
      </c>
      <c r="F39" s="41">
        <f>IF(OR(E39&gt;0,AND(F$3&gt;=Assumptions!$E$237,F$3&gt;=Assumptions!$B$14,Revenue_Build!F10&gt;=Assumptions!$F$237*Assumptions!$B$55)),Assumptions!$D$237,0)</f>
        <v/>
      </c>
      <c r="G39" s="41">
        <f>IF(OR(F39&gt;0,AND(G$3&gt;=Assumptions!$E$237,G$3&gt;=Assumptions!$B$14,Revenue_Build!G10&gt;=Assumptions!$F$237*Assumptions!$B$55)),Assumptions!$D$237,0)</f>
        <v/>
      </c>
      <c r="H39" s="41">
        <f>IF(OR(G39&gt;0,AND(H$3&gt;=Assumptions!$E$237,H$3&gt;=Assumptions!$B$14,Revenue_Build!H10&gt;=Assumptions!$F$237*Assumptions!$B$55)),Assumptions!$D$237,0)</f>
        <v/>
      </c>
      <c r="I39" s="41">
        <f>IF(OR(H39&gt;0,AND(I$3&gt;=Assumptions!$E$237,I$3&gt;=Assumptions!$B$14,Revenue_Build!I10&gt;=Assumptions!$F$237*Assumptions!$B$55)),Assumptions!$D$237,0)</f>
        <v/>
      </c>
      <c r="J39" s="41">
        <f>IF(OR(I39&gt;0,AND(J$3&gt;=Assumptions!$E$237,J$3&gt;=Assumptions!$B$14,Revenue_Build!J10&gt;=Assumptions!$F$237*Assumptions!$B$55)),Assumptions!$D$237,0)</f>
        <v/>
      </c>
      <c r="K39" s="41">
        <f>IF(OR(J39&gt;0,AND(K$3&gt;=Assumptions!$E$237,K$3&gt;=Assumptions!$B$14,Revenue_Build!K10&gt;=Assumptions!$F$237*Assumptions!$B$55)),Assumptions!$D$237,0)</f>
        <v/>
      </c>
      <c r="L39" s="41">
        <f>IF(OR(K39&gt;0,AND(L$3&gt;=Assumptions!$E$237,L$3&gt;=Assumptions!$B$14,Revenue_Build!L10&gt;=Assumptions!$F$237*Assumptions!$B$55)),Assumptions!$D$237,0)</f>
        <v/>
      </c>
      <c r="M39" s="41">
        <f>IF(OR(L39&gt;0,AND(M$3&gt;=Assumptions!$E$237,M$3&gt;=Assumptions!$B$14,Revenue_Build!M10&gt;=Assumptions!$F$237*Assumptions!$B$55)),Assumptions!$D$237,0)</f>
        <v/>
      </c>
      <c r="N39" s="41">
        <f>IF(OR(M39&gt;0,AND(N$3&gt;=Assumptions!$E$237,N$3&gt;=Assumptions!$B$14,Revenue_Build!N10&gt;=Assumptions!$F$237*Assumptions!$B$55)),Assumptions!$D$237,0)</f>
        <v/>
      </c>
      <c r="O39" s="41">
        <f>IF(OR(N39&gt;0,AND(O$3&gt;=Assumptions!$E$237,O$3&gt;=Assumptions!$B$14,Revenue_Build!O10&gt;=Assumptions!$F$237*Assumptions!$B$55)),Assumptions!$D$237,0)</f>
        <v/>
      </c>
      <c r="P39" s="41">
        <f>IF(OR(O39&gt;0,AND(P$3&gt;=Assumptions!$E$237,P$3&gt;=Assumptions!$B$14,Revenue_Build!P10&gt;=Assumptions!$F$237*Assumptions!$B$55)),Assumptions!$D$237,0)</f>
        <v/>
      </c>
      <c r="Q39" s="41">
        <f>IF(OR(P39&gt;0,AND(Q$3&gt;=Assumptions!$E$237,Q$3&gt;=Assumptions!$B$14,Revenue_Build!Q10&gt;=Assumptions!$F$237*Assumptions!$B$55)),Assumptions!$D$237,0)</f>
        <v/>
      </c>
      <c r="R39" s="41">
        <f>IF(OR(Q39&gt;0,AND(R$3&gt;=Assumptions!$E$237,R$3&gt;=Assumptions!$B$14,Revenue_Build!R10&gt;=Assumptions!$F$237*Assumptions!$B$55)),Assumptions!$D$237,0)</f>
        <v/>
      </c>
      <c r="S39" s="41">
        <f>IF(OR(R39&gt;0,AND(S$3&gt;=Assumptions!$E$237,S$3&gt;=Assumptions!$B$14,Revenue_Build!S10&gt;=Assumptions!$F$237*Assumptions!$B$55)),Assumptions!$D$237,0)</f>
        <v/>
      </c>
      <c r="T39" s="41">
        <f>IF(OR(S39&gt;0,AND(T$3&gt;=Assumptions!$E$237,T$3&gt;=Assumptions!$B$14,Revenue_Build!T10&gt;=Assumptions!$F$237*Assumptions!$B$55)),Assumptions!$D$237,0)</f>
        <v/>
      </c>
      <c r="U39" s="41">
        <f>IF(OR(T39&gt;0,AND(U$3&gt;=Assumptions!$E$237,U$3&gt;=Assumptions!$B$14,Revenue_Build!U10&gt;=Assumptions!$F$237*Assumptions!$B$55)),Assumptions!$D$237,0)</f>
        <v/>
      </c>
      <c r="V39" s="41">
        <f>IF(OR(U39&gt;0,AND(V$3&gt;=Assumptions!$E$237,V$3&gt;=Assumptions!$B$14,Revenue_Build!V10&gt;=Assumptions!$F$237*Assumptions!$B$55)),Assumptions!$D$237,0)</f>
        <v/>
      </c>
      <c r="W39" s="41">
        <f>IF(OR(V39&gt;0,AND(W$3&gt;=Assumptions!$E$237,W$3&gt;=Assumptions!$B$14,Revenue_Build!W10&gt;=Assumptions!$F$237*Assumptions!$B$55)),Assumptions!$D$237,0)</f>
        <v/>
      </c>
      <c r="X39" s="41">
        <f>IF(OR(W39&gt;0,AND(X$3&gt;=Assumptions!$E$237,X$3&gt;=Assumptions!$B$14,Revenue_Build!X10&gt;=Assumptions!$F$237*Assumptions!$B$55)),Assumptions!$D$237,0)</f>
        <v/>
      </c>
      <c r="Y39" s="41">
        <f>IF(OR(X39&gt;0,AND(Y$3&gt;=Assumptions!$E$237,Y$3&gt;=Assumptions!$B$14,Revenue_Build!Y10&gt;=Assumptions!$F$237*Assumptions!$B$55)),Assumptions!$D$237,0)</f>
        <v/>
      </c>
      <c r="Z39" s="41">
        <f>IF(OR(Y39&gt;0,AND(Z$3&gt;=Assumptions!$E$237,Z$3&gt;=Assumptions!$B$14,Revenue_Build!Z10&gt;=Assumptions!$F$237*Assumptions!$B$55)),Assumptions!$D$237,0)</f>
        <v/>
      </c>
      <c r="AA39" s="41">
        <f>IF(OR(Z39&gt;0,AND(AA$3&gt;=Assumptions!$E$237,AA$3&gt;=Assumptions!$B$14,Revenue_Build!AA10&gt;=Assumptions!$F$237*Assumptions!$B$55)),Assumptions!$D$237,0)</f>
        <v/>
      </c>
      <c r="AB39" s="41">
        <f>IF(OR(AA39&gt;0,AND(AB$3&gt;=Assumptions!$E$237,AB$3&gt;=Assumptions!$B$14,Revenue_Build!AB10&gt;=Assumptions!$F$237*Assumptions!$B$55)),Assumptions!$D$237,0)</f>
        <v/>
      </c>
      <c r="AC39" s="41">
        <f>IF(OR(AB39&gt;0,AND(AC$3&gt;=Assumptions!$E$237,AC$3&gt;=Assumptions!$B$14,Revenue_Build!AC10&gt;=Assumptions!$F$237*Assumptions!$B$55)),Assumptions!$D$237,0)</f>
        <v/>
      </c>
      <c r="AD39" s="41">
        <f>IF(OR(AC39&gt;0,AND(AD$3&gt;=Assumptions!$E$237,AD$3&gt;=Assumptions!$B$14,Revenue_Build!AD10&gt;=Assumptions!$F$237*Assumptions!$B$55)),Assumptions!$D$237,0)</f>
        <v/>
      </c>
      <c r="AE39" s="41">
        <f>IF(OR(AD39&gt;0,AND(AE$3&gt;=Assumptions!$E$237,AE$3&gt;=Assumptions!$B$14,Revenue_Build!AE10&gt;=Assumptions!$F$237*Assumptions!$B$55)),Assumptions!$D$237,0)</f>
        <v/>
      </c>
      <c r="AF39" s="41">
        <f>IF(OR(AE39&gt;0,AND(AF$3&gt;=Assumptions!$E$237,AF$3&gt;=Assumptions!$B$14,Revenue_Build!AF10&gt;=Assumptions!$F$237*Assumptions!$B$55)),Assumptions!$D$237,0)</f>
        <v/>
      </c>
      <c r="AG39" s="41">
        <f>IF(OR(AF39&gt;0,AND(AG$3&gt;=Assumptions!$E$237,AG$3&gt;=Assumptions!$B$14,Revenue_Build!AG10&gt;=Assumptions!$F$237*Assumptions!$B$55)),Assumptions!$D$237,0)</f>
        <v/>
      </c>
      <c r="AH39" s="41">
        <f>IF(OR(AG39&gt;0,AND(AH$3&gt;=Assumptions!$E$237,AH$3&gt;=Assumptions!$B$14,Revenue_Build!AH10&gt;=Assumptions!$F$237*Assumptions!$B$55)),Assumptions!$D$237,0)</f>
        <v/>
      </c>
      <c r="AI39" s="41">
        <f>IF(OR(AH39&gt;0,AND(AI$3&gt;=Assumptions!$E$237,AI$3&gt;=Assumptions!$B$14,Revenue_Build!AI10&gt;=Assumptions!$F$237*Assumptions!$B$55)),Assumptions!$D$237,0)</f>
        <v/>
      </c>
      <c r="AJ39" s="41">
        <f>IF(OR(AI39&gt;0,AND(AJ$3&gt;=Assumptions!$E$237,AJ$3&gt;=Assumptions!$B$14,Revenue_Build!AJ10&gt;=Assumptions!$F$237*Assumptions!$B$55)),Assumptions!$D$237,0)</f>
        <v/>
      </c>
      <c r="AK39" s="41">
        <f>IF(OR(AJ39&gt;0,AND(AK$3&gt;=Assumptions!$E$237,AK$3&gt;=Assumptions!$B$14,Revenue_Build!AK10&gt;=Assumptions!$F$237*Assumptions!$B$55)),Assumptions!$D$237,0)</f>
        <v/>
      </c>
      <c r="AL39" s="41">
        <f>IF(OR(AK39&gt;0,AND(AL$3&gt;=Assumptions!$E$237,AL$3&gt;=Assumptions!$B$14,Revenue_Build!AL10&gt;=Assumptions!$F$237*Assumptions!$B$55)),Assumptions!$D$237,0)</f>
        <v/>
      </c>
      <c r="AM39" s="41">
        <f>IF(OR(AL39&gt;0,AND(AM$3&gt;=Assumptions!$E$237,AM$3&gt;=Assumptions!$B$14,Revenue_Build!AM10&gt;=Assumptions!$F$237*Assumptions!$B$55)),Assumptions!$D$237,0)</f>
        <v/>
      </c>
      <c r="AN39" s="41">
        <f>IF(OR(AM39&gt;0,AND(AN$3&gt;=Assumptions!$E$237,AN$3&gt;=Assumptions!$B$14,Revenue_Build!AN10&gt;=Assumptions!$F$237*Assumptions!$B$55)),Assumptions!$D$237,0)</f>
        <v/>
      </c>
      <c r="AO39" s="41">
        <f>IF(OR(AN39&gt;0,AND(AO$3&gt;=Assumptions!$E$237,AO$3&gt;=Assumptions!$B$14,Revenue_Build!AO10&gt;=Assumptions!$F$237*Assumptions!$B$55)),Assumptions!$D$237,0)</f>
        <v/>
      </c>
      <c r="AP39" s="41">
        <f>IF(OR(AO39&gt;0,AND(AP$3&gt;=Assumptions!$E$237,AP$3&gt;=Assumptions!$B$14,Revenue_Build!AP10&gt;=Assumptions!$F$237*Assumptions!$B$55)),Assumptions!$D$237,0)</f>
        <v/>
      </c>
      <c r="AQ39" s="41">
        <f>IF(OR(AP39&gt;0,AND(AQ$3&gt;=Assumptions!$E$237,AQ$3&gt;=Assumptions!$B$14,Revenue_Build!AQ10&gt;=Assumptions!$F$237*Assumptions!$B$55)),Assumptions!$D$237,0)</f>
        <v/>
      </c>
      <c r="AR39" s="41">
        <f>IF(OR(AQ39&gt;0,AND(AR$3&gt;=Assumptions!$E$237,AR$3&gt;=Assumptions!$B$14,Revenue_Build!AR10&gt;=Assumptions!$F$237*Assumptions!$B$55)),Assumptions!$D$237,0)</f>
        <v/>
      </c>
      <c r="AS39" s="41">
        <f>IF(OR(AR39&gt;0,AND(AS$3&gt;=Assumptions!$E$237,AS$3&gt;=Assumptions!$B$14,Revenue_Build!AS10&gt;=Assumptions!$F$237*Assumptions!$B$55)),Assumptions!$D$237,0)</f>
        <v/>
      </c>
      <c r="AT39" s="41">
        <f>IF(OR(AS39&gt;0,AND(AT$3&gt;=Assumptions!$E$237,AT$3&gt;=Assumptions!$B$14,Revenue_Build!AT10&gt;=Assumptions!$F$237*Assumptions!$B$55)),Assumptions!$D$237,0)</f>
        <v/>
      </c>
      <c r="AU39" s="41">
        <f>IF(OR(AT39&gt;0,AND(AU$3&gt;=Assumptions!$E$237,AU$3&gt;=Assumptions!$B$14,Revenue_Build!AU10&gt;=Assumptions!$F$237*Assumptions!$B$55)),Assumptions!$D$237,0)</f>
        <v/>
      </c>
      <c r="AV39" s="41">
        <f>IF(OR(AU39&gt;0,AND(AV$3&gt;=Assumptions!$E$237,AV$3&gt;=Assumptions!$B$14,Revenue_Build!AV10&gt;=Assumptions!$F$237*Assumptions!$B$55)),Assumptions!$D$237,0)</f>
        <v/>
      </c>
      <c r="AW39" s="41">
        <f>IF(OR(AV39&gt;0,AND(AW$3&gt;=Assumptions!$E$237,AW$3&gt;=Assumptions!$B$14,Revenue_Build!AW10&gt;=Assumptions!$F$237*Assumptions!$B$55)),Assumptions!$D$237,0)</f>
        <v/>
      </c>
      <c r="AX39" s="41">
        <f>IF(OR(AW39&gt;0,AND(AX$3&gt;=Assumptions!$E$237,AX$3&gt;=Assumptions!$B$14,Revenue_Build!AX10&gt;=Assumptions!$F$237*Assumptions!$B$55)),Assumptions!$D$237,0)</f>
        <v/>
      </c>
      <c r="AY39" s="41">
        <f>IF(OR(AX39&gt;0,AND(AY$3&gt;=Assumptions!$E$237,AY$3&gt;=Assumptions!$B$14,Revenue_Build!AY10&gt;=Assumptions!$F$237*Assumptions!$B$55)),Assumptions!$D$237,0)</f>
        <v/>
      </c>
      <c r="AZ39" s="41">
        <f>IF(OR(AY39&gt;0,AND(AZ$3&gt;=Assumptions!$E$237,AZ$3&gt;=Assumptions!$B$14,Revenue_Build!AZ10&gt;=Assumptions!$F$237*Assumptions!$B$55)),Assumptions!$D$237,0)</f>
        <v/>
      </c>
      <c r="BA39" s="41">
        <f>IF(OR(AZ39&gt;0,AND(BA$3&gt;=Assumptions!$E$237,BA$3&gt;=Assumptions!$B$14,Revenue_Build!BA10&gt;=Assumptions!$F$237*Assumptions!$B$55)),Assumptions!$D$237,0)</f>
        <v/>
      </c>
      <c r="BB39" s="41">
        <f>IF(OR(BA39&gt;0,AND(BB$3&gt;=Assumptions!$E$237,BB$3&gt;=Assumptions!$B$14,Revenue_Build!BB10&gt;=Assumptions!$F$237*Assumptions!$B$55)),Assumptions!$D$237,0)</f>
        <v/>
      </c>
      <c r="BC39" s="41">
        <f>IF(OR(BB39&gt;0,AND(BC$3&gt;=Assumptions!$E$237,BC$3&gt;=Assumptions!$B$14,Revenue_Build!BC10&gt;=Assumptions!$F$237*Assumptions!$B$55)),Assumptions!$D$237,0)</f>
        <v/>
      </c>
      <c r="BD39" s="41">
        <f>IF(OR(BC39&gt;0,AND(BD$3&gt;=Assumptions!$E$237,BD$3&gt;=Assumptions!$B$14,Revenue_Build!BD10&gt;=Assumptions!$F$237*Assumptions!$B$55)),Assumptions!$D$237,0)</f>
        <v/>
      </c>
      <c r="BE39" s="41">
        <f>IF(OR(BD39&gt;0,AND(BE$3&gt;=Assumptions!$E$237,BE$3&gt;=Assumptions!$B$14,Revenue_Build!BE10&gt;=Assumptions!$F$237*Assumptions!$B$55)),Assumptions!$D$237,0)</f>
        <v/>
      </c>
      <c r="BF39" s="41">
        <f>IF(OR(BE39&gt;0,AND(BF$3&gt;=Assumptions!$E$237,BF$3&gt;=Assumptions!$B$14,Revenue_Build!BF10&gt;=Assumptions!$F$237*Assumptions!$B$55)),Assumptions!$D$237,0)</f>
        <v/>
      </c>
      <c r="BG39" s="41">
        <f>IF(OR(BF39&gt;0,AND(BG$3&gt;=Assumptions!$E$237,BG$3&gt;=Assumptions!$B$14,Revenue_Build!BG10&gt;=Assumptions!$F$237*Assumptions!$B$55)),Assumptions!$D$237,0)</f>
        <v/>
      </c>
      <c r="BH39" s="41">
        <f>IF(OR(BG39&gt;0,AND(BH$3&gt;=Assumptions!$E$237,BH$3&gt;=Assumptions!$B$14,Revenue_Build!BH10&gt;=Assumptions!$F$237*Assumptions!$B$55)),Assumptions!$D$237,0)</f>
        <v/>
      </c>
      <c r="BI39" s="41">
        <f>IF(OR(BH39&gt;0,AND(BI$3&gt;=Assumptions!$E$237,BI$3&gt;=Assumptions!$B$14,Revenue_Build!BI10&gt;=Assumptions!$F$237*Assumptions!$B$55)),Assumptions!$D$237,0)</f>
        <v/>
      </c>
      <c r="BJ39" s="41">
        <f>IF(OR(BI39&gt;0,AND(BJ$3&gt;=Assumptions!$E$237,BJ$3&gt;=Assumptions!$B$14,Revenue_Build!BJ10&gt;=Assumptions!$F$237*Assumptions!$B$55)),Assumptions!$D$237,0)</f>
        <v/>
      </c>
    </row>
    <row r="40">
      <c r="A40" s="4" t="inlineStr">
        <is>
          <t>SME account managers</t>
        </is>
      </c>
      <c r="B40" s="17" t="inlineStr">
        <is>
          <t>FTE</t>
        </is>
      </c>
      <c r="C40" s="41">
        <f>IF(AND(C$3&gt;=Assumptions!$E$238,C$3&gt;=Assumptions!$B$14,Revenue_Build!C10&gt;=Assumptions!$F$238*Assumptions!$B$55),Assumptions!$D$238,0)</f>
        <v/>
      </c>
      <c r="D40" s="41">
        <f>IF(OR(C40&gt;0,AND(D$3&gt;=Assumptions!$E$238,D$3&gt;=Assumptions!$B$14,Revenue_Build!D10&gt;=Assumptions!$F$238*Assumptions!$B$55)),Assumptions!$D$238,0)</f>
        <v/>
      </c>
      <c r="E40" s="41">
        <f>IF(OR(D40&gt;0,AND(E$3&gt;=Assumptions!$E$238,E$3&gt;=Assumptions!$B$14,Revenue_Build!E10&gt;=Assumptions!$F$238*Assumptions!$B$55)),Assumptions!$D$238,0)</f>
        <v/>
      </c>
      <c r="F40" s="41">
        <f>IF(OR(E40&gt;0,AND(F$3&gt;=Assumptions!$E$238,F$3&gt;=Assumptions!$B$14,Revenue_Build!F10&gt;=Assumptions!$F$238*Assumptions!$B$55)),Assumptions!$D$238,0)</f>
        <v/>
      </c>
      <c r="G40" s="41">
        <f>IF(OR(F40&gt;0,AND(G$3&gt;=Assumptions!$E$238,G$3&gt;=Assumptions!$B$14,Revenue_Build!G10&gt;=Assumptions!$F$238*Assumptions!$B$55)),Assumptions!$D$238,0)</f>
        <v/>
      </c>
      <c r="H40" s="41">
        <f>IF(OR(G40&gt;0,AND(H$3&gt;=Assumptions!$E$238,H$3&gt;=Assumptions!$B$14,Revenue_Build!H10&gt;=Assumptions!$F$238*Assumptions!$B$55)),Assumptions!$D$238,0)</f>
        <v/>
      </c>
      <c r="I40" s="41">
        <f>IF(OR(H40&gt;0,AND(I$3&gt;=Assumptions!$E$238,I$3&gt;=Assumptions!$B$14,Revenue_Build!I10&gt;=Assumptions!$F$238*Assumptions!$B$55)),Assumptions!$D$238,0)</f>
        <v/>
      </c>
      <c r="J40" s="41">
        <f>IF(OR(I40&gt;0,AND(J$3&gt;=Assumptions!$E$238,J$3&gt;=Assumptions!$B$14,Revenue_Build!J10&gt;=Assumptions!$F$238*Assumptions!$B$55)),Assumptions!$D$238,0)</f>
        <v/>
      </c>
      <c r="K40" s="41">
        <f>IF(OR(J40&gt;0,AND(K$3&gt;=Assumptions!$E$238,K$3&gt;=Assumptions!$B$14,Revenue_Build!K10&gt;=Assumptions!$F$238*Assumptions!$B$55)),Assumptions!$D$238,0)</f>
        <v/>
      </c>
      <c r="L40" s="41">
        <f>IF(OR(K40&gt;0,AND(L$3&gt;=Assumptions!$E$238,L$3&gt;=Assumptions!$B$14,Revenue_Build!L10&gt;=Assumptions!$F$238*Assumptions!$B$55)),Assumptions!$D$238,0)</f>
        <v/>
      </c>
      <c r="M40" s="41">
        <f>IF(OR(L40&gt;0,AND(M$3&gt;=Assumptions!$E$238,M$3&gt;=Assumptions!$B$14,Revenue_Build!M10&gt;=Assumptions!$F$238*Assumptions!$B$55)),Assumptions!$D$238,0)</f>
        <v/>
      </c>
      <c r="N40" s="41">
        <f>IF(OR(M40&gt;0,AND(N$3&gt;=Assumptions!$E$238,N$3&gt;=Assumptions!$B$14,Revenue_Build!N10&gt;=Assumptions!$F$238*Assumptions!$B$55)),Assumptions!$D$238,0)</f>
        <v/>
      </c>
      <c r="O40" s="41">
        <f>IF(OR(N40&gt;0,AND(O$3&gt;=Assumptions!$E$238,O$3&gt;=Assumptions!$B$14,Revenue_Build!O10&gt;=Assumptions!$F$238*Assumptions!$B$55)),Assumptions!$D$238,0)</f>
        <v/>
      </c>
      <c r="P40" s="41">
        <f>IF(OR(O40&gt;0,AND(P$3&gt;=Assumptions!$E$238,P$3&gt;=Assumptions!$B$14,Revenue_Build!P10&gt;=Assumptions!$F$238*Assumptions!$B$55)),Assumptions!$D$238,0)</f>
        <v/>
      </c>
      <c r="Q40" s="41">
        <f>IF(OR(P40&gt;0,AND(Q$3&gt;=Assumptions!$E$238,Q$3&gt;=Assumptions!$B$14,Revenue_Build!Q10&gt;=Assumptions!$F$238*Assumptions!$B$55)),Assumptions!$D$238,0)</f>
        <v/>
      </c>
      <c r="R40" s="41">
        <f>IF(OR(Q40&gt;0,AND(R$3&gt;=Assumptions!$E$238,R$3&gt;=Assumptions!$B$14,Revenue_Build!R10&gt;=Assumptions!$F$238*Assumptions!$B$55)),Assumptions!$D$238,0)</f>
        <v/>
      </c>
      <c r="S40" s="41">
        <f>IF(OR(R40&gt;0,AND(S$3&gt;=Assumptions!$E$238,S$3&gt;=Assumptions!$B$14,Revenue_Build!S10&gt;=Assumptions!$F$238*Assumptions!$B$55)),Assumptions!$D$238,0)</f>
        <v/>
      </c>
      <c r="T40" s="41">
        <f>IF(OR(S40&gt;0,AND(T$3&gt;=Assumptions!$E$238,T$3&gt;=Assumptions!$B$14,Revenue_Build!T10&gt;=Assumptions!$F$238*Assumptions!$B$55)),Assumptions!$D$238,0)</f>
        <v/>
      </c>
      <c r="U40" s="41">
        <f>IF(OR(T40&gt;0,AND(U$3&gt;=Assumptions!$E$238,U$3&gt;=Assumptions!$B$14,Revenue_Build!U10&gt;=Assumptions!$F$238*Assumptions!$B$55)),Assumptions!$D$238,0)</f>
        <v/>
      </c>
      <c r="V40" s="41">
        <f>IF(OR(U40&gt;0,AND(V$3&gt;=Assumptions!$E$238,V$3&gt;=Assumptions!$B$14,Revenue_Build!V10&gt;=Assumptions!$F$238*Assumptions!$B$55)),Assumptions!$D$238,0)</f>
        <v/>
      </c>
      <c r="W40" s="41">
        <f>IF(OR(V40&gt;0,AND(W$3&gt;=Assumptions!$E$238,W$3&gt;=Assumptions!$B$14,Revenue_Build!W10&gt;=Assumptions!$F$238*Assumptions!$B$55)),Assumptions!$D$238,0)</f>
        <v/>
      </c>
      <c r="X40" s="41">
        <f>IF(OR(W40&gt;0,AND(X$3&gt;=Assumptions!$E$238,X$3&gt;=Assumptions!$B$14,Revenue_Build!X10&gt;=Assumptions!$F$238*Assumptions!$B$55)),Assumptions!$D$238,0)</f>
        <v/>
      </c>
      <c r="Y40" s="41">
        <f>IF(OR(X40&gt;0,AND(Y$3&gt;=Assumptions!$E$238,Y$3&gt;=Assumptions!$B$14,Revenue_Build!Y10&gt;=Assumptions!$F$238*Assumptions!$B$55)),Assumptions!$D$238,0)</f>
        <v/>
      </c>
      <c r="Z40" s="41">
        <f>IF(OR(Y40&gt;0,AND(Z$3&gt;=Assumptions!$E$238,Z$3&gt;=Assumptions!$B$14,Revenue_Build!Z10&gt;=Assumptions!$F$238*Assumptions!$B$55)),Assumptions!$D$238,0)</f>
        <v/>
      </c>
      <c r="AA40" s="41">
        <f>IF(OR(Z40&gt;0,AND(AA$3&gt;=Assumptions!$E$238,AA$3&gt;=Assumptions!$B$14,Revenue_Build!AA10&gt;=Assumptions!$F$238*Assumptions!$B$55)),Assumptions!$D$238,0)</f>
        <v/>
      </c>
      <c r="AB40" s="41">
        <f>IF(OR(AA40&gt;0,AND(AB$3&gt;=Assumptions!$E$238,AB$3&gt;=Assumptions!$B$14,Revenue_Build!AB10&gt;=Assumptions!$F$238*Assumptions!$B$55)),Assumptions!$D$238,0)</f>
        <v/>
      </c>
      <c r="AC40" s="41">
        <f>IF(OR(AB40&gt;0,AND(AC$3&gt;=Assumptions!$E$238,AC$3&gt;=Assumptions!$B$14,Revenue_Build!AC10&gt;=Assumptions!$F$238*Assumptions!$B$55)),Assumptions!$D$238,0)</f>
        <v/>
      </c>
      <c r="AD40" s="41">
        <f>IF(OR(AC40&gt;0,AND(AD$3&gt;=Assumptions!$E$238,AD$3&gt;=Assumptions!$B$14,Revenue_Build!AD10&gt;=Assumptions!$F$238*Assumptions!$B$55)),Assumptions!$D$238,0)</f>
        <v/>
      </c>
      <c r="AE40" s="41">
        <f>IF(OR(AD40&gt;0,AND(AE$3&gt;=Assumptions!$E$238,AE$3&gt;=Assumptions!$B$14,Revenue_Build!AE10&gt;=Assumptions!$F$238*Assumptions!$B$55)),Assumptions!$D$238,0)</f>
        <v/>
      </c>
      <c r="AF40" s="41">
        <f>IF(OR(AE40&gt;0,AND(AF$3&gt;=Assumptions!$E$238,AF$3&gt;=Assumptions!$B$14,Revenue_Build!AF10&gt;=Assumptions!$F$238*Assumptions!$B$55)),Assumptions!$D$238,0)</f>
        <v/>
      </c>
      <c r="AG40" s="41">
        <f>IF(OR(AF40&gt;0,AND(AG$3&gt;=Assumptions!$E$238,AG$3&gt;=Assumptions!$B$14,Revenue_Build!AG10&gt;=Assumptions!$F$238*Assumptions!$B$55)),Assumptions!$D$238,0)</f>
        <v/>
      </c>
      <c r="AH40" s="41">
        <f>IF(OR(AG40&gt;0,AND(AH$3&gt;=Assumptions!$E$238,AH$3&gt;=Assumptions!$B$14,Revenue_Build!AH10&gt;=Assumptions!$F$238*Assumptions!$B$55)),Assumptions!$D$238,0)</f>
        <v/>
      </c>
      <c r="AI40" s="41">
        <f>IF(OR(AH40&gt;0,AND(AI$3&gt;=Assumptions!$E$238,AI$3&gt;=Assumptions!$B$14,Revenue_Build!AI10&gt;=Assumptions!$F$238*Assumptions!$B$55)),Assumptions!$D$238,0)</f>
        <v/>
      </c>
      <c r="AJ40" s="41">
        <f>IF(OR(AI40&gt;0,AND(AJ$3&gt;=Assumptions!$E$238,AJ$3&gt;=Assumptions!$B$14,Revenue_Build!AJ10&gt;=Assumptions!$F$238*Assumptions!$B$55)),Assumptions!$D$238,0)</f>
        <v/>
      </c>
      <c r="AK40" s="41">
        <f>IF(OR(AJ40&gt;0,AND(AK$3&gt;=Assumptions!$E$238,AK$3&gt;=Assumptions!$B$14,Revenue_Build!AK10&gt;=Assumptions!$F$238*Assumptions!$B$55)),Assumptions!$D$238,0)</f>
        <v/>
      </c>
      <c r="AL40" s="41">
        <f>IF(OR(AK40&gt;0,AND(AL$3&gt;=Assumptions!$E$238,AL$3&gt;=Assumptions!$B$14,Revenue_Build!AL10&gt;=Assumptions!$F$238*Assumptions!$B$55)),Assumptions!$D$238,0)</f>
        <v/>
      </c>
      <c r="AM40" s="41">
        <f>IF(OR(AL40&gt;0,AND(AM$3&gt;=Assumptions!$E$238,AM$3&gt;=Assumptions!$B$14,Revenue_Build!AM10&gt;=Assumptions!$F$238*Assumptions!$B$55)),Assumptions!$D$238,0)</f>
        <v/>
      </c>
      <c r="AN40" s="41">
        <f>IF(OR(AM40&gt;0,AND(AN$3&gt;=Assumptions!$E$238,AN$3&gt;=Assumptions!$B$14,Revenue_Build!AN10&gt;=Assumptions!$F$238*Assumptions!$B$55)),Assumptions!$D$238,0)</f>
        <v/>
      </c>
      <c r="AO40" s="41">
        <f>IF(OR(AN40&gt;0,AND(AO$3&gt;=Assumptions!$E$238,AO$3&gt;=Assumptions!$B$14,Revenue_Build!AO10&gt;=Assumptions!$F$238*Assumptions!$B$55)),Assumptions!$D$238,0)</f>
        <v/>
      </c>
      <c r="AP40" s="41">
        <f>IF(OR(AO40&gt;0,AND(AP$3&gt;=Assumptions!$E$238,AP$3&gt;=Assumptions!$B$14,Revenue_Build!AP10&gt;=Assumptions!$F$238*Assumptions!$B$55)),Assumptions!$D$238,0)</f>
        <v/>
      </c>
      <c r="AQ40" s="41">
        <f>IF(OR(AP40&gt;0,AND(AQ$3&gt;=Assumptions!$E$238,AQ$3&gt;=Assumptions!$B$14,Revenue_Build!AQ10&gt;=Assumptions!$F$238*Assumptions!$B$55)),Assumptions!$D$238,0)</f>
        <v/>
      </c>
      <c r="AR40" s="41">
        <f>IF(OR(AQ40&gt;0,AND(AR$3&gt;=Assumptions!$E$238,AR$3&gt;=Assumptions!$B$14,Revenue_Build!AR10&gt;=Assumptions!$F$238*Assumptions!$B$55)),Assumptions!$D$238,0)</f>
        <v/>
      </c>
      <c r="AS40" s="41">
        <f>IF(OR(AR40&gt;0,AND(AS$3&gt;=Assumptions!$E$238,AS$3&gt;=Assumptions!$B$14,Revenue_Build!AS10&gt;=Assumptions!$F$238*Assumptions!$B$55)),Assumptions!$D$238,0)</f>
        <v/>
      </c>
      <c r="AT40" s="41">
        <f>IF(OR(AS40&gt;0,AND(AT$3&gt;=Assumptions!$E$238,AT$3&gt;=Assumptions!$B$14,Revenue_Build!AT10&gt;=Assumptions!$F$238*Assumptions!$B$55)),Assumptions!$D$238,0)</f>
        <v/>
      </c>
      <c r="AU40" s="41">
        <f>IF(OR(AT40&gt;0,AND(AU$3&gt;=Assumptions!$E$238,AU$3&gt;=Assumptions!$B$14,Revenue_Build!AU10&gt;=Assumptions!$F$238*Assumptions!$B$55)),Assumptions!$D$238,0)</f>
        <v/>
      </c>
      <c r="AV40" s="41">
        <f>IF(OR(AU40&gt;0,AND(AV$3&gt;=Assumptions!$E$238,AV$3&gt;=Assumptions!$B$14,Revenue_Build!AV10&gt;=Assumptions!$F$238*Assumptions!$B$55)),Assumptions!$D$238,0)</f>
        <v/>
      </c>
      <c r="AW40" s="41">
        <f>IF(OR(AV40&gt;0,AND(AW$3&gt;=Assumptions!$E$238,AW$3&gt;=Assumptions!$B$14,Revenue_Build!AW10&gt;=Assumptions!$F$238*Assumptions!$B$55)),Assumptions!$D$238,0)</f>
        <v/>
      </c>
      <c r="AX40" s="41">
        <f>IF(OR(AW40&gt;0,AND(AX$3&gt;=Assumptions!$E$238,AX$3&gt;=Assumptions!$B$14,Revenue_Build!AX10&gt;=Assumptions!$F$238*Assumptions!$B$55)),Assumptions!$D$238,0)</f>
        <v/>
      </c>
      <c r="AY40" s="41">
        <f>IF(OR(AX40&gt;0,AND(AY$3&gt;=Assumptions!$E$238,AY$3&gt;=Assumptions!$B$14,Revenue_Build!AY10&gt;=Assumptions!$F$238*Assumptions!$B$55)),Assumptions!$D$238,0)</f>
        <v/>
      </c>
      <c r="AZ40" s="41">
        <f>IF(OR(AY40&gt;0,AND(AZ$3&gt;=Assumptions!$E$238,AZ$3&gt;=Assumptions!$B$14,Revenue_Build!AZ10&gt;=Assumptions!$F$238*Assumptions!$B$55)),Assumptions!$D$238,0)</f>
        <v/>
      </c>
      <c r="BA40" s="41">
        <f>IF(OR(AZ40&gt;0,AND(BA$3&gt;=Assumptions!$E$238,BA$3&gt;=Assumptions!$B$14,Revenue_Build!BA10&gt;=Assumptions!$F$238*Assumptions!$B$55)),Assumptions!$D$238,0)</f>
        <v/>
      </c>
      <c r="BB40" s="41">
        <f>IF(OR(BA40&gt;0,AND(BB$3&gt;=Assumptions!$E$238,BB$3&gt;=Assumptions!$B$14,Revenue_Build!BB10&gt;=Assumptions!$F$238*Assumptions!$B$55)),Assumptions!$D$238,0)</f>
        <v/>
      </c>
      <c r="BC40" s="41">
        <f>IF(OR(BB40&gt;0,AND(BC$3&gt;=Assumptions!$E$238,BC$3&gt;=Assumptions!$B$14,Revenue_Build!BC10&gt;=Assumptions!$F$238*Assumptions!$B$55)),Assumptions!$D$238,0)</f>
        <v/>
      </c>
      <c r="BD40" s="41">
        <f>IF(OR(BC40&gt;0,AND(BD$3&gt;=Assumptions!$E$238,BD$3&gt;=Assumptions!$B$14,Revenue_Build!BD10&gt;=Assumptions!$F$238*Assumptions!$B$55)),Assumptions!$D$238,0)</f>
        <v/>
      </c>
      <c r="BE40" s="41">
        <f>IF(OR(BD40&gt;0,AND(BE$3&gt;=Assumptions!$E$238,BE$3&gt;=Assumptions!$B$14,Revenue_Build!BE10&gt;=Assumptions!$F$238*Assumptions!$B$55)),Assumptions!$D$238,0)</f>
        <v/>
      </c>
      <c r="BF40" s="41">
        <f>IF(OR(BE40&gt;0,AND(BF$3&gt;=Assumptions!$E$238,BF$3&gt;=Assumptions!$B$14,Revenue_Build!BF10&gt;=Assumptions!$F$238*Assumptions!$B$55)),Assumptions!$D$238,0)</f>
        <v/>
      </c>
      <c r="BG40" s="41">
        <f>IF(OR(BF40&gt;0,AND(BG$3&gt;=Assumptions!$E$238,BG$3&gt;=Assumptions!$B$14,Revenue_Build!BG10&gt;=Assumptions!$F$238*Assumptions!$B$55)),Assumptions!$D$238,0)</f>
        <v/>
      </c>
      <c r="BH40" s="41">
        <f>IF(OR(BG40&gt;0,AND(BH$3&gt;=Assumptions!$E$238,BH$3&gt;=Assumptions!$B$14,Revenue_Build!BH10&gt;=Assumptions!$F$238*Assumptions!$B$55)),Assumptions!$D$238,0)</f>
        <v/>
      </c>
      <c r="BI40" s="41">
        <f>IF(OR(BH40&gt;0,AND(BI$3&gt;=Assumptions!$E$238,BI$3&gt;=Assumptions!$B$14,Revenue_Build!BI10&gt;=Assumptions!$F$238*Assumptions!$B$55)),Assumptions!$D$238,0)</f>
        <v/>
      </c>
      <c r="BJ40" s="41">
        <f>IF(OR(BI40&gt;0,AND(BJ$3&gt;=Assumptions!$E$238,BJ$3&gt;=Assumptions!$B$14,Revenue_Build!BJ10&gt;=Assumptions!$F$238*Assumptions!$B$55)),Assumptions!$D$238,0)</f>
        <v/>
      </c>
    </row>
    <row r="41">
      <c r="A41" s="4" t="inlineStr">
        <is>
          <t>Partnerships managers (scale-up III)</t>
        </is>
      </c>
      <c r="B41" s="17" t="inlineStr">
        <is>
          <t>FTE</t>
        </is>
      </c>
      <c r="C41" s="41">
        <f>IF(AND(C$3&gt;=Assumptions!$E$239,C$3&gt;=Assumptions!$B$14,Revenue_Build!C10&gt;=Assumptions!$F$239*Assumptions!$B$55),Assumptions!$D$239,0)</f>
        <v/>
      </c>
      <c r="D41" s="41">
        <f>IF(OR(C41&gt;0,AND(D$3&gt;=Assumptions!$E$239,D$3&gt;=Assumptions!$B$14,Revenue_Build!D10&gt;=Assumptions!$F$239*Assumptions!$B$55)),Assumptions!$D$239,0)</f>
        <v/>
      </c>
      <c r="E41" s="41">
        <f>IF(OR(D41&gt;0,AND(E$3&gt;=Assumptions!$E$239,E$3&gt;=Assumptions!$B$14,Revenue_Build!E10&gt;=Assumptions!$F$239*Assumptions!$B$55)),Assumptions!$D$239,0)</f>
        <v/>
      </c>
      <c r="F41" s="41">
        <f>IF(OR(E41&gt;0,AND(F$3&gt;=Assumptions!$E$239,F$3&gt;=Assumptions!$B$14,Revenue_Build!F10&gt;=Assumptions!$F$239*Assumptions!$B$55)),Assumptions!$D$239,0)</f>
        <v/>
      </c>
      <c r="G41" s="41">
        <f>IF(OR(F41&gt;0,AND(G$3&gt;=Assumptions!$E$239,G$3&gt;=Assumptions!$B$14,Revenue_Build!G10&gt;=Assumptions!$F$239*Assumptions!$B$55)),Assumptions!$D$239,0)</f>
        <v/>
      </c>
      <c r="H41" s="41">
        <f>IF(OR(G41&gt;0,AND(H$3&gt;=Assumptions!$E$239,H$3&gt;=Assumptions!$B$14,Revenue_Build!H10&gt;=Assumptions!$F$239*Assumptions!$B$55)),Assumptions!$D$239,0)</f>
        <v/>
      </c>
      <c r="I41" s="41">
        <f>IF(OR(H41&gt;0,AND(I$3&gt;=Assumptions!$E$239,I$3&gt;=Assumptions!$B$14,Revenue_Build!I10&gt;=Assumptions!$F$239*Assumptions!$B$55)),Assumptions!$D$239,0)</f>
        <v/>
      </c>
      <c r="J41" s="41">
        <f>IF(OR(I41&gt;0,AND(J$3&gt;=Assumptions!$E$239,J$3&gt;=Assumptions!$B$14,Revenue_Build!J10&gt;=Assumptions!$F$239*Assumptions!$B$55)),Assumptions!$D$239,0)</f>
        <v/>
      </c>
      <c r="K41" s="41">
        <f>IF(OR(J41&gt;0,AND(K$3&gt;=Assumptions!$E$239,K$3&gt;=Assumptions!$B$14,Revenue_Build!K10&gt;=Assumptions!$F$239*Assumptions!$B$55)),Assumptions!$D$239,0)</f>
        <v/>
      </c>
      <c r="L41" s="41">
        <f>IF(OR(K41&gt;0,AND(L$3&gt;=Assumptions!$E$239,L$3&gt;=Assumptions!$B$14,Revenue_Build!L10&gt;=Assumptions!$F$239*Assumptions!$B$55)),Assumptions!$D$239,0)</f>
        <v/>
      </c>
      <c r="M41" s="41">
        <f>IF(OR(L41&gt;0,AND(M$3&gt;=Assumptions!$E$239,M$3&gt;=Assumptions!$B$14,Revenue_Build!M10&gt;=Assumptions!$F$239*Assumptions!$B$55)),Assumptions!$D$239,0)</f>
        <v/>
      </c>
      <c r="N41" s="41">
        <f>IF(OR(M41&gt;0,AND(N$3&gt;=Assumptions!$E$239,N$3&gt;=Assumptions!$B$14,Revenue_Build!N10&gt;=Assumptions!$F$239*Assumptions!$B$55)),Assumptions!$D$239,0)</f>
        <v/>
      </c>
      <c r="O41" s="41">
        <f>IF(OR(N41&gt;0,AND(O$3&gt;=Assumptions!$E$239,O$3&gt;=Assumptions!$B$14,Revenue_Build!O10&gt;=Assumptions!$F$239*Assumptions!$B$55)),Assumptions!$D$239,0)</f>
        <v/>
      </c>
      <c r="P41" s="41">
        <f>IF(OR(O41&gt;0,AND(P$3&gt;=Assumptions!$E$239,P$3&gt;=Assumptions!$B$14,Revenue_Build!P10&gt;=Assumptions!$F$239*Assumptions!$B$55)),Assumptions!$D$239,0)</f>
        <v/>
      </c>
      <c r="Q41" s="41">
        <f>IF(OR(P41&gt;0,AND(Q$3&gt;=Assumptions!$E$239,Q$3&gt;=Assumptions!$B$14,Revenue_Build!Q10&gt;=Assumptions!$F$239*Assumptions!$B$55)),Assumptions!$D$239,0)</f>
        <v/>
      </c>
      <c r="R41" s="41">
        <f>IF(OR(Q41&gt;0,AND(R$3&gt;=Assumptions!$E$239,R$3&gt;=Assumptions!$B$14,Revenue_Build!R10&gt;=Assumptions!$F$239*Assumptions!$B$55)),Assumptions!$D$239,0)</f>
        <v/>
      </c>
      <c r="S41" s="41">
        <f>IF(OR(R41&gt;0,AND(S$3&gt;=Assumptions!$E$239,S$3&gt;=Assumptions!$B$14,Revenue_Build!S10&gt;=Assumptions!$F$239*Assumptions!$B$55)),Assumptions!$D$239,0)</f>
        <v/>
      </c>
      <c r="T41" s="41">
        <f>IF(OR(S41&gt;0,AND(T$3&gt;=Assumptions!$E$239,T$3&gt;=Assumptions!$B$14,Revenue_Build!T10&gt;=Assumptions!$F$239*Assumptions!$B$55)),Assumptions!$D$239,0)</f>
        <v/>
      </c>
      <c r="U41" s="41">
        <f>IF(OR(T41&gt;0,AND(U$3&gt;=Assumptions!$E$239,U$3&gt;=Assumptions!$B$14,Revenue_Build!U10&gt;=Assumptions!$F$239*Assumptions!$B$55)),Assumptions!$D$239,0)</f>
        <v/>
      </c>
      <c r="V41" s="41">
        <f>IF(OR(U41&gt;0,AND(V$3&gt;=Assumptions!$E$239,V$3&gt;=Assumptions!$B$14,Revenue_Build!V10&gt;=Assumptions!$F$239*Assumptions!$B$55)),Assumptions!$D$239,0)</f>
        <v/>
      </c>
      <c r="W41" s="41">
        <f>IF(OR(V41&gt;0,AND(W$3&gt;=Assumptions!$E$239,W$3&gt;=Assumptions!$B$14,Revenue_Build!W10&gt;=Assumptions!$F$239*Assumptions!$B$55)),Assumptions!$D$239,0)</f>
        <v/>
      </c>
      <c r="X41" s="41">
        <f>IF(OR(W41&gt;0,AND(X$3&gt;=Assumptions!$E$239,X$3&gt;=Assumptions!$B$14,Revenue_Build!X10&gt;=Assumptions!$F$239*Assumptions!$B$55)),Assumptions!$D$239,0)</f>
        <v/>
      </c>
      <c r="Y41" s="41">
        <f>IF(OR(X41&gt;0,AND(Y$3&gt;=Assumptions!$E$239,Y$3&gt;=Assumptions!$B$14,Revenue_Build!Y10&gt;=Assumptions!$F$239*Assumptions!$B$55)),Assumptions!$D$239,0)</f>
        <v/>
      </c>
      <c r="Z41" s="41">
        <f>IF(OR(Y41&gt;0,AND(Z$3&gt;=Assumptions!$E$239,Z$3&gt;=Assumptions!$B$14,Revenue_Build!Z10&gt;=Assumptions!$F$239*Assumptions!$B$55)),Assumptions!$D$239,0)</f>
        <v/>
      </c>
      <c r="AA41" s="41">
        <f>IF(OR(Z41&gt;0,AND(AA$3&gt;=Assumptions!$E$239,AA$3&gt;=Assumptions!$B$14,Revenue_Build!AA10&gt;=Assumptions!$F$239*Assumptions!$B$55)),Assumptions!$D$239,0)</f>
        <v/>
      </c>
      <c r="AB41" s="41">
        <f>IF(OR(AA41&gt;0,AND(AB$3&gt;=Assumptions!$E$239,AB$3&gt;=Assumptions!$B$14,Revenue_Build!AB10&gt;=Assumptions!$F$239*Assumptions!$B$55)),Assumptions!$D$239,0)</f>
        <v/>
      </c>
      <c r="AC41" s="41">
        <f>IF(OR(AB41&gt;0,AND(AC$3&gt;=Assumptions!$E$239,AC$3&gt;=Assumptions!$B$14,Revenue_Build!AC10&gt;=Assumptions!$F$239*Assumptions!$B$55)),Assumptions!$D$239,0)</f>
        <v/>
      </c>
      <c r="AD41" s="41">
        <f>IF(OR(AC41&gt;0,AND(AD$3&gt;=Assumptions!$E$239,AD$3&gt;=Assumptions!$B$14,Revenue_Build!AD10&gt;=Assumptions!$F$239*Assumptions!$B$55)),Assumptions!$D$239,0)</f>
        <v/>
      </c>
      <c r="AE41" s="41">
        <f>IF(OR(AD41&gt;0,AND(AE$3&gt;=Assumptions!$E$239,AE$3&gt;=Assumptions!$B$14,Revenue_Build!AE10&gt;=Assumptions!$F$239*Assumptions!$B$55)),Assumptions!$D$239,0)</f>
        <v/>
      </c>
      <c r="AF41" s="41">
        <f>IF(OR(AE41&gt;0,AND(AF$3&gt;=Assumptions!$E$239,AF$3&gt;=Assumptions!$B$14,Revenue_Build!AF10&gt;=Assumptions!$F$239*Assumptions!$B$55)),Assumptions!$D$239,0)</f>
        <v/>
      </c>
      <c r="AG41" s="41">
        <f>IF(OR(AF41&gt;0,AND(AG$3&gt;=Assumptions!$E$239,AG$3&gt;=Assumptions!$B$14,Revenue_Build!AG10&gt;=Assumptions!$F$239*Assumptions!$B$55)),Assumptions!$D$239,0)</f>
        <v/>
      </c>
      <c r="AH41" s="41">
        <f>IF(OR(AG41&gt;0,AND(AH$3&gt;=Assumptions!$E$239,AH$3&gt;=Assumptions!$B$14,Revenue_Build!AH10&gt;=Assumptions!$F$239*Assumptions!$B$55)),Assumptions!$D$239,0)</f>
        <v/>
      </c>
      <c r="AI41" s="41">
        <f>IF(OR(AH41&gt;0,AND(AI$3&gt;=Assumptions!$E$239,AI$3&gt;=Assumptions!$B$14,Revenue_Build!AI10&gt;=Assumptions!$F$239*Assumptions!$B$55)),Assumptions!$D$239,0)</f>
        <v/>
      </c>
      <c r="AJ41" s="41">
        <f>IF(OR(AI41&gt;0,AND(AJ$3&gt;=Assumptions!$E$239,AJ$3&gt;=Assumptions!$B$14,Revenue_Build!AJ10&gt;=Assumptions!$F$239*Assumptions!$B$55)),Assumptions!$D$239,0)</f>
        <v/>
      </c>
      <c r="AK41" s="41">
        <f>IF(OR(AJ41&gt;0,AND(AK$3&gt;=Assumptions!$E$239,AK$3&gt;=Assumptions!$B$14,Revenue_Build!AK10&gt;=Assumptions!$F$239*Assumptions!$B$55)),Assumptions!$D$239,0)</f>
        <v/>
      </c>
      <c r="AL41" s="41">
        <f>IF(OR(AK41&gt;0,AND(AL$3&gt;=Assumptions!$E$239,AL$3&gt;=Assumptions!$B$14,Revenue_Build!AL10&gt;=Assumptions!$F$239*Assumptions!$B$55)),Assumptions!$D$239,0)</f>
        <v/>
      </c>
      <c r="AM41" s="41">
        <f>IF(OR(AL41&gt;0,AND(AM$3&gt;=Assumptions!$E$239,AM$3&gt;=Assumptions!$B$14,Revenue_Build!AM10&gt;=Assumptions!$F$239*Assumptions!$B$55)),Assumptions!$D$239,0)</f>
        <v/>
      </c>
      <c r="AN41" s="41">
        <f>IF(OR(AM41&gt;0,AND(AN$3&gt;=Assumptions!$E$239,AN$3&gt;=Assumptions!$B$14,Revenue_Build!AN10&gt;=Assumptions!$F$239*Assumptions!$B$55)),Assumptions!$D$239,0)</f>
        <v/>
      </c>
      <c r="AO41" s="41">
        <f>IF(OR(AN41&gt;0,AND(AO$3&gt;=Assumptions!$E$239,AO$3&gt;=Assumptions!$B$14,Revenue_Build!AO10&gt;=Assumptions!$F$239*Assumptions!$B$55)),Assumptions!$D$239,0)</f>
        <v/>
      </c>
      <c r="AP41" s="41">
        <f>IF(OR(AO41&gt;0,AND(AP$3&gt;=Assumptions!$E$239,AP$3&gt;=Assumptions!$B$14,Revenue_Build!AP10&gt;=Assumptions!$F$239*Assumptions!$B$55)),Assumptions!$D$239,0)</f>
        <v/>
      </c>
      <c r="AQ41" s="41">
        <f>IF(OR(AP41&gt;0,AND(AQ$3&gt;=Assumptions!$E$239,AQ$3&gt;=Assumptions!$B$14,Revenue_Build!AQ10&gt;=Assumptions!$F$239*Assumptions!$B$55)),Assumptions!$D$239,0)</f>
        <v/>
      </c>
      <c r="AR41" s="41">
        <f>IF(OR(AQ41&gt;0,AND(AR$3&gt;=Assumptions!$E$239,AR$3&gt;=Assumptions!$B$14,Revenue_Build!AR10&gt;=Assumptions!$F$239*Assumptions!$B$55)),Assumptions!$D$239,0)</f>
        <v/>
      </c>
      <c r="AS41" s="41">
        <f>IF(OR(AR41&gt;0,AND(AS$3&gt;=Assumptions!$E$239,AS$3&gt;=Assumptions!$B$14,Revenue_Build!AS10&gt;=Assumptions!$F$239*Assumptions!$B$55)),Assumptions!$D$239,0)</f>
        <v/>
      </c>
      <c r="AT41" s="41">
        <f>IF(OR(AS41&gt;0,AND(AT$3&gt;=Assumptions!$E$239,AT$3&gt;=Assumptions!$B$14,Revenue_Build!AT10&gt;=Assumptions!$F$239*Assumptions!$B$55)),Assumptions!$D$239,0)</f>
        <v/>
      </c>
      <c r="AU41" s="41">
        <f>IF(OR(AT41&gt;0,AND(AU$3&gt;=Assumptions!$E$239,AU$3&gt;=Assumptions!$B$14,Revenue_Build!AU10&gt;=Assumptions!$F$239*Assumptions!$B$55)),Assumptions!$D$239,0)</f>
        <v/>
      </c>
      <c r="AV41" s="41">
        <f>IF(OR(AU41&gt;0,AND(AV$3&gt;=Assumptions!$E$239,AV$3&gt;=Assumptions!$B$14,Revenue_Build!AV10&gt;=Assumptions!$F$239*Assumptions!$B$55)),Assumptions!$D$239,0)</f>
        <v/>
      </c>
      <c r="AW41" s="41">
        <f>IF(OR(AV41&gt;0,AND(AW$3&gt;=Assumptions!$E$239,AW$3&gt;=Assumptions!$B$14,Revenue_Build!AW10&gt;=Assumptions!$F$239*Assumptions!$B$55)),Assumptions!$D$239,0)</f>
        <v/>
      </c>
      <c r="AX41" s="41">
        <f>IF(OR(AW41&gt;0,AND(AX$3&gt;=Assumptions!$E$239,AX$3&gt;=Assumptions!$B$14,Revenue_Build!AX10&gt;=Assumptions!$F$239*Assumptions!$B$55)),Assumptions!$D$239,0)</f>
        <v/>
      </c>
      <c r="AY41" s="41">
        <f>IF(OR(AX41&gt;0,AND(AY$3&gt;=Assumptions!$E$239,AY$3&gt;=Assumptions!$B$14,Revenue_Build!AY10&gt;=Assumptions!$F$239*Assumptions!$B$55)),Assumptions!$D$239,0)</f>
        <v/>
      </c>
      <c r="AZ41" s="41">
        <f>IF(OR(AY41&gt;0,AND(AZ$3&gt;=Assumptions!$E$239,AZ$3&gt;=Assumptions!$B$14,Revenue_Build!AZ10&gt;=Assumptions!$F$239*Assumptions!$B$55)),Assumptions!$D$239,0)</f>
        <v/>
      </c>
      <c r="BA41" s="41">
        <f>IF(OR(AZ41&gt;0,AND(BA$3&gt;=Assumptions!$E$239,BA$3&gt;=Assumptions!$B$14,Revenue_Build!BA10&gt;=Assumptions!$F$239*Assumptions!$B$55)),Assumptions!$D$239,0)</f>
        <v/>
      </c>
      <c r="BB41" s="41">
        <f>IF(OR(BA41&gt;0,AND(BB$3&gt;=Assumptions!$E$239,BB$3&gt;=Assumptions!$B$14,Revenue_Build!BB10&gt;=Assumptions!$F$239*Assumptions!$B$55)),Assumptions!$D$239,0)</f>
        <v/>
      </c>
      <c r="BC41" s="41">
        <f>IF(OR(BB41&gt;0,AND(BC$3&gt;=Assumptions!$E$239,BC$3&gt;=Assumptions!$B$14,Revenue_Build!BC10&gt;=Assumptions!$F$239*Assumptions!$B$55)),Assumptions!$D$239,0)</f>
        <v/>
      </c>
      <c r="BD41" s="41">
        <f>IF(OR(BC41&gt;0,AND(BD$3&gt;=Assumptions!$E$239,BD$3&gt;=Assumptions!$B$14,Revenue_Build!BD10&gt;=Assumptions!$F$239*Assumptions!$B$55)),Assumptions!$D$239,0)</f>
        <v/>
      </c>
      <c r="BE41" s="41">
        <f>IF(OR(BD41&gt;0,AND(BE$3&gt;=Assumptions!$E$239,BE$3&gt;=Assumptions!$B$14,Revenue_Build!BE10&gt;=Assumptions!$F$239*Assumptions!$B$55)),Assumptions!$D$239,0)</f>
        <v/>
      </c>
      <c r="BF41" s="41">
        <f>IF(OR(BE41&gt;0,AND(BF$3&gt;=Assumptions!$E$239,BF$3&gt;=Assumptions!$B$14,Revenue_Build!BF10&gt;=Assumptions!$F$239*Assumptions!$B$55)),Assumptions!$D$239,0)</f>
        <v/>
      </c>
      <c r="BG41" s="41">
        <f>IF(OR(BF41&gt;0,AND(BG$3&gt;=Assumptions!$E$239,BG$3&gt;=Assumptions!$B$14,Revenue_Build!BG10&gt;=Assumptions!$F$239*Assumptions!$B$55)),Assumptions!$D$239,0)</f>
        <v/>
      </c>
      <c r="BH41" s="41">
        <f>IF(OR(BG41&gt;0,AND(BH$3&gt;=Assumptions!$E$239,BH$3&gt;=Assumptions!$B$14,Revenue_Build!BH10&gt;=Assumptions!$F$239*Assumptions!$B$55)),Assumptions!$D$239,0)</f>
        <v/>
      </c>
      <c r="BI41" s="41">
        <f>IF(OR(BH41&gt;0,AND(BI$3&gt;=Assumptions!$E$239,BI$3&gt;=Assumptions!$B$14,Revenue_Build!BI10&gt;=Assumptions!$F$239*Assumptions!$B$55)),Assumptions!$D$239,0)</f>
        <v/>
      </c>
      <c r="BJ41" s="41">
        <f>IF(OR(BI41&gt;0,AND(BJ$3&gt;=Assumptions!$E$239,BJ$3&gt;=Assumptions!$B$14,Revenue_Build!BJ10&gt;=Assumptions!$F$239*Assumptions!$B$55)),Assumptions!$D$239,0)</f>
        <v/>
      </c>
    </row>
    <row r="42">
      <c r="A42" s="4" t="inlineStr">
        <is>
          <t>SME account managers II</t>
        </is>
      </c>
      <c r="B42" s="17" t="inlineStr">
        <is>
          <t>FTE</t>
        </is>
      </c>
      <c r="C42" s="41">
        <f>IF(AND(C$3&gt;=Assumptions!$E$240,C$3&gt;=Assumptions!$B$14,Revenue_Build!C10&gt;=Assumptions!$F$240*Assumptions!$B$55),Assumptions!$D$240,0)</f>
        <v/>
      </c>
      <c r="D42" s="41">
        <f>IF(OR(C42&gt;0,AND(D$3&gt;=Assumptions!$E$240,D$3&gt;=Assumptions!$B$14,Revenue_Build!D10&gt;=Assumptions!$F$240*Assumptions!$B$55)),Assumptions!$D$240,0)</f>
        <v/>
      </c>
      <c r="E42" s="41">
        <f>IF(OR(D42&gt;0,AND(E$3&gt;=Assumptions!$E$240,E$3&gt;=Assumptions!$B$14,Revenue_Build!E10&gt;=Assumptions!$F$240*Assumptions!$B$55)),Assumptions!$D$240,0)</f>
        <v/>
      </c>
      <c r="F42" s="41">
        <f>IF(OR(E42&gt;0,AND(F$3&gt;=Assumptions!$E$240,F$3&gt;=Assumptions!$B$14,Revenue_Build!F10&gt;=Assumptions!$F$240*Assumptions!$B$55)),Assumptions!$D$240,0)</f>
        <v/>
      </c>
      <c r="G42" s="41">
        <f>IF(OR(F42&gt;0,AND(G$3&gt;=Assumptions!$E$240,G$3&gt;=Assumptions!$B$14,Revenue_Build!G10&gt;=Assumptions!$F$240*Assumptions!$B$55)),Assumptions!$D$240,0)</f>
        <v/>
      </c>
      <c r="H42" s="41">
        <f>IF(OR(G42&gt;0,AND(H$3&gt;=Assumptions!$E$240,H$3&gt;=Assumptions!$B$14,Revenue_Build!H10&gt;=Assumptions!$F$240*Assumptions!$B$55)),Assumptions!$D$240,0)</f>
        <v/>
      </c>
      <c r="I42" s="41">
        <f>IF(OR(H42&gt;0,AND(I$3&gt;=Assumptions!$E$240,I$3&gt;=Assumptions!$B$14,Revenue_Build!I10&gt;=Assumptions!$F$240*Assumptions!$B$55)),Assumptions!$D$240,0)</f>
        <v/>
      </c>
      <c r="J42" s="41">
        <f>IF(OR(I42&gt;0,AND(J$3&gt;=Assumptions!$E$240,J$3&gt;=Assumptions!$B$14,Revenue_Build!J10&gt;=Assumptions!$F$240*Assumptions!$B$55)),Assumptions!$D$240,0)</f>
        <v/>
      </c>
      <c r="K42" s="41">
        <f>IF(OR(J42&gt;0,AND(K$3&gt;=Assumptions!$E$240,K$3&gt;=Assumptions!$B$14,Revenue_Build!K10&gt;=Assumptions!$F$240*Assumptions!$B$55)),Assumptions!$D$240,0)</f>
        <v/>
      </c>
      <c r="L42" s="41">
        <f>IF(OR(K42&gt;0,AND(L$3&gt;=Assumptions!$E$240,L$3&gt;=Assumptions!$B$14,Revenue_Build!L10&gt;=Assumptions!$F$240*Assumptions!$B$55)),Assumptions!$D$240,0)</f>
        <v/>
      </c>
      <c r="M42" s="41">
        <f>IF(OR(L42&gt;0,AND(M$3&gt;=Assumptions!$E$240,M$3&gt;=Assumptions!$B$14,Revenue_Build!M10&gt;=Assumptions!$F$240*Assumptions!$B$55)),Assumptions!$D$240,0)</f>
        <v/>
      </c>
      <c r="N42" s="41">
        <f>IF(OR(M42&gt;0,AND(N$3&gt;=Assumptions!$E$240,N$3&gt;=Assumptions!$B$14,Revenue_Build!N10&gt;=Assumptions!$F$240*Assumptions!$B$55)),Assumptions!$D$240,0)</f>
        <v/>
      </c>
      <c r="O42" s="41">
        <f>IF(OR(N42&gt;0,AND(O$3&gt;=Assumptions!$E$240,O$3&gt;=Assumptions!$B$14,Revenue_Build!O10&gt;=Assumptions!$F$240*Assumptions!$B$55)),Assumptions!$D$240,0)</f>
        <v/>
      </c>
      <c r="P42" s="41">
        <f>IF(OR(O42&gt;0,AND(P$3&gt;=Assumptions!$E$240,P$3&gt;=Assumptions!$B$14,Revenue_Build!P10&gt;=Assumptions!$F$240*Assumptions!$B$55)),Assumptions!$D$240,0)</f>
        <v/>
      </c>
      <c r="Q42" s="41">
        <f>IF(OR(P42&gt;0,AND(Q$3&gt;=Assumptions!$E$240,Q$3&gt;=Assumptions!$B$14,Revenue_Build!Q10&gt;=Assumptions!$F$240*Assumptions!$B$55)),Assumptions!$D$240,0)</f>
        <v/>
      </c>
      <c r="R42" s="41">
        <f>IF(OR(Q42&gt;0,AND(R$3&gt;=Assumptions!$E$240,R$3&gt;=Assumptions!$B$14,Revenue_Build!R10&gt;=Assumptions!$F$240*Assumptions!$B$55)),Assumptions!$D$240,0)</f>
        <v/>
      </c>
      <c r="S42" s="41">
        <f>IF(OR(R42&gt;0,AND(S$3&gt;=Assumptions!$E$240,S$3&gt;=Assumptions!$B$14,Revenue_Build!S10&gt;=Assumptions!$F$240*Assumptions!$B$55)),Assumptions!$D$240,0)</f>
        <v/>
      </c>
      <c r="T42" s="41">
        <f>IF(OR(S42&gt;0,AND(T$3&gt;=Assumptions!$E$240,T$3&gt;=Assumptions!$B$14,Revenue_Build!T10&gt;=Assumptions!$F$240*Assumptions!$B$55)),Assumptions!$D$240,0)</f>
        <v/>
      </c>
      <c r="U42" s="41">
        <f>IF(OR(T42&gt;0,AND(U$3&gt;=Assumptions!$E$240,U$3&gt;=Assumptions!$B$14,Revenue_Build!U10&gt;=Assumptions!$F$240*Assumptions!$B$55)),Assumptions!$D$240,0)</f>
        <v/>
      </c>
      <c r="V42" s="41">
        <f>IF(OR(U42&gt;0,AND(V$3&gt;=Assumptions!$E$240,V$3&gt;=Assumptions!$B$14,Revenue_Build!V10&gt;=Assumptions!$F$240*Assumptions!$B$55)),Assumptions!$D$240,0)</f>
        <v/>
      </c>
      <c r="W42" s="41">
        <f>IF(OR(V42&gt;0,AND(W$3&gt;=Assumptions!$E$240,W$3&gt;=Assumptions!$B$14,Revenue_Build!W10&gt;=Assumptions!$F$240*Assumptions!$B$55)),Assumptions!$D$240,0)</f>
        <v/>
      </c>
      <c r="X42" s="41">
        <f>IF(OR(W42&gt;0,AND(X$3&gt;=Assumptions!$E$240,X$3&gt;=Assumptions!$B$14,Revenue_Build!X10&gt;=Assumptions!$F$240*Assumptions!$B$55)),Assumptions!$D$240,0)</f>
        <v/>
      </c>
      <c r="Y42" s="41">
        <f>IF(OR(X42&gt;0,AND(Y$3&gt;=Assumptions!$E$240,Y$3&gt;=Assumptions!$B$14,Revenue_Build!Y10&gt;=Assumptions!$F$240*Assumptions!$B$55)),Assumptions!$D$240,0)</f>
        <v/>
      </c>
      <c r="Z42" s="41">
        <f>IF(OR(Y42&gt;0,AND(Z$3&gt;=Assumptions!$E$240,Z$3&gt;=Assumptions!$B$14,Revenue_Build!Z10&gt;=Assumptions!$F$240*Assumptions!$B$55)),Assumptions!$D$240,0)</f>
        <v/>
      </c>
      <c r="AA42" s="41">
        <f>IF(OR(Z42&gt;0,AND(AA$3&gt;=Assumptions!$E$240,AA$3&gt;=Assumptions!$B$14,Revenue_Build!AA10&gt;=Assumptions!$F$240*Assumptions!$B$55)),Assumptions!$D$240,0)</f>
        <v/>
      </c>
      <c r="AB42" s="41">
        <f>IF(OR(AA42&gt;0,AND(AB$3&gt;=Assumptions!$E$240,AB$3&gt;=Assumptions!$B$14,Revenue_Build!AB10&gt;=Assumptions!$F$240*Assumptions!$B$55)),Assumptions!$D$240,0)</f>
        <v/>
      </c>
      <c r="AC42" s="41">
        <f>IF(OR(AB42&gt;0,AND(AC$3&gt;=Assumptions!$E$240,AC$3&gt;=Assumptions!$B$14,Revenue_Build!AC10&gt;=Assumptions!$F$240*Assumptions!$B$55)),Assumptions!$D$240,0)</f>
        <v/>
      </c>
      <c r="AD42" s="41">
        <f>IF(OR(AC42&gt;0,AND(AD$3&gt;=Assumptions!$E$240,AD$3&gt;=Assumptions!$B$14,Revenue_Build!AD10&gt;=Assumptions!$F$240*Assumptions!$B$55)),Assumptions!$D$240,0)</f>
        <v/>
      </c>
      <c r="AE42" s="41">
        <f>IF(OR(AD42&gt;0,AND(AE$3&gt;=Assumptions!$E$240,AE$3&gt;=Assumptions!$B$14,Revenue_Build!AE10&gt;=Assumptions!$F$240*Assumptions!$B$55)),Assumptions!$D$240,0)</f>
        <v/>
      </c>
      <c r="AF42" s="41">
        <f>IF(OR(AE42&gt;0,AND(AF$3&gt;=Assumptions!$E$240,AF$3&gt;=Assumptions!$B$14,Revenue_Build!AF10&gt;=Assumptions!$F$240*Assumptions!$B$55)),Assumptions!$D$240,0)</f>
        <v/>
      </c>
      <c r="AG42" s="41">
        <f>IF(OR(AF42&gt;0,AND(AG$3&gt;=Assumptions!$E$240,AG$3&gt;=Assumptions!$B$14,Revenue_Build!AG10&gt;=Assumptions!$F$240*Assumptions!$B$55)),Assumptions!$D$240,0)</f>
        <v/>
      </c>
      <c r="AH42" s="41">
        <f>IF(OR(AG42&gt;0,AND(AH$3&gt;=Assumptions!$E$240,AH$3&gt;=Assumptions!$B$14,Revenue_Build!AH10&gt;=Assumptions!$F$240*Assumptions!$B$55)),Assumptions!$D$240,0)</f>
        <v/>
      </c>
      <c r="AI42" s="41">
        <f>IF(OR(AH42&gt;0,AND(AI$3&gt;=Assumptions!$E$240,AI$3&gt;=Assumptions!$B$14,Revenue_Build!AI10&gt;=Assumptions!$F$240*Assumptions!$B$55)),Assumptions!$D$240,0)</f>
        <v/>
      </c>
      <c r="AJ42" s="41">
        <f>IF(OR(AI42&gt;0,AND(AJ$3&gt;=Assumptions!$E$240,AJ$3&gt;=Assumptions!$B$14,Revenue_Build!AJ10&gt;=Assumptions!$F$240*Assumptions!$B$55)),Assumptions!$D$240,0)</f>
        <v/>
      </c>
      <c r="AK42" s="41">
        <f>IF(OR(AJ42&gt;0,AND(AK$3&gt;=Assumptions!$E$240,AK$3&gt;=Assumptions!$B$14,Revenue_Build!AK10&gt;=Assumptions!$F$240*Assumptions!$B$55)),Assumptions!$D$240,0)</f>
        <v/>
      </c>
      <c r="AL42" s="41">
        <f>IF(OR(AK42&gt;0,AND(AL$3&gt;=Assumptions!$E$240,AL$3&gt;=Assumptions!$B$14,Revenue_Build!AL10&gt;=Assumptions!$F$240*Assumptions!$B$55)),Assumptions!$D$240,0)</f>
        <v/>
      </c>
      <c r="AM42" s="41">
        <f>IF(OR(AL42&gt;0,AND(AM$3&gt;=Assumptions!$E$240,AM$3&gt;=Assumptions!$B$14,Revenue_Build!AM10&gt;=Assumptions!$F$240*Assumptions!$B$55)),Assumptions!$D$240,0)</f>
        <v/>
      </c>
      <c r="AN42" s="41">
        <f>IF(OR(AM42&gt;0,AND(AN$3&gt;=Assumptions!$E$240,AN$3&gt;=Assumptions!$B$14,Revenue_Build!AN10&gt;=Assumptions!$F$240*Assumptions!$B$55)),Assumptions!$D$240,0)</f>
        <v/>
      </c>
      <c r="AO42" s="41">
        <f>IF(OR(AN42&gt;0,AND(AO$3&gt;=Assumptions!$E$240,AO$3&gt;=Assumptions!$B$14,Revenue_Build!AO10&gt;=Assumptions!$F$240*Assumptions!$B$55)),Assumptions!$D$240,0)</f>
        <v/>
      </c>
      <c r="AP42" s="41">
        <f>IF(OR(AO42&gt;0,AND(AP$3&gt;=Assumptions!$E$240,AP$3&gt;=Assumptions!$B$14,Revenue_Build!AP10&gt;=Assumptions!$F$240*Assumptions!$B$55)),Assumptions!$D$240,0)</f>
        <v/>
      </c>
      <c r="AQ42" s="41">
        <f>IF(OR(AP42&gt;0,AND(AQ$3&gt;=Assumptions!$E$240,AQ$3&gt;=Assumptions!$B$14,Revenue_Build!AQ10&gt;=Assumptions!$F$240*Assumptions!$B$55)),Assumptions!$D$240,0)</f>
        <v/>
      </c>
      <c r="AR42" s="41">
        <f>IF(OR(AQ42&gt;0,AND(AR$3&gt;=Assumptions!$E$240,AR$3&gt;=Assumptions!$B$14,Revenue_Build!AR10&gt;=Assumptions!$F$240*Assumptions!$B$55)),Assumptions!$D$240,0)</f>
        <v/>
      </c>
      <c r="AS42" s="41">
        <f>IF(OR(AR42&gt;0,AND(AS$3&gt;=Assumptions!$E$240,AS$3&gt;=Assumptions!$B$14,Revenue_Build!AS10&gt;=Assumptions!$F$240*Assumptions!$B$55)),Assumptions!$D$240,0)</f>
        <v/>
      </c>
      <c r="AT42" s="41">
        <f>IF(OR(AS42&gt;0,AND(AT$3&gt;=Assumptions!$E$240,AT$3&gt;=Assumptions!$B$14,Revenue_Build!AT10&gt;=Assumptions!$F$240*Assumptions!$B$55)),Assumptions!$D$240,0)</f>
        <v/>
      </c>
      <c r="AU42" s="41">
        <f>IF(OR(AT42&gt;0,AND(AU$3&gt;=Assumptions!$E$240,AU$3&gt;=Assumptions!$B$14,Revenue_Build!AU10&gt;=Assumptions!$F$240*Assumptions!$B$55)),Assumptions!$D$240,0)</f>
        <v/>
      </c>
      <c r="AV42" s="41">
        <f>IF(OR(AU42&gt;0,AND(AV$3&gt;=Assumptions!$E$240,AV$3&gt;=Assumptions!$B$14,Revenue_Build!AV10&gt;=Assumptions!$F$240*Assumptions!$B$55)),Assumptions!$D$240,0)</f>
        <v/>
      </c>
      <c r="AW42" s="41">
        <f>IF(OR(AV42&gt;0,AND(AW$3&gt;=Assumptions!$E$240,AW$3&gt;=Assumptions!$B$14,Revenue_Build!AW10&gt;=Assumptions!$F$240*Assumptions!$B$55)),Assumptions!$D$240,0)</f>
        <v/>
      </c>
      <c r="AX42" s="41">
        <f>IF(OR(AW42&gt;0,AND(AX$3&gt;=Assumptions!$E$240,AX$3&gt;=Assumptions!$B$14,Revenue_Build!AX10&gt;=Assumptions!$F$240*Assumptions!$B$55)),Assumptions!$D$240,0)</f>
        <v/>
      </c>
      <c r="AY42" s="41">
        <f>IF(OR(AX42&gt;0,AND(AY$3&gt;=Assumptions!$E$240,AY$3&gt;=Assumptions!$B$14,Revenue_Build!AY10&gt;=Assumptions!$F$240*Assumptions!$B$55)),Assumptions!$D$240,0)</f>
        <v/>
      </c>
      <c r="AZ42" s="41">
        <f>IF(OR(AY42&gt;0,AND(AZ$3&gt;=Assumptions!$E$240,AZ$3&gt;=Assumptions!$B$14,Revenue_Build!AZ10&gt;=Assumptions!$F$240*Assumptions!$B$55)),Assumptions!$D$240,0)</f>
        <v/>
      </c>
      <c r="BA42" s="41">
        <f>IF(OR(AZ42&gt;0,AND(BA$3&gt;=Assumptions!$E$240,BA$3&gt;=Assumptions!$B$14,Revenue_Build!BA10&gt;=Assumptions!$F$240*Assumptions!$B$55)),Assumptions!$D$240,0)</f>
        <v/>
      </c>
      <c r="BB42" s="41">
        <f>IF(OR(BA42&gt;0,AND(BB$3&gt;=Assumptions!$E$240,BB$3&gt;=Assumptions!$B$14,Revenue_Build!BB10&gt;=Assumptions!$F$240*Assumptions!$B$55)),Assumptions!$D$240,0)</f>
        <v/>
      </c>
      <c r="BC42" s="41">
        <f>IF(OR(BB42&gt;0,AND(BC$3&gt;=Assumptions!$E$240,BC$3&gt;=Assumptions!$B$14,Revenue_Build!BC10&gt;=Assumptions!$F$240*Assumptions!$B$55)),Assumptions!$D$240,0)</f>
        <v/>
      </c>
      <c r="BD42" s="41">
        <f>IF(OR(BC42&gt;0,AND(BD$3&gt;=Assumptions!$E$240,BD$3&gt;=Assumptions!$B$14,Revenue_Build!BD10&gt;=Assumptions!$F$240*Assumptions!$B$55)),Assumptions!$D$240,0)</f>
        <v/>
      </c>
      <c r="BE42" s="41">
        <f>IF(OR(BD42&gt;0,AND(BE$3&gt;=Assumptions!$E$240,BE$3&gt;=Assumptions!$B$14,Revenue_Build!BE10&gt;=Assumptions!$F$240*Assumptions!$B$55)),Assumptions!$D$240,0)</f>
        <v/>
      </c>
      <c r="BF42" s="41">
        <f>IF(OR(BE42&gt;0,AND(BF$3&gt;=Assumptions!$E$240,BF$3&gt;=Assumptions!$B$14,Revenue_Build!BF10&gt;=Assumptions!$F$240*Assumptions!$B$55)),Assumptions!$D$240,0)</f>
        <v/>
      </c>
      <c r="BG42" s="41">
        <f>IF(OR(BF42&gt;0,AND(BG$3&gt;=Assumptions!$E$240,BG$3&gt;=Assumptions!$B$14,Revenue_Build!BG10&gt;=Assumptions!$F$240*Assumptions!$B$55)),Assumptions!$D$240,0)</f>
        <v/>
      </c>
      <c r="BH42" s="41">
        <f>IF(OR(BG42&gt;0,AND(BH$3&gt;=Assumptions!$E$240,BH$3&gt;=Assumptions!$B$14,Revenue_Build!BH10&gt;=Assumptions!$F$240*Assumptions!$B$55)),Assumptions!$D$240,0)</f>
        <v/>
      </c>
      <c r="BI42" s="41">
        <f>IF(OR(BH42&gt;0,AND(BI$3&gt;=Assumptions!$E$240,BI$3&gt;=Assumptions!$B$14,Revenue_Build!BI10&gt;=Assumptions!$F$240*Assumptions!$B$55)),Assumptions!$D$240,0)</f>
        <v/>
      </c>
      <c r="BJ42" s="41">
        <f>IF(OR(BI42&gt;0,AND(BJ$3&gt;=Assumptions!$E$240,BJ$3&gt;=Assumptions!$B$14,Revenue_Build!BJ10&gt;=Assumptions!$F$240*Assumptions!$B$55)),Assumptions!$D$240,0)</f>
        <v/>
      </c>
    </row>
    <row r="43">
      <c r="A43" s="4" t="inlineStr">
        <is>
          <t>Customer success lead</t>
        </is>
      </c>
      <c r="B43" s="17" t="inlineStr">
        <is>
          <t>FTE</t>
        </is>
      </c>
      <c r="C43" s="41">
        <f>IF(AND(C$3&gt;=Assumptions!$E$241,C$3&gt;=Assumptions!$B$14,Revenue_Build!C10&gt;=Assumptions!$F$241*Assumptions!$B$55),Assumptions!$D$241,0)</f>
        <v/>
      </c>
      <c r="D43" s="41">
        <f>IF(OR(C43&gt;0,AND(D$3&gt;=Assumptions!$E$241,D$3&gt;=Assumptions!$B$14,Revenue_Build!D10&gt;=Assumptions!$F$241*Assumptions!$B$55)),Assumptions!$D$241,0)</f>
        <v/>
      </c>
      <c r="E43" s="41">
        <f>IF(OR(D43&gt;0,AND(E$3&gt;=Assumptions!$E$241,E$3&gt;=Assumptions!$B$14,Revenue_Build!E10&gt;=Assumptions!$F$241*Assumptions!$B$55)),Assumptions!$D$241,0)</f>
        <v/>
      </c>
      <c r="F43" s="41">
        <f>IF(OR(E43&gt;0,AND(F$3&gt;=Assumptions!$E$241,F$3&gt;=Assumptions!$B$14,Revenue_Build!F10&gt;=Assumptions!$F$241*Assumptions!$B$55)),Assumptions!$D$241,0)</f>
        <v/>
      </c>
      <c r="G43" s="41">
        <f>IF(OR(F43&gt;0,AND(G$3&gt;=Assumptions!$E$241,G$3&gt;=Assumptions!$B$14,Revenue_Build!G10&gt;=Assumptions!$F$241*Assumptions!$B$55)),Assumptions!$D$241,0)</f>
        <v/>
      </c>
      <c r="H43" s="41">
        <f>IF(OR(G43&gt;0,AND(H$3&gt;=Assumptions!$E$241,H$3&gt;=Assumptions!$B$14,Revenue_Build!H10&gt;=Assumptions!$F$241*Assumptions!$B$55)),Assumptions!$D$241,0)</f>
        <v/>
      </c>
      <c r="I43" s="41">
        <f>IF(OR(H43&gt;0,AND(I$3&gt;=Assumptions!$E$241,I$3&gt;=Assumptions!$B$14,Revenue_Build!I10&gt;=Assumptions!$F$241*Assumptions!$B$55)),Assumptions!$D$241,0)</f>
        <v/>
      </c>
      <c r="J43" s="41">
        <f>IF(OR(I43&gt;0,AND(J$3&gt;=Assumptions!$E$241,J$3&gt;=Assumptions!$B$14,Revenue_Build!J10&gt;=Assumptions!$F$241*Assumptions!$B$55)),Assumptions!$D$241,0)</f>
        <v/>
      </c>
      <c r="K43" s="41">
        <f>IF(OR(J43&gt;0,AND(K$3&gt;=Assumptions!$E$241,K$3&gt;=Assumptions!$B$14,Revenue_Build!K10&gt;=Assumptions!$F$241*Assumptions!$B$55)),Assumptions!$D$241,0)</f>
        <v/>
      </c>
      <c r="L43" s="41">
        <f>IF(OR(K43&gt;0,AND(L$3&gt;=Assumptions!$E$241,L$3&gt;=Assumptions!$B$14,Revenue_Build!L10&gt;=Assumptions!$F$241*Assumptions!$B$55)),Assumptions!$D$241,0)</f>
        <v/>
      </c>
      <c r="M43" s="41">
        <f>IF(OR(L43&gt;0,AND(M$3&gt;=Assumptions!$E$241,M$3&gt;=Assumptions!$B$14,Revenue_Build!M10&gt;=Assumptions!$F$241*Assumptions!$B$55)),Assumptions!$D$241,0)</f>
        <v/>
      </c>
      <c r="N43" s="41">
        <f>IF(OR(M43&gt;0,AND(N$3&gt;=Assumptions!$E$241,N$3&gt;=Assumptions!$B$14,Revenue_Build!N10&gt;=Assumptions!$F$241*Assumptions!$B$55)),Assumptions!$D$241,0)</f>
        <v/>
      </c>
      <c r="O43" s="41">
        <f>IF(OR(N43&gt;0,AND(O$3&gt;=Assumptions!$E$241,O$3&gt;=Assumptions!$B$14,Revenue_Build!O10&gt;=Assumptions!$F$241*Assumptions!$B$55)),Assumptions!$D$241,0)</f>
        <v/>
      </c>
      <c r="P43" s="41">
        <f>IF(OR(O43&gt;0,AND(P$3&gt;=Assumptions!$E$241,P$3&gt;=Assumptions!$B$14,Revenue_Build!P10&gt;=Assumptions!$F$241*Assumptions!$B$55)),Assumptions!$D$241,0)</f>
        <v/>
      </c>
      <c r="Q43" s="41">
        <f>IF(OR(P43&gt;0,AND(Q$3&gt;=Assumptions!$E$241,Q$3&gt;=Assumptions!$B$14,Revenue_Build!Q10&gt;=Assumptions!$F$241*Assumptions!$B$55)),Assumptions!$D$241,0)</f>
        <v/>
      </c>
      <c r="R43" s="41">
        <f>IF(OR(Q43&gt;0,AND(R$3&gt;=Assumptions!$E$241,R$3&gt;=Assumptions!$B$14,Revenue_Build!R10&gt;=Assumptions!$F$241*Assumptions!$B$55)),Assumptions!$D$241,0)</f>
        <v/>
      </c>
      <c r="S43" s="41">
        <f>IF(OR(R43&gt;0,AND(S$3&gt;=Assumptions!$E$241,S$3&gt;=Assumptions!$B$14,Revenue_Build!S10&gt;=Assumptions!$F$241*Assumptions!$B$55)),Assumptions!$D$241,0)</f>
        <v/>
      </c>
      <c r="T43" s="41">
        <f>IF(OR(S43&gt;0,AND(T$3&gt;=Assumptions!$E$241,T$3&gt;=Assumptions!$B$14,Revenue_Build!T10&gt;=Assumptions!$F$241*Assumptions!$B$55)),Assumptions!$D$241,0)</f>
        <v/>
      </c>
      <c r="U43" s="41">
        <f>IF(OR(T43&gt;0,AND(U$3&gt;=Assumptions!$E$241,U$3&gt;=Assumptions!$B$14,Revenue_Build!U10&gt;=Assumptions!$F$241*Assumptions!$B$55)),Assumptions!$D$241,0)</f>
        <v/>
      </c>
      <c r="V43" s="41">
        <f>IF(OR(U43&gt;0,AND(V$3&gt;=Assumptions!$E$241,V$3&gt;=Assumptions!$B$14,Revenue_Build!V10&gt;=Assumptions!$F$241*Assumptions!$B$55)),Assumptions!$D$241,0)</f>
        <v/>
      </c>
      <c r="W43" s="41">
        <f>IF(OR(V43&gt;0,AND(W$3&gt;=Assumptions!$E$241,W$3&gt;=Assumptions!$B$14,Revenue_Build!W10&gt;=Assumptions!$F$241*Assumptions!$B$55)),Assumptions!$D$241,0)</f>
        <v/>
      </c>
      <c r="X43" s="41">
        <f>IF(OR(W43&gt;0,AND(X$3&gt;=Assumptions!$E$241,X$3&gt;=Assumptions!$B$14,Revenue_Build!X10&gt;=Assumptions!$F$241*Assumptions!$B$55)),Assumptions!$D$241,0)</f>
        <v/>
      </c>
      <c r="Y43" s="41">
        <f>IF(OR(X43&gt;0,AND(Y$3&gt;=Assumptions!$E$241,Y$3&gt;=Assumptions!$B$14,Revenue_Build!Y10&gt;=Assumptions!$F$241*Assumptions!$B$55)),Assumptions!$D$241,0)</f>
        <v/>
      </c>
      <c r="Z43" s="41">
        <f>IF(OR(Y43&gt;0,AND(Z$3&gt;=Assumptions!$E$241,Z$3&gt;=Assumptions!$B$14,Revenue_Build!Z10&gt;=Assumptions!$F$241*Assumptions!$B$55)),Assumptions!$D$241,0)</f>
        <v/>
      </c>
      <c r="AA43" s="41">
        <f>IF(OR(Z43&gt;0,AND(AA$3&gt;=Assumptions!$E$241,AA$3&gt;=Assumptions!$B$14,Revenue_Build!AA10&gt;=Assumptions!$F$241*Assumptions!$B$55)),Assumptions!$D$241,0)</f>
        <v/>
      </c>
      <c r="AB43" s="41">
        <f>IF(OR(AA43&gt;0,AND(AB$3&gt;=Assumptions!$E$241,AB$3&gt;=Assumptions!$B$14,Revenue_Build!AB10&gt;=Assumptions!$F$241*Assumptions!$B$55)),Assumptions!$D$241,0)</f>
        <v/>
      </c>
      <c r="AC43" s="41">
        <f>IF(OR(AB43&gt;0,AND(AC$3&gt;=Assumptions!$E$241,AC$3&gt;=Assumptions!$B$14,Revenue_Build!AC10&gt;=Assumptions!$F$241*Assumptions!$B$55)),Assumptions!$D$241,0)</f>
        <v/>
      </c>
      <c r="AD43" s="41">
        <f>IF(OR(AC43&gt;0,AND(AD$3&gt;=Assumptions!$E$241,AD$3&gt;=Assumptions!$B$14,Revenue_Build!AD10&gt;=Assumptions!$F$241*Assumptions!$B$55)),Assumptions!$D$241,0)</f>
        <v/>
      </c>
      <c r="AE43" s="41">
        <f>IF(OR(AD43&gt;0,AND(AE$3&gt;=Assumptions!$E$241,AE$3&gt;=Assumptions!$B$14,Revenue_Build!AE10&gt;=Assumptions!$F$241*Assumptions!$B$55)),Assumptions!$D$241,0)</f>
        <v/>
      </c>
      <c r="AF43" s="41">
        <f>IF(OR(AE43&gt;0,AND(AF$3&gt;=Assumptions!$E$241,AF$3&gt;=Assumptions!$B$14,Revenue_Build!AF10&gt;=Assumptions!$F$241*Assumptions!$B$55)),Assumptions!$D$241,0)</f>
        <v/>
      </c>
      <c r="AG43" s="41">
        <f>IF(OR(AF43&gt;0,AND(AG$3&gt;=Assumptions!$E$241,AG$3&gt;=Assumptions!$B$14,Revenue_Build!AG10&gt;=Assumptions!$F$241*Assumptions!$B$55)),Assumptions!$D$241,0)</f>
        <v/>
      </c>
      <c r="AH43" s="41">
        <f>IF(OR(AG43&gt;0,AND(AH$3&gt;=Assumptions!$E$241,AH$3&gt;=Assumptions!$B$14,Revenue_Build!AH10&gt;=Assumptions!$F$241*Assumptions!$B$55)),Assumptions!$D$241,0)</f>
        <v/>
      </c>
      <c r="AI43" s="41">
        <f>IF(OR(AH43&gt;0,AND(AI$3&gt;=Assumptions!$E$241,AI$3&gt;=Assumptions!$B$14,Revenue_Build!AI10&gt;=Assumptions!$F$241*Assumptions!$B$55)),Assumptions!$D$241,0)</f>
        <v/>
      </c>
      <c r="AJ43" s="41">
        <f>IF(OR(AI43&gt;0,AND(AJ$3&gt;=Assumptions!$E$241,AJ$3&gt;=Assumptions!$B$14,Revenue_Build!AJ10&gt;=Assumptions!$F$241*Assumptions!$B$55)),Assumptions!$D$241,0)</f>
        <v/>
      </c>
      <c r="AK43" s="41">
        <f>IF(OR(AJ43&gt;0,AND(AK$3&gt;=Assumptions!$E$241,AK$3&gt;=Assumptions!$B$14,Revenue_Build!AK10&gt;=Assumptions!$F$241*Assumptions!$B$55)),Assumptions!$D$241,0)</f>
        <v/>
      </c>
      <c r="AL43" s="41">
        <f>IF(OR(AK43&gt;0,AND(AL$3&gt;=Assumptions!$E$241,AL$3&gt;=Assumptions!$B$14,Revenue_Build!AL10&gt;=Assumptions!$F$241*Assumptions!$B$55)),Assumptions!$D$241,0)</f>
        <v/>
      </c>
      <c r="AM43" s="41">
        <f>IF(OR(AL43&gt;0,AND(AM$3&gt;=Assumptions!$E$241,AM$3&gt;=Assumptions!$B$14,Revenue_Build!AM10&gt;=Assumptions!$F$241*Assumptions!$B$55)),Assumptions!$D$241,0)</f>
        <v/>
      </c>
      <c r="AN43" s="41">
        <f>IF(OR(AM43&gt;0,AND(AN$3&gt;=Assumptions!$E$241,AN$3&gt;=Assumptions!$B$14,Revenue_Build!AN10&gt;=Assumptions!$F$241*Assumptions!$B$55)),Assumptions!$D$241,0)</f>
        <v/>
      </c>
      <c r="AO43" s="41">
        <f>IF(OR(AN43&gt;0,AND(AO$3&gt;=Assumptions!$E$241,AO$3&gt;=Assumptions!$B$14,Revenue_Build!AO10&gt;=Assumptions!$F$241*Assumptions!$B$55)),Assumptions!$D$241,0)</f>
        <v/>
      </c>
      <c r="AP43" s="41">
        <f>IF(OR(AO43&gt;0,AND(AP$3&gt;=Assumptions!$E$241,AP$3&gt;=Assumptions!$B$14,Revenue_Build!AP10&gt;=Assumptions!$F$241*Assumptions!$B$55)),Assumptions!$D$241,0)</f>
        <v/>
      </c>
      <c r="AQ43" s="41">
        <f>IF(OR(AP43&gt;0,AND(AQ$3&gt;=Assumptions!$E$241,AQ$3&gt;=Assumptions!$B$14,Revenue_Build!AQ10&gt;=Assumptions!$F$241*Assumptions!$B$55)),Assumptions!$D$241,0)</f>
        <v/>
      </c>
      <c r="AR43" s="41">
        <f>IF(OR(AQ43&gt;0,AND(AR$3&gt;=Assumptions!$E$241,AR$3&gt;=Assumptions!$B$14,Revenue_Build!AR10&gt;=Assumptions!$F$241*Assumptions!$B$55)),Assumptions!$D$241,0)</f>
        <v/>
      </c>
      <c r="AS43" s="41">
        <f>IF(OR(AR43&gt;0,AND(AS$3&gt;=Assumptions!$E$241,AS$3&gt;=Assumptions!$B$14,Revenue_Build!AS10&gt;=Assumptions!$F$241*Assumptions!$B$55)),Assumptions!$D$241,0)</f>
        <v/>
      </c>
      <c r="AT43" s="41">
        <f>IF(OR(AS43&gt;0,AND(AT$3&gt;=Assumptions!$E$241,AT$3&gt;=Assumptions!$B$14,Revenue_Build!AT10&gt;=Assumptions!$F$241*Assumptions!$B$55)),Assumptions!$D$241,0)</f>
        <v/>
      </c>
      <c r="AU43" s="41">
        <f>IF(OR(AT43&gt;0,AND(AU$3&gt;=Assumptions!$E$241,AU$3&gt;=Assumptions!$B$14,Revenue_Build!AU10&gt;=Assumptions!$F$241*Assumptions!$B$55)),Assumptions!$D$241,0)</f>
        <v/>
      </c>
      <c r="AV43" s="41">
        <f>IF(OR(AU43&gt;0,AND(AV$3&gt;=Assumptions!$E$241,AV$3&gt;=Assumptions!$B$14,Revenue_Build!AV10&gt;=Assumptions!$F$241*Assumptions!$B$55)),Assumptions!$D$241,0)</f>
        <v/>
      </c>
      <c r="AW43" s="41">
        <f>IF(OR(AV43&gt;0,AND(AW$3&gt;=Assumptions!$E$241,AW$3&gt;=Assumptions!$B$14,Revenue_Build!AW10&gt;=Assumptions!$F$241*Assumptions!$B$55)),Assumptions!$D$241,0)</f>
        <v/>
      </c>
      <c r="AX43" s="41">
        <f>IF(OR(AW43&gt;0,AND(AX$3&gt;=Assumptions!$E$241,AX$3&gt;=Assumptions!$B$14,Revenue_Build!AX10&gt;=Assumptions!$F$241*Assumptions!$B$55)),Assumptions!$D$241,0)</f>
        <v/>
      </c>
      <c r="AY43" s="41">
        <f>IF(OR(AX43&gt;0,AND(AY$3&gt;=Assumptions!$E$241,AY$3&gt;=Assumptions!$B$14,Revenue_Build!AY10&gt;=Assumptions!$F$241*Assumptions!$B$55)),Assumptions!$D$241,0)</f>
        <v/>
      </c>
      <c r="AZ43" s="41">
        <f>IF(OR(AY43&gt;0,AND(AZ$3&gt;=Assumptions!$E$241,AZ$3&gt;=Assumptions!$B$14,Revenue_Build!AZ10&gt;=Assumptions!$F$241*Assumptions!$B$55)),Assumptions!$D$241,0)</f>
        <v/>
      </c>
      <c r="BA43" s="41">
        <f>IF(OR(AZ43&gt;0,AND(BA$3&gt;=Assumptions!$E$241,BA$3&gt;=Assumptions!$B$14,Revenue_Build!BA10&gt;=Assumptions!$F$241*Assumptions!$B$55)),Assumptions!$D$241,0)</f>
        <v/>
      </c>
      <c r="BB43" s="41">
        <f>IF(OR(BA43&gt;0,AND(BB$3&gt;=Assumptions!$E$241,BB$3&gt;=Assumptions!$B$14,Revenue_Build!BB10&gt;=Assumptions!$F$241*Assumptions!$B$55)),Assumptions!$D$241,0)</f>
        <v/>
      </c>
      <c r="BC43" s="41">
        <f>IF(OR(BB43&gt;0,AND(BC$3&gt;=Assumptions!$E$241,BC$3&gt;=Assumptions!$B$14,Revenue_Build!BC10&gt;=Assumptions!$F$241*Assumptions!$B$55)),Assumptions!$D$241,0)</f>
        <v/>
      </c>
      <c r="BD43" s="41">
        <f>IF(OR(BC43&gt;0,AND(BD$3&gt;=Assumptions!$E$241,BD$3&gt;=Assumptions!$B$14,Revenue_Build!BD10&gt;=Assumptions!$F$241*Assumptions!$B$55)),Assumptions!$D$241,0)</f>
        <v/>
      </c>
      <c r="BE43" s="41">
        <f>IF(OR(BD43&gt;0,AND(BE$3&gt;=Assumptions!$E$241,BE$3&gt;=Assumptions!$B$14,Revenue_Build!BE10&gt;=Assumptions!$F$241*Assumptions!$B$55)),Assumptions!$D$241,0)</f>
        <v/>
      </c>
      <c r="BF43" s="41">
        <f>IF(OR(BE43&gt;0,AND(BF$3&gt;=Assumptions!$E$241,BF$3&gt;=Assumptions!$B$14,Revenue_Build!BF10&gt;=Assumptions!$F$241*Assumptions!$B$55)),Assumptions!$D$241,0)</f>
        <v/>
      </c>
      <c r="BG43" s="41">
        <f>IF(OR(BF43&gt;0,AND(BG$3&gt;=Assumptions!$E$241,BG$3&gt;=Assumptions!$B$14,Revenue_Build!BG10&gt;=Assumptions!$F$241*Assumptions!$B$55)),Assumptions!$D$241,0)</f>
        <v/>
      </c>
      <c r="BH43" s="41">
        <f>IF(OR(BG43&gt;0,AND(BH$3&gt;=Assumptions!$E$241,BH$3&gt;=Assumptions!$B$14,Revenue_Build!BH10&gt;=Assumptions!$F$241*Assumptions!$B$55)),Assumptions!$D$241,0)</f>
        <v/>
      </c>
      <c r="BI43" s="41">
        <f>IF(OR(BH43&gt;0,AND(BI$3&gt;=Assumptions!$E$241,BI$3&gt;=Assumptions!$B$14,Revenue_Build!BI10&gt;=Assumptions!$F$241*Assumptions!$B$55)),Assumptions!$D$241,0)</f>
        <v/>
      </c>
      <c r="BJ43" s="41">
        <f>IF(OR(BI43&gt;0,AND(BJ$3&gt;=Assumptions!$E$241,BJ$3&gt;=Assumptions!$B$14,Revenue_Build!BJ10&gt;=Assumptions!$F$241*Assumptions!$B$55)),Assumptions!$D$241,0)</f>
        <v/>
      </c>
    </row>
    <row r="44">
      <c r="A44" s="4" t="inlineStr">
        <is>
          <t>CS &amp; onboarding agents</t>
        </is>
      </c>
      <c r="B44" s="17" t="inlineStr">
        <is>
          <t>FTE</t>
        </is>
      </c>
      <c r="C44" s="41">
        <f>IF(AND(C$3&gt;=Assumptions!$E$242,C$3&gt;=Assumptions!$B$14,Revenue_Build!C10&gt;=Assumptions!$F$242*Assumptions!$B$55),Assumptions!$D$242,0)</f>
        <v/>
      </c>
      <c r="D44" s="41">
        <f>IF(OR(C44&gt;0,AND(D$3&gt;=Assumptions!$E$242,D$3&gt;=Assumptions!$B$14,Revenue_Build!D10&gt;=Assumptions!$F$242*Assumptions!$B$55)),Assumptions!$D$242,0)</f>
        <v/>
      </c>
      <c r="E44" s="41">
        <f>IF(OR(D44&gt;0,AND(E$3&gt;=Assumptions!$E$242,E$3&gt;=Assumptions!$B$14,Revenue_Build!E10&gt;=Assumptions!$F$242*Assumptions!$B$55)),Assumptions!$D$242,0)</f>
        <v/>
      </c>
      <c r="F44" s="41">
        <f>IF(OR(E44&gt;0,AND(F$3&gt;=Assumptions!$E$242,F$3&gt;=Assumptions!$B$14,Revenue_Build!F10&gt;=Assumptions!$F$242*Assumptions!$B$55)),Assumptions!$D$242,0)</f>
        <v/>
      </c>
      <c r="G44" s="41">
        <f>IF(OR(F44&gt;0,AND(G$3&gt;=Assumptions!$E$242,G$3&gt;=Assumptions!$B$14,Revenue_Build!G10&gt;=Assumptions!$F$242*Assumptions!$B$55)),Assumptions!$D$242,0)</f>
        <v/>
      </c>
      <c r="H44" s="41">
        <f>IF(OR(G44&gt;0,AND(H$3&gt;=Assumptions!$E$242,H$3&gt;=Assumptions!$B$14,Revenue_Build!H10&gt;=Assumptions!$F$242*Assumptions!$B$55)),Assumptions!$D$242,0)</f>
        <v/>
      </c>
      <c r="I44" s="41">
        <f>IF(OR(H44&gt;0,AND(I$3&gt;=Assumptions!$E$242,I$3&gt;=Assumptions!$B$14,Revenue_Build!I10&gt;=Assumptions!$F$242*Assumptions!$B$55)),Assumptions!$D$242,0)</f>
        <v/>
      </c>
      <c r="J44" s="41">
        <f>IF(OR(I44&gt;0,AND(J$3&gt;=Assumptions!$E$242,J$3&gt;=Assumptions!$B$14,Revenue_Build!J10&gt;=Assumptions!$F$242*Assumptions!$B$55)),Assumptions!$D$242,0)</f>
        <v/>
      </c>
      <c r="K44" s="41">
        <f>IF(OR(J44&gt;0,AND(K$3&gt;=Assumptions!$E$242,K$3&gt;=Assumptions!$B$14,Revenue_Build!K10&gt;=Assumptions!$F$242*Assumptions!$B$55)),Assumptions!$D$242,0)</f>
        <v/>
      </c>
      <c r="L44" s="41">
        <f>IF(OR(K44&gt;0,AND(L$3&gt;=Assumptions!$E$242,L$3&gt;=Assumptions!$B$14,Revenue_Build!L10&gt;=Assumptions!$F$242*Assumptions!$B$55)),Assumptions!$D$242,0)</f>
        <v/>
      </c>
      <c r="M44" s="41">
        <f>IF(OR(L44&gt;0,AND(M$3&gt;=Assumptions!$E$242,M$3&gt;=Assumptions!$B$14,Revenue_Build!M10&gt;=Assumptions!$F$242*Assumptions!$B$55)),Assumptions!$D$242,0)</f>
        <v/>
      </c>
      <c r="N44" s="41">
        <f>IF(OR(M44&gt;0,AND(N$3&gt;=Assumptions!$E$242,N$3&gt;=Assumptions!$B$14,Revenue_Build!N10&gt;=Assumptions!$F$242*Assumptions!$B$55)),Assumptions!$D$242,0)</f>
        <v/>
      </c>
      <c r="O44" s="41">
        <f>IF(OR(N44&gt;0,AND(O$3&gt;=Assumptions!$E$242,O$3&gt;=Assumptions!$B$14,Revenue_Build!O10&gt;=Assumptions!$F$242*Assumptions!$B$55)),Assumptions!$D$242,0)</f>
        <v/>
      </c>
      <c r="P44" s="41">
        <f>IF(OR(O44&gt;0,AND(P$3&gt;=Assumptions!$E$242,P$3&gt;=Assumptions!$B$14,Revenue_Build!P10&gt;=Assumptions!$F$242*Assumptions!$B$55)),Assumptions!$D$242,0)</f>
        <v/>
      </c>
      <c r="Q44" s="41">
        <f>IF(OR(P44&gt;0,AND(Q$3&gt;=Assumptions!$E$242,Q$3&gt;=Assumptions!$B$14,Revenue_Build!Q10&gt;=Assumptions!$F$242*Assumptions!$B$55)),Assumptions!$D$242,0)</f>
        <v/>
      </c>
      <c r="R44" s="41">
        <f>IF(OR(Q44&gt;0,AND(R$3&gt;=Assumptions!$E$242,R$3&gt;=Assumptions!$B$14,Revenue_Build!R10&gt;=Assumptions!$F$242*Assumptions!$B$55)),Assumptions!$D$242,0)</f>
        <v/>
      </c>
      <c r="S44" s="41">
        <f>IF(OR(R44&gt;0,AND(S$3&gt;=Assumptions!$E$242,S$3&gt;=Assumptions!$B$14,Revenue_Build!S10&gt;=Assumptions!$F$242*Assumptions!$B$55)),Assumptions!$D$242,0)</f>
        <v/>
      </c>
      <c r="T44" s="41">
        <f>IF(OR(S44&gt;0,AND(T$3&gt;=Assumptions!$E$242,T$3&gt;=Assumptions!$B$14,Revenue_Build!T10&gt;=Assumptions!$F$242*Assumptions!$B$55)),Assumptions!$D$242,0)</f>
        <v/>
      </c>
      <c r="U44" s="41">
        <f>IF(OR(T44&gt;0,AND(U$3&gt;=Assumptions!$E$242,U$3&gt;=Assumptions!$B$14,Revenue_Build!U10&gt;=Assumptions!$F$242*Assumptions!$B$55)),Assumptions!$D$242,0)</f>
        <v/>
      </c>
      <c r="V44" s="41">
        <f>IF(OR(U44&gt;0,AND(V$3&gt;=Assumptions!$E$242,V$3&gt;=Assumptions!$B$14,Revenue_Build!V10&gt;=Assumptions!$F$242*Assumptions!$B$55)),Assumptions!$D$242,0)</f>
        <v/>
      </c>
      <c r="W44" s="41">
        <f>IF(OR(V44&gt;0,AND(W$3&gt;=Assumptions!$E$242,W$3&gt;=Assumptions!$B$14,Revenue_Build!W10&gt;=Assumptions!$F$242*Assumptions!$B$55)),Assumptions!$D$242,0)</f>
        <v/>
      </c>
      <c r="X44" s="41">
        <f>IF(OR(W44&gt;0,AND(X$3&gt;=Assumptions!$E$242,X$3&gt;=Assumptions!$B$14,Revenue_Build!X10&gt;=Assumptions!$F$242*Assumptions!$B$55)),Assumptions!$D$242,0)</f>
        <v/>
      </c>
      <c r="Y44" s="41">
        <f>IF(OR(X44&gt;0,AND(Y$3&gt;=Assumptions!$E$242,Y$3&gt;=Assumptions!$B$14,Revenue_Build!Y10&gt;=Assumptions!$F$242*Assumptions!$B$55)),Assumptions!$D$242,0)</f>
        <v/>
      </c>
      <c r="Z44" s="41">
        <f>IF(OR(Y44&gt;0,AND(Z$3&gt;=Assumptions!$E$242,Z$3&gt;=Assumptions!$B$14,Revenue_Build!Z10&gt;=Assumptions!$F$242*Assumptions!$B$55)),Assumptions!$D$242,0)</f>
        <v/>
      </c>
      <c r="AA44" s="41">
        <f>IF(OR(Z44&gt;0,AND(AA$3&gt;=Assumptions!$E$242,AA$3&gt;=Assumptions!$B$14,Revenue_Build!AA10&gt;=Assumptions!$F$242*Assumptions!$B$55)),Assumptions!$D$242,0)</f>
        <v/>
      </c>
      <c r="AB44" s="41">
        <f>IF(OR(AA44&gt;0,AND(AB$3&gt;=Assumptions!$E$242,AB$3&gt;=Assumptions!$B$14,Revenue_Build!AB10&gt;=Assumptions!$F$242*Assumptions!$B$55)),Assumptions!$D$242,0)</f>
        <v/>
      </c>
      <c r="AC44" s="41">
        <f>IF(OR(AB44&gt;0,AND(AC$3&gt;=Assumptions!$E$242,AC$3&gt;=Assumptions!$B$14,Revenue_Build!AC10&gt;=Assumptions!$F$242*Assumptions!$B$55)),Assumptions!$D$242,0)</f>
        <v/>
      </c>
      <c r="AD44" s="41">
        <f>IF(OR(AC44&gt;0,AND(AD$3&gt;=Assumptions!$E$242,AD$3&gt;=Assumptions!$B$14,Revenue_Build!AD10&gt;=Assumptions!$F$242*Assumptions!$B$55)),Assumptions!$D$242,0)</f>
        <v/>
      </c>
      <c r="AE44" s="41">
        <f>IF(OR(AD44&gt;0,AND(AE$3&gt;=Assumptions!$E$242,AE$3&gt;=Assumptions!$B$14,Revenue_Build!AE10&gt;=Assumptions!$F$242*Assumptions!$B$55)),Assumptions!$D$242,0)</f>
        <v/>
      </c>
      <c r="AF44" s="41">
        <f>IF(OR(AE44&gt;0,AND(AF$3&gt;=Assumptions!$E$242,AF$3&gt;=Assumptions!$B$14,Revenue_Build!AF10&gt;=Assumptions!$F$242*Assumptions!$B$55)),Assumptions!$D$242,0)</f>
        <v/>
      </c>
      <c r="AG44" s="41">
        <f>IF(OR(AF44&gt;0,AND(AG$3&gt;=Assumptions!$E$242,AG$3&gt;=Assumptions!$B$14,Revenue_Build!AG10&gt;=Assumptions!$F$242*Assumptions!$B$55)),Assumptions!$D$242,0)</f>
        <v/>
      </c>
      <c r="AH44" s="41">
        <f>IF(OR(AG44&gt;0,AND(AH$3&gt;=Assumptions!$E$242,AH$3&gt;=Assumptions!$B$14,Revenue_Build!AH10&gt;=Assumptions!$F$242*Assumptions!$B$55)),Assumptions!$D$242,0)</f>
        <v/>
      </c>
      <c r="AI44" s="41">
        <f>IF(OR(AH44&gt;0,AND(AI$3&gt;=Assumptions!$E$242,AI$3&gt;=Assumptions!$B$14,Revenue_Build!AI10&gt;=Assumptions!$F$242*Assumptions!$B$55)),Assumptions!$D$242,0)</f>
        <v/>
      </c>
      <c r="AJ44" s="41">
        <f>IF(OR(AI44&gt;0,AND(AJ$3&gt;=Assumptions!$E$242,AJ$3&gt;=Assumptions!$B$14,Revenue_Build!AJ10&gt;=Assumptions!$F$242*Assumptions!$B$55)),Assumptions!$D$242,0)</f>
        <v/>
      </c>
      <c r="AK44" s="41">
        <f>IF(OR(AJ44&gt;0,AND(AK$3&gt;=Assumptions!$E$242,AK$3&gt;=Assumptions!$B$14,Revenue_Build!AK10&gt;=Assumptions!$F$242*Assumptions!$B$55)),Assumptions!$D$242,0)</f>
        <v/>
      </c>
      <c r="AL44" s="41">
        <f>IF(OR(AK44&gt;0,AND(AL$3&gt;=Assumptions!$E$242,AL$3&gt;=Assumptions!$B$14,Revenue_Build!AL10&gt;=Assumptions!$F$242*Assumptions!$B$55)),Assumptions!$D$242,0)</f>
        <v/>
      </c>
      <c r="AM44" s="41">
        <f>IF(OR(AL44&gt;0,AND(AM$3&gt;=Assumptions!$E$242,AM$3&gt;=Assumptions!$B$14,Revenue_Build!AM10&gt;=Assumptions!$F$242*Assumptions!$B$55)),Assumptions!$D$242,0)</f>
        <v/>
      </c>
      <c r="AN44" s="41">
        <f>IF(OR(AM44&gt;0,AND(AN$3&gt;=Assumptions!$E$242,AN$3&gt;=Assumptions!$B$14,Revenue_Build!AN10&gt;=Assumptions!$F$242*Assumptions!$B$55)),Assumptions!$D$242,0)</f>
        <v/>
      </c>
      <c r="AO44" s="41">
        <f>IF(OR(AN44&gt;0,AND(AO$3&gt;=Assumptions!$E$242,AO$3&gt;=Assumptions!$B$14,Revenue_Build!AO10&gt;=Assumptions!$F$242*Assumptions!$B$55)),Assumptions!$D$242,0)</f>
        <v/>
      </c>
      <c r="AP44" s="41">
        <f>IF(OR(AO44&gt;0,AND(AP$3&gt;=Assumptions!$E$242,AP$3&gt;=Assumptions!$B$14,Revenue_Build!AP10&gt;=Assumptions!$F$242*Assumptions!$B$55)),Assumptions!$D$242,0)</f>
        <v/>
      </c>
      <c r="AQ44" s="41">
        <f>IF(OR(AP44&gt;0,AND(AQ$3&gt;=Assumptions!$E$242,AQ$3&gt;=Assumptions!$B$14,Revenue_Build!AQ10&gt;=Assumptions!$F$242*Assumptions!$B$55)),Assumptions!$D$242,0)</f>
        <v/>
      </c>
      <c r="AR44" s="41">
        <f>IF(OR(AQ44&gt;0,AND(AR$3&gt;=Assumptions!$E$242,AR$3&gt;=Assumptions!$B$14,Revenue_Build!AR10&gt;=Assumptions!$F$242*Assumptions!$B$55)),Assumptions!$D$242,0)</f>
        <v/>
      </c>
      <c r="AS44" s="41">
        <f>IF(OR(AR44&gt;0,AND(AS$3&gt;=Assumptions!$E$242,AS$3&gt;=Assumptions!$B$14,Revenue_Build!AS10&gt;=Assumptions!$F$242*Assumptions!$B$55)),Assumptions!$D$242,0)</f>
        <v/>
      </c>
      <c r="AT44" s="41">
        <f>IF(OR(AS44&gt;0,AND(AT$3&gt;=Assumptions!$E$242,AT$3&gt;=Assumptions!$B$14,Revenue_Build!AT10&gt;=Assumptions!$F$242*Assumptions!$B$55)),Assumptions!$D$242,0)</f>
        <v/>
      </c>
      <c r="AU44" s="41">
        <f>IF(OR(AT44&gt;0,AND(AU$3&gt;=Assumptions!$E$242,AU$3&gt;=Assumptions!$B$14,Revenue_Build!AU10&gt;=Assumptions!$F$242*Assumptions!$B$55)),Assumptions!$D$242,0)</f>
        <v/>
      </c>
      <c r="AV44" s="41">
        <f>IF(OR(AU44&gt;0,AND(AV$3&gt;=Assumptions!$E$242,AV$3&gt;=Assumptions!$B$14,Revenue_Build!AV10&gt;=Assumptions!$F$242*Assumptions!$B$55)),Assumptions!$D$242,0)</f>
        <v/>
      </c>
      <c r="AW44" s="41">
        <f>IF(OR(AV44&gt;0,AND(AW$3&gt;=Assumptions!$E$242,AW$3&gt;=Assumptions!$B$14,Revenue_Build!AW10&gt;=Assumptions!$F$242*Assumptions!$B$55)),Assumptions!$D$242,0)</f>
        <v/>
      </c>
      <c r="AX44" s="41">
        <f>IF(OR(AW44&gt;0,AND(AX$3&gt;=Assumptions!$E$242,AX$3&gt;=Assumptions!$B$14,Revenue_Build!AX10&gt;=Assumptions!$F$242*Assumptions!$B$55)),Assumptions!$D$242,0)</f>
        <v/>
      </c>
      <c r="AY44" s="41">
        <f>IF(OR(AX44&gt;0,AND(AY$3&gt;=Assumptions!$E$242,AY$3&gt;=Assumptions!$B$14,Revenue_Build!AY10&gt;=Assumptions!$F$242*Assumptions!$B$55)),Assumptions!$D$242,0)</f>
        <v/>
      </c>
      <c r="AZ44" s="41">
        <f>IF(OR(AY44&gt;0,AND(AZ$3&gt;=Assumptions!$E$242,AZ$3&gt;=Assumptions!$B$14,Revenue_Build!AZ10&gt;=Assumptions!$F$242*Assumptions!$B$55)),Assumptions!$D$242,0)</f>
        <v/>
      </c>
      <c r="BA44" s="41">
        <f>IF(OR(AZ44&gt;0,AND(BA$3&gt;=Assumptions!$E$242,BA$3&gt;=Assumptions!$B$14,Revenue_Build!BA10&gt;=Assumptions!$F$242*Assumptions!$B$55)),Assumptions!$D$242,0)</f>
        <v/>
      </c>
      <c r="BB44" s="41">
        <f>IF(OR(BA44&gt;0,AND(BB$3&gt;=Assumptions!$E$242,BB$3&gt;=Assumptions!$B$14,Revenue_Build!BB10&gt;=Assumptions!$F$242*Assumptions!$B$55)),Assumptions!$D$242,0)</f>
        <v/>
      </c>
      <c r="BC44" s="41">
        <f>IF(OR(BB44&gt;0,AND(BC$3&gt;=Assumptions!$E$242,BC$3&gt;=Assumptions!$B$14,Revenue_Build!BC10&gt;=Assumptions!$F$242*Assumptions!$B$55)),Assumptions!$D$242,0)</f>
        <v/>
      </c>
      <c r="BD44" s="41">
        <f>IF(OR(BC44&gt;0,AND(BD$3&gt;=Assumptions!$E$242,BD$3&gt;=Assumptions!$B$14,Revenue_Build!BD10&gt;=Assumptions!$F$242*Assumptions!$B$55)),Assumptions!$D$242,0)</f>
        <v/>
      </c>
      <c r="BE44" s="41">
        <f>IF(OR(BD44&gt;0,AND(BE$3&gt;=Assumptions!$E$242,BE$3&gt;=Assumptions!$B$14,Revenue_Build!BE10&gt;=Assumptions!$F$242*Assumptions!$B$55)),Assumptions!$D$242,0)</f>
        <v/>
      </c>
      <c r="BF44" s="41">
        <f>IF(OR(BE44&gt;0,AND(BF$3&gt;=Assumptions!$E$242,BF$3&gt;=Assumptions!$B$14,Revenue_Build!BF10&gt;=Assumptions!$F$242*Assumptions!$B$55)),Assumptions!$D$242,0)</f>
        <v/>
      </c>
      <c r="BG44" s="41">
        <f>IF(OR(BF44&gt;0,AND(BG$3&gt;=Assumptions!$E$242,BG$3&gt;=Assumptions!$B$14,Revenue_Build!BG10&gt;=Assumptions!$F$242*Assumptions!$B$55)),Assumptions!$D$242,0)</f>
        <v/>
      </c>
      <c r="BH44" s="41">
        <f>IF(OR(BG44&gt;0,AND(BH$3&gt;=Assumptions!$E$242,BH$3&gt;=Assumptions!$B$14,Revenue_Build!BH10&gt;=Assumptions!$F$242*Assumptions!$B$55)),Assumptions!$D$242,0)</f>
        <v/>
      </c>
      <c r="BI44" s="41">
        <f>IF(OR(BH44&gt;0,AND(BI$3&gt;=Assumptions!$E$242,BI$3&gt;=Assumptions!$B$14,Revenue_Build!BI10&gt;=Assumptions!$F$242*Assumptions!$B$55)),Assumptions!$D$242,0)</f>
        <v/>
      </c>
      <c r="BJ44" s="41">
        <f>IF(OR(BI44&gt;0,AND(BJ$3&gt;=Assumptions!$E$242,BJ$3&gt;=Assumptions!$B$14,Revenue_Build!BJ10&gt;=Assumptions!$F$242*Assumptions!$B$55)),Assumptions!$D$242,0)</f>
        <v/>
      </c>
    </row>
    <row r="45">
      <c r="A45" s="4" t="inlineStr">
        <is>
          <t>CS agents II</t>
        </is>
      </c>
      <c r="B45" s="17" t="inlineStr">
        <is>
          <t>FTE</t>
        </is>
      </c>
      <c r="C45" s="41">
        <f>IF(AND(C$3&gt;=Assumptions!$E$243,C$3&gt;=Assumptions!$B$14,Revenue_Build!C10&gt;=Assumptions!$F$243*Assumptions!$B$55),Assumptions!$D$243,0)</f>
        <v/>
      </c>
      <c r="D45" s="41">
        <f>IF(OR(C45&gt;0,AND(D$3&gt;=Assumptions!$E$243,D$3&gt;=Assumptions!$B$14,Revenue_Build!D10&gt;=Assumptions!$F$243*Assumptions!$B$55)),Assumptions!$D$243,0)</f>
        <v/>
      </c>
      <c r="E45" s="41">
        <f>IF(OR(D45&gt;0,AND(E$3&gt;=Assumptions!$E$243,E$3&gt;=Assumptions!$B$14,Revenue_Build!E10&gt;=Assumptions!$F$243*Assumptions!$B$55)),Assumptions!$D$243,0)</f>
        <v/>
      </c>
      <c r="F45" s="41">
        <f>IF(OR(E45&gt;0,AND(F$3&gt;=Assumptions!$E$243,F$3&gt;=Assumptions!$B$14,Revenue_Build!F10&gt;=Assumptions!$F$243*Assumptions!$B$55)),Assumptions!$D$243,0)</f>
        <v/>
      </c>
      <c r="G45" s="41">
        <f>IF(OR(F45&gt;0,AND(G$3&gt;=Assumptions!$E$243,G$3&gt;=Assumptions!$B$14,Revenue_Build!G10&gt;=Assumptions!$F$243*Assumptions!$B$55)),Assumptions!$D$243,0)</f>
        <v/>
      </c>
      <c r="H45" s="41">
        <f>IF(OR(G45&gt;0,AND(H$3&gt;=Assumptions!$E$243,H$3&gt;=Assumptions!$B$14,Revenue_Build!H10&gt;=Assumptions!$F$243*Assumptions!$B$55)),Assumptions!$D$243,0)</f>
        <v/>
      </c>
      <c r="I45" s="41">
        <f>IF(OR(H45&gt;0,AND(I$3&gt;=Assumptions!$E$243,I$3&gt;=Assumptions!$B$14,Revenue_Build!I10&gt;=Assumptions!$F$243*Assumptions!$B$55)),Assumptions!$D$243,0)</f>
        <v/>
      </c>
      <c r="J45" s="41">
        <f>IF(OR(I45&gt;0,AND(J$3&gt;=Assumptions!$E$243,J$3&gt;=Assumptions!$B$14,Revenue_Build!J10&gt;=Assumptions!$F$243*Assumptions!$B$55)),Assumptions!$D$243,0)</f>
        <v/>
      </c>
      <c r="K45" s="41">
        <f>IF(OR(J45&gt;0,AND(K$3&gt;=Assumptions!$E$243,K$3&gt;=Assumptions!$B$14,Revenue_Build!K10&gt;=Assumptions!$F$243*Assumptions!$B$55)),Assumptions!$D$243,0)</f>
        <v/>
      </c>
      <c r="L45" s="41">
        <f>IF(OR(K45&gt;0,AND(L$3&gt;=Assumptions!$E$243,L$3&gt;=Assumptions!$B$14,Revenue_Build!L10&gt;=Assumptions!$F$243*Assumptions!$B$55)),Assumptions!$D$243,0)</f>
        <v/>
      </c>
      <c r="M45" s="41">
        <f>IF(OR(L45&gt;0,AND(M$3&gt;=Assumptions!$E$243,M$3&gt;=Assumptions!$B$14,Revenue_Build!M10&gt;=Assumptions!$F$243*Assumptions!$B$55)),Assumptions!$D$243,0)</f>
        <v/>
      </c>
      <c r="N45" s="41">
        <f>IF(OR(M45&gt;0,AND(N$3&gt;=Assumptions!$E$243,N$3&gt;=Assumptions!$B$14,Revenue_Build!N10&gt;=Assumptions!$F$243*Assumptions!$B$55)),Assumptions!$D$243,0)</f>
        <v/>
      </c>
      <c r="O45" s="41">
        <f>IF(OR(N45&gt;0,AND(O$3&gt;=Assumptions!$E$243,O$3&gt;=Assumptions!$B$14,Revenue_Build!O10&gt;=Assumptions!$F$243*Assumptions!$B$55)),Assumptions!$D$243,0)</f>
        <v/>
      </c>
      <c r="P45" s="41">
        <f>IF(OR(O45&gt;0,AND(P$3&gt;=Assumptions!$E$243,P$3&gt;=Assumptions!$B$14,Revenue_Build!P10&gt;=Assumptions!$F$243*Assumptions!$B$55)),Assumptions!$D$243,0)</f>
        <v/>
      </c>
      <c r="Q45" s="41">
        <f>IF(OR(P45&gt;0,AND(Q$3&gt;=Assumptions!$E$243,Q$3&gt;=Assumptions!$B$14,Revenue_Build!Q10&gt;=Assumptions!$F$243*Assumptions!$B$55)),Assumptions!$D$243,0)</f>
        <v/>
      </c>
      <c r="R45" s="41">
        <f>IF(OR(Q45&gt;0,AND(R$3&gt;=Assumptions!$E$243,R$3&gt;=Assumptions!$B$14,Revenue_Build!R10&gt;=Assumptions!$F$243*Assumptions!$B$55)),Assumptions!$D$243,0)</f>
        <v/>
      </c>
      <c r="S45" s="41">
        <f>IF(OR(R45&gt;0,AND(S$3&gt;=Assumptions!$E$243,S$3&gt;=Assumptions!$B$14,Revenue_Build!S10&gt;=Assumptions!$F$243*Assumptions!$B$55)),Assumptions!$D$243,0)</f>
        <v/>
      </c>
      <c r="T45" s="41">
        <f>IF(OR(S45&gt;0,AND(T$3&gt;=Assumptions!$E$243,T$3&gt;=Assumptions!$B$14,Revenue_Build!T10&gt;=Assumptions!$F$243*Assumptions!$B$55)),Assumptions!$D$243,0)</f>
        <v/>
      </c>
      <c r="U45" s="41">
        <f>IF(OR(T45&gt;0,AND(U$3&gt;=Assumptions!$E$243,U$3&gt;=Assumptions!$B$14,Revenue_Build!U10&gt;=Assumptions!$F$243*Assumptions!$B$55)),Assumptions!$D$243,0)</f>
        <v/>
      </c>
      <c r="V45" s="41">
        <f>IF(OR(U45&gt;0,AND(V$3&gt;=Assumptions!$E$243,V$3&gt;=Assumptions!$B$14,Revenue_Build!V10&gt;=Assumptions!$F$243*Assumptions!$B$55)),Assumptions!$D$243,0)</f>
        <v/>
      </c>
      <c r="W45" s="41">
        <f>IF(OR(V45&gt;0,AND(W$3&gt;=Assumptions!$E$243,W$3&gt;=Assumptions!$B$14,Revenue_Build!W10&gt;=Assumptions!$F$243*Assumptions!$B$55)),Assumptions!$D$243,0)</f>
        <v/>
      </c>
      <c r="X45" s="41">
        <f>IF(OR(W45&gt;0,AND(X$3&gt;=Assumptions!$E$243,X$3&gt;=Assumptions!$B$14,Revenue_Build!X10&gt;=Assumptions!$F$243*Assumptions!$B$55)),Assumptions!$D$243,0)</f>
        <v/>
      </c>
      <c r="Y45" s="41">
        <f>IF(OR(X45&gt;0,AND(Y$3&gt;=Assumptions!$E$243,Y$3&gt;=Assumptions!$B$14,Revenue_Build!Y10&gt;=Assumptions!$F$243*Assumptions!$B$55)),Assumptions!$D$243,0)</f>
        <v/>
      </c>
      <c r="Z45" s="41">
        <f>IF(OR(Y45&gt;0,AND(Z$3&gt;=Assumptions!$E$243,Z$3&gt;=Assumptions!$B$14,Revenue_Build!Z10&gt;=Assumptions!$F$243*Assumptions!$B$55)),Assumptions!$D$243,0)</f>
        <v/>
      </c>
      <c r="AA45" s="41">
        <f>IF(OR(Z45&gt;0,AND(AA$3&gt;=Assumptions!$E$243,AA$3&gt;=Assumptions!$B$14,Revenue_Build!AA10&gt;=Assumptions!$F$243*Assumptions!$B$55)),Assumptions!$D$243,0)</f>
        <v/>
      </c>
      <c r="AB45" s="41">
        <f>IF(OR(AA45&gt;0,AND(AB$3&gt;=Assumptions!$E$243,AB$3&gt;=Assumptions!$B$14,Revenue_Build!AB10&gt;=Assumptions!$F$243*Assumptions!$B$55)),Assumptions!$D$243,0)</f>
        <v/>
      </c>
      <c r="AC45" s="41">
        <f>IF(OR(AB45&gt;0,AND(AC$3&gt;=Assumptions!$E$243,AC$3&gt;=Assumptions!$B$14,Revenue_Build!AC10&gt;=Assumptions!$F$243*Assumptions!$B$55)),Assumptions!$D$243,0)</f>
        <v/>
      </c>
      <c r="AD45" s="41">
        <f>IF(OR(AC45&gt;0,AND(AD$3&gt;=Assumptions!$E$243,AD$3&gt;=Assumptions!$B$14,Revenue_Build!AD10&gt;=Assumptions!$F$243*Assumptions!$B$55)),Assumptions!$D$243,0)</f>
        <v/>
      </c>
      <c r="AE45" s="41">
        <f>IF(OR(AD45&gt;0,AND(AE$3&gt;=Assumptions!$E$243,AE$3&gt;=Assumptions!$B$14,Revenue_Build!AE10&gt;=Assumptions!$F$243*Assumptions!$B$55)),Assumptions!$D$243,0)</f>
        <v/>
      </c>
      <c r="AF45" s="41">
        <f>IF(OR(AE45&gt;0,AND(AF$3&gt;=Assumptions!$E$243,AF$3&gt;=Assumptions!$B$14,Revenue_Build!AF10&gt;=Assumptions!$F$243*Assumptions!$B$55)),Assumptions!$D$243,0)</f>
        <v/>
      </c>
      <c r="AG45" s="41">
        <f>IF(OR(AF45&gt;0,AND(AG$3&gt;=Assumptions!$E$243,AG$3&gt;=Assumptions!$B$14,Revenue_Build!AG10&gt;=Assumptions!$F$243*Assumptions!$B$55)),Assumptions!$D$243,0)</f>
        <v/>
      </c>
      <c r="AH45" s="41">
        <f>IF(OR(AG45&gt;0,AND(AH$3&gt;=Assumptions!$E$243,AH$3&gt;=Assumptions!$B$14,Revenue_Build!AH10&gt;=Assumptions!$F$243*Assumptions!$B$55)),Assumptions!$D$243,0)</f>
        <v/>
      </c>
      <c r="AI45" s="41">
        <f>IF(OR(AH45&gt;0,AND(AI$3&gt;=Assumptions!$E$243,AI$3&gt;=Assumptions!$B$14,Revenue_Build!AI10&gt;=Assumptions!$F$243*Assumptions!$B$55)),Assumptions!$D$243,0)</f>
        <v/>
      </c>
      <c r="AJ45" s="41">
        <f>IF(OR(AI45&gt;0,AND(AJ$3&gt;=Assumptions!$E$243,AJ$3&gt;=Assumptions!$B$14,Revenue_Build!AJ10&gt;=Assumptions!$F$243*Assumptions!$B$55)),Assumptions!$D$243,0)</f>
        <v/>
      </c>
      <c r="AK45" s="41">
        <f>IF(OR(AJ45&gt;0,AND(AK$3&gt;=Assumptions!$E$243,AK$3&gt;=Assumptions!$B$14,Revenue_Build!AK10&gt;=Assumptions!$F$243*Assumptions!$B$55)),Assumptions!$D$243,0)</f>
        <v/>
      </c>
      <c r="AL45" s="41">
        <f>IF(OR(AK45&gt;0,AND(AL$3&gt;=Assumptions!$E$243,AL$3&gt;=Assumptions!$B$14,Revenue_Build!AL10&gt;=Assumptions!$F$243*Assumptions!$B$55)),Assumptions!$D$243,0)</f>
        <v/>
      </c>
      <c r="AM45" s="41">
        <f>IF(OR(AL45&gt;0,AND(AM$3&gt;=Assumptions!$E$243,AM$3&gt;=Assumptions!$B$14,Revenue_Build!AM10&gt;=Assumptions!$F$243*Assumptions!$B$55)),Assumptions!$D$243,0)</f>
        <v/>
      </c>
      <c r="AN45" s="41">
        <f>IF(OR(AM45&gt;0,AND(AN$3&gt;=Assumptions!$E$243,AN$3&gt;=Assumptions!$B$14,Revenue_Build!AN10&gt;=Assumptions!$F$243*Assumptions!$B$55)),Assumptions!$D$243,0)</f>
        <v/>
      </c>
      <c r="AO45" s="41">
        <f>IF(OR(AN45&gt;0,AND(AO$3&gt;=Assumptions!$E$243,AO$3&gt;=Assumptions!$B$14,Revenue_Build!AO10&gt;=Assumptions!$F$243*Assumptions!$B$55)),Assumptions!$D$243,0)</f>
        <v/>
      </c>
      <c r="AP45" s="41">
        <f>IF(OR(AO45&gt;0,AND(AP$3&gt;=Assumptions!$E$243,AP$3&gt;=Assumptions!$B$14,Revenue_Build!AP10&gt;=Assumptions!$F$243*Assumptions!$B$55)),Assumptions!$D$243,0)</f>
        <v/>
      </c>
      <c r="AQ45" s="41">
        <f>IF(OR(AP45&gt;0,AND(AQ$3&gt;=Assumptions!$E$243,AQ$3&gt;=Assumptions!$B$14,Revenue_Build!AQ10&gt;=Assumptions!$F$243*Assumptions!$B$55)),Assumptions!$D$243,0)</f>
        <v/>
      </c>
      <c r="AR45" s="41">
        <f>IF(OR(AQ45&gt;0,AND(AR$3&gt;=Assumptions!$E$243,AR$3&gt;=Assumptions!$B$14,Revenue_Build!AR10&gt;=Assumptions!$F$243*Assumptions!$B$55)),Assumptions!$D$243,0)</f>
        <v/>
      </c>
      <c r="AS45" s="41">
        <f>IF(OR(AR45&gt;0,AND(AS$3&gt;=Assumptions!$E$243,AS$3&gt;=Assumptions!$B$14,Revenue_Build!AS10&gt;=Assumptions!$F$243*Assumptions!$B$55)),Assumptions!$D$243,0)</f>
        <v/>
      </c>
      <c r="AT45" s="41">
        <f>IF(OR(AS45&gt;0,AND(AT$3&gt;=Assumptions!$E$243,AT$3&gt;=Assumptions!$B$14,Revenue_Build!AT10&gt;=Assumptions!$F$243*Assumptions!$B$55)),Assumptions!$D$243,0)</f>
        <v/>
      </c>
      <c r="AU45" s="41">
        <f>IF(OR(AT45&gt;0,AND(AU$3&gt;=Assumptions!$E$243,AU$3&gt;=Assumptions!$B$14,Revenue_Build!AU10&gt;=Assumptions!$F$243*Assumptions!$B$55)),Assumptions!$D$243,0)</f>
        <v/>
      </c>
      <c r="AV45" s="41">
        <f>IF(OR(AU45&gt;0,AND(AV$3&gt;=Assumptions!$E$243,AV$3&gt;=Assumptions!$B$14,Revenue_Build!AV10&gt;=Assumptions!$F$243*Assumptions!$B$55)),Assumptions!$D$243,0)</f>
        <v/>
      </c>
      <c r="AW45" s="41">
        <f>IF(OR(AV45&gt;0,AND(AW$3&gt;=Assumptions!$E$243,AW$3&gt;=Assumptions!$B$14,Revenue_Build!AW10&gt;=Assumptions!$F$243*Assumptions!$B$55)),Assumptions!$D$243,0)</f>
        <v/>
      </c>
      <c r="AX45" s="41">
        <f>IF(OR(AW45&gt;0,AND(AX$3&gt;=Assumptions!$E$243,AX$3&gt;=Assumptions!$B$14,Revenue_Build!AX10&gt;=Assumptions!$F$243*Assumptions!$B$55)),Assumptions!$D$243,0)</f>
        <v/>
      </c>
      <c r="AY45" s="41">
        <f>IF(OR(AX45&gt;0,AND(AY$3&gt;=Assumptions!$E$243,AY$3&gt;=Assumptions!$B$14,Revenue_Build!AY10&gt;=Assumptions!$F$243*Assumptions!$B$55)),Assumptions!$D$243,0)</f>
        <v/>
      </c>
      <c r="AZ45" s="41">
        <f>IF(OR(AY45&gt;0,AND(AZ$3&gt;=Assumptions!$E$243,AZ$3&gt;=Assumptions!$B$14,Revenue_Build!AZ10&gt;=Assumptions!$F$243*Assumptions!$B$55)),Assumptions!$D$243,0)</f>
        <v/>
      </c>
      <c r="BA45" s="41">
        <f>IF(OR(AZ45&gt;0,AND(BA$3&gt;=Assumptions!$E$243,BA$3&gt;=Assumptions!$B$14,Revenue_Build!BA10&gt;=Assumptions!$F$243*Assumptions!$B$55)),Assumptions!$D$243,0)</f>
        <v/>
      </c>
      <c r="BB45" s="41">
        <f>IF(OR(BA45&gt;0,AND(BB$3&gt;=Assumptions!$E$243,BB$3&gt;=Assumptions!$B$14,Revenue_Build!BB10&gt;=Assumptions!$F$243*Assumptions!$B$55)),Assumptions!$D$243,0)</f>
        <v/>
      </c>
      <c r="BC45" s="41">
        <f>IF(OR(BB45&gt;0,AND(BC$3&gt;=Assumptions!$E$243,BC$3&gt;=Assumptions!$B$14,Revenue_Build!BC10&gt;=Assumptions!$F$243*Assumptions!$B$55)),Assumptions!$D$243,0)</f>
        <v/>
      </c>
      <c r="BD45" s="41">
        <f>IF(OR(BC45&gt;0,AND(BD$3&gt;=Assumptions!$E$243,BD$3&gt;=Assumptions!$B$14,Revenue_Build!BD10&gt;=Assumptions!$F$243*Assumptions!$B$55)),Assumptions!$D$243,0)</f>
        <v/>
      </c>
      <c r="BE45" s="41">
        <f>IF(OR(BD45&gt;0,AND(BE$3&gt;=Assumptions!$E$243,BE$3&gt;=Assumptions!$B$14,Revenue_Build!BE10&gt;=Assumptions!$F$243*Assumptions!$B$55)),Assumptions!$D$243,0)</f>
        <v/>
      </c>
      <c r="BF45" s="41">
        <f>IF(OR(BE45&gt;0,AND(BF$3&gt;=Assumptions!$E$243,BF$3&gt;=Assumptions!$B$14,Revenue_Build!BF10&gt;=Assumptions!$F$243*Assumptions!$B$55)),Assumptions!$D$243,0)</f>
        <v/>
      </c>
      <c r="BG45" s="41">
        <f>IF(OR(BF45&gt;0,AND(BG$3&gt;=Assumptions!$E$243,BG$3&gt;=Assumptions!$B$14,Revenue_Build!BG10&gt;=Assumptions!$F$243*Assumptions!$B$55)),Assumptions!$D$243,0)</f>
        <v/>
      </c>
      <c r="BH45" s="41">
        <f>IF(OR(BG45&gt;0,AND(BH$3&gt;=Assumptions!$E$243,BH$3&gt;=Assumptions!$B$14,Revenue_Build!BH10&gt;=Assumptions!$F$243*Assumptions!$B$55)),Assumptions!$D$243,0)</f>
        <v/>
      </c>
      <c r="BI45" s="41">
        <f>IF(OR(BH45&gt;0,AND(BI$3&gt;=Assumptions!$E$243,BI$3&gt;=Assumptions!$B$14,Revenue_Build!BI10&gt;=Assumptions!$F$243*Assumptions!$B$55)),Assumptions!$D$243,0)</f>
        <v/>
      </c>
      <c r="BJ45" s="41">
        <f>IF(OR(BI45&gt;0,AND(BJ$3&gt;=Assumptions!$E$243,BJ$3&gt;=Assumptions!$B$14,Revenue_Build!BJ10&gt;=Assumptions!$F$243*Assumptions!$B$55)),Assumptions!$D$243,0)</f>
        <v/>
      </c>
    </row>
    <row r="46">
      <c r="A46" s="4" t="inlineStr">
        <is>
          <t>CS agents III</t>
        </is>
      </c>
      <c r="B46" s="17" t="inlineStr">
        <is>
          <t>FTE</t>
        </is>
      </c>
      <c r="C46" s="41">
        <f>IF(AND(C$3&gt;=Assumptions!$E$244,C$3&gt;=Assumptions!$B$14,Revenue_Build!C10&gt;=Assumptions!$F$244*Assumptions!$B$55),Assumptions!$D$244,0)</f>
        <v/>
      </c>
      <c r="D46" s="41">
        <f>IF(OR(C46&gt;0,AND(D$3&gt;=Assumptions!$E$244,D$3&gt;=Assumptions!$B$14,Revenue_Build!D10&gt;=Assumptions!$F$244*Assumptions!$B$55)),Assumptions!$D$244,0)</f>
        <v/>
      </c>
      <c r="E46" s="41">
        <f>IF(OR(D46&gt;0,AND(E$3&gt;=Assumptions!$E$244,E$3&gt;=Assumptions!$B$14,Revenue_Build!E10&gt;=Assumptions!$F$244*Assumptions!$B$55)),Assumptions!$D$244,0)</f>
        <v/>
      </c>
      <c r="F46" s="41">
        <f>IF(OR(E46&gt;0,AND(F$3&gt;=Assumptions!$E$244,F$3&gt;=Assumptions!$B$14,Revenue_Build!F10&gt;=Assumptions!$F$244*Assumptions!$B$55)),Assumptions!$D$244,0)</f>
        <v/>
      </c>
      <c r="G46" s="41">
        <f>IF(OR(F46&gt;0,AND(G$3&gt;=Assumptions!$E$244,G$3&gt;=Assumptions!$B$14,Revenue_Build!G10&gt;=Assumptions!$F$244*Assumptions!$B$55)),Assumptions!$D$244,0)</f>
        <v/>
      </c>
      <c r="H46" s="41">
        <f>IF(OR(G46&gt;0,AND(H$3&gt;=Assumptions!$E$244,H$3&gt;=Assumptions!$B$14,Revenue_Build!H10&gt;=Assumptions!$F$244*Assumptions!$B$55)),Assumptions!$D$244,0)</f>
        <v/>
      </c>
      <c r="I46" s="41">
        <f>IF(OR(H46&gt;0,AND(I$3&gt;=Assumptions!$E$244,I$3&gt;=Assumptions!$B$14,Revenue_Build!I10&gt;=Assumptions!$F$244*Assumptions!$B$55)),Assumptions!$D$244,0)</f>
        <v/>
      </c>
      <c r="J46" s="41">
        <f>IF(OR(I46&gt;0,AND(J$3&gt;=Assumptions!$E$244,J$3&gt;=Assumptions!$B$14,Revenue_Build!J10&gt;=Assumptions!$F$244*Assumptions!$B$55)),Assumptions!$D$244,0)</f>
        <v/>
      </c>
      <c r="K46" s="41">
        <f>IF(OR(J46&gt;0,AND(K$3&gt;=Assumptions!$E$244,K$3&gt;=Assumptions!$B$14,Revenue_Build!K10&gt;=Assumptions!$F$244*Assumptions!$B$55)),Assumptions!$D$244,0)</f>
        <v/>
      </c>
      <c r="L46" s="41">
        <f>IF(OR(K46&gt;0,AND(L$3&gt;=Assumptions!$E$244,L$3&gt;=Assumptions!$B$14,Revenue_Build!L10&gt;=Assumptions!$F$244*Assumptions!$B$55)),Assumptions!$D$244,0)</f>
        <v/>
      </c>
      <c r="M46" s="41">
        <f>IF(OR(L46&gt;0,AND(M$3&gt;=Assumptions!$E$244,M$3&gt;=Assumptions!$B$14,Revenue_Build!M10&gt;=Assumptions!$F$244*Assumptions!$B$55)),Assumptions!$D$244,0)</f>
        <v/>
      </c>
      <c r="N46" s="41">
        <f>IF(OR(M46&gt;0,AND(N$3&gt;=Assumptions!$E$244,N$3&gt;=Assumptions!$B$14,Revenue_Build!N10&gt;=Assumptions!$F$244*Assumptions!$B$55)),Assumptions!$D$244,0)</f>
        <v/>
      </c>
      <c r="O46" s="41">
        <f>IF(OR(N46&gt;0,AND(O$3&gt;=Assumptions!$E$244,O$3&gt;=Assumptions!$B$14,Revenue_Build!O10&gt;=Assumptions!$F$244*Assumptions!$B$55)),Assumptions!$D$244,0)</f>
        <v/>
      </c>
      <c r="P46" s="41">
        <f>IF(OR(O46&gt;0,AND(P$3&gt;=Assumptions!$E$244,P$3&gt;=Assumptions!$B$14,Revenue_Build!P10&gt;=Assumptions!$F$244*Assumptions!$B$55)),Assumptions!$D$244,0)</f>
        <v/>
      </c>
      <c r="Q46" s="41">
        <f>IF(OR(P46&gt;0,AND(Q$3&gt;=Assumptions!$E$244,Q$3&gt;=Assumptions!$B$14,Revenue_Build!Q10&gt;=Assumptions!$F$244*Assumptions!$B$55)),Assumptions!$D$244,0)</f>
        <v/>
      </c>
      <c r="R46" s="41">
        <f>IF(OR(Q46&gt;0,AND(R$3&gt;=Assumptions!$E$244,R$3&gt;=Assumptions!$B$14,Revenue_Build!R10&gt;=Assumptions!$F$244*Assumptions!$B$55)),Assumptions!$D$244,0)</f>
        <v/>
      </c>
      <c r="S46" s="41">
        <f>IF(OR(R46&gt;0,AND(S$3&gt;=Assumptions!$E$244,S$3&gt;=Assumptions!$B$14,Revenue_Build!S10&gt;=Assumptions!$F$244*Assumptions!$B$55)),Assumptions!$D$244,0)</f>
        <v/>
      </c>
      <c r="T46" s="41">
        <f>IF(OR(S46&gt;0,AND(T$3&gt;=Assumptions!$E$244,T$3&gt;=Assumptions!$B$14,Revenue_Build!T10&gt;=Assumptions!$F$244*Assumptions!$B$55)),Assumptions!$D$244,0)</f>
        <v/>
      </c>
      <c r="U46" s="41">
        <f>IF(OR(T46&gt;0,AND(U$3&gt;=Assumptions!$E$244,U$3&gt;=Assumptions!$B$14,Revenue_Build!U10&gt;=Assumptions!$F$244*Assumptions!$B$55)),Assumptions!$D$244,0)</f>
        <v/>
      </c>
      <c r="V46" s="41">
        <f>IF(OR(U46&gt;0,AND(V$3&gt;=Assumptions!$E$244,V$3&gt;=Assumptions!$B$14,Revenue_Build!V10&gt;=Assumptions!$F$244*Assumptions!$B$55)),Assumptions!$D$244,0)</f>
        <v/>
      </c>
      <c r="W46" s="41">
        <f>IF(OR(V46&gt;0,AND(W$3&gt;=Assumptions!$E$244,W$3&gt;=Assumptions!$B$14,Revenue_Build!W10&gt;=Assumptions!$F$244*Assumptions!$B$55)),Assumptions!$D$244,0)</f>
        <v/>
      </c>
      <c r="X46" s="41">
        <f>IF(OR(W46&gt;0,AND(X$3&gt;=Assumptions!$E$244,X$3&gt;=Assumptions!$B$14,Revenue_Build!X10&gt;=Assumptions!$F$244*Assumptions!$B$55)),Assumptions!$D$244,0)</f>
        <v/>
      </c>
      <c r="Y46" s="41">
        <f>IF(OR(X46&gt;0,AND(Y$3&gt;=Assumptions!$E$244,Y$3&gt;=Assumptions!$B$14,Revenue_Build!Y10&gt;=Assumptions!$F$244*Assumptions!$B$55)),Assumptions!$D$244,0)</f>
        <v/>
      </c>
      <c r="Z46" s="41">
        <f>IF(OR(Y46&gt;0,AND(Z$3&gt;=Assumptions!$E$244,Z$3&gt;=Assumptions!$B$14,Revenue_Build!Z10&gt;=Assumptions!$F$244*Assumptions!$B$55)),Assumptions!$D$244,0)</f>
        <v/>
      </c>
      <c r="AA46" s="41">
        <f>IF(OR(Z46&gt;0,AND(AA$3&gt;=Assumptions!$E$244,AA$3&gt;=Assumptions!$B$14,Revenue_Build!AA10&gt;=Assumptions!$F$244*Assumptions!$B$55)),Assumptions!$D$244,0)</f>
        <v/>
      </c>
      <c r="AB46" s="41">
        <f>IF(OR(AA46&gt;0,AND(AB$3&gt;=Assumptions!$E$244,AB$3&gt;=Assumptions!$B$14,Revenue_Build!AB10&gt;=Assumptions!$F$244*Assumptions!$B$55)),Assumptions!$D$244,0)</f>
        <v/>
      </c>
      <c r="AC46" s="41">
        <f>IF(OR(AB46&gt;0,AND(AC$3&gt;=Assumptions!$E$244,AC$3&gt;=Assumptions!$B$14,Revenue_Build!AC10&gt;=Assumptions!$F$244*Assumptions!$B$55)),Assumptions!$D$244,0)</f>
        <v/>
      </c>
      <c r="AD46" s="41">
        <f>IF(OR(AC46&gt;0,AND(AD$3&gt;=Assumptions!$E$244,AD$3&gt;=Assumptions!$B$14,Revenue_Build!AD10&gt;=Assumptions!$F$244*Assumptions!$B$55)),Assumptions!$D$244,0)</f>
        <v/>
      </c>
      <c r="AE46" s="41">
        <f>IF(OR(AD46&gt;0,AND(AE$3&gt;=Assumptions!$E$244,AE$3&gt;=Assumptions!$B$14,Revenue_Build!AE10&gt;=Assumptions!$F$244*Assumptions!$B$55)),Assumptions!$D$244,0)</f>
        <v/>
      </c>
      <c r="AF46" s="41">
        <f>IF(OR(AE46&gt;0,AND(AF$3&gt;=Assumptions!$E$244,AF$3&gt;=Assumptions!$B$14,Revenue_Build!AF10&gt;=Assumptions!$F$244*Assumptions!$B$55)),Assumptions!$D$244,0)</f>
        <v/>
      </c>
      <c r="AG46" s="41">
        <f>IF(OR(AF46&gt;0,AND(AG$3&gt;=Assumptions!$E$244,AG$3&gt;=Assumptions!$B$14,Revenue_Build!AG10&gt;=Assumptions!$F$244*Assumptions!$B$55)),Assumptions!$D$244,0)</f>
        <v/>
      </c>
      <c r="AH46" s="41">
        <f>IF(OR(AG46&gt;0,AND(AH$3&gt;=Assumptions!$E$244,AH$3&gt;=Assumptions!$B$14,Revenue_Build!AH10&gt;=Assumptions!$F$244*Assumptions!$B$55)),Assumptions!$D$244,0)</f>
        <v/>
      </c>
      <c r="AI46" s="41">
        <f>IF(OR(AH46&gt;0,AND(AI$3&gt;=Assumptions!$E$244,AI$3&gt;=Assumptions!$B$14,Revenue_Build!AI10&gt;=Assumptions!$F$244*Assumptions!$B$55)),Assumptions!$D$244,0)</f>
        <v/>
      </c>
      <c r="AJ46" s="41">
        <f>IF(OR(AI46&gt;0,AND(AJ$3&gt;=Assumptions!$E$244,AJ$3&gt;=Assumptions!$B$14,Revenue_Build!AJ10&gt;=Assumptions!$F$244*Assumptions!$B$55)),Assumptions!$D$244,0)</f>
        <v/>
      </c>
      <c r="AK46" s="41">
        <f>IF(OR(AJ46&gt;0,AND(AK$3&gt;=Assumptions!$E$244,AK$3&gt;=Assumptions!$B$14,Revenue_Build!AK10&gt;=Assumptions!$F$244*Assumptions!$B$55)),Assumptions!$D$244,0)</f>
        <v/>
      </c>
      <c r="AL46" s="41">
        <f>IF(OR(AK46&gt;0,AND(AL$3&gt;=Assumptions!$E$244,AL$3&gt;=Assumptions!$B$14,Revenue_Build!AL10&gt;=Assumptions!$F$244*Assumptions!$B$55)),Assumptions!$D$244,0)</f>
        <v/>
      </c>
      <c r="AM46" s="41">
        <f>IF(OR(AL46&gt;0,AND(AM$3&gt;=Assumptions!$E$244,AM$3&gt;=Assumptions!$B$14,Revenue_Build!AM10&gt;=Assumptions!$F$244*Assumptions!$B$55)),Assumptions!$D$244,0)</f>
        <v/>
      </c>
      <c r="AN46" s="41">
        <f>IF(OR(AM46&gt;0,AND(AN$3&gt;=Assumptions!$E$244,AN$3&gt;=Assumptions!$B$14,Revenue_Build!AN10&gt;=Assumptions!$F$244*Assumptions!$B$55)),Assumptions!$D$244,0)</f>
        <v/>
      </c>
      <c r="AO46" s="41">
        <f>IF(OR(AN46&gt;0,AND(AO$3&gt;=Assumptions!$E$244,AO$3&gt;=Assumptions!$B$14,Revenue_Build!AO10&gt;=Assumptions!$F$244*Assumptions!$B$55)),Assumptions!$D$244,0)</f>
        <v/>
      </c>
      <c r="AP46" s="41">
        <f>IF(OR(AO46&gt;0,AND(AP$3&gt;=Assumptions!$E$244,AP$3&gt;=Assumptions!$B$14,Revenue_Build!AP10&gt;=Assumptions!$F$244*Assumptions!$B$55)),Assumptions!$D$244,0)</f>
        <v/>
      </c>
      <c r="AQ46" s="41">
        <f>IF(OR(AP46&gt;0,AND(AQ$3&gt;=Assumptions!$E$244,AQ$3&gt;=Assumptions!$B$14,Revenue_Build!AQ10&gt;=Assumptions!$F$244*Assumptions!$B$55)),Assumptions!$D$244,0)</f>
        <v/>
      </c>
      <c r="AR46" s="41">
        <f>IF(OR(AQ46&gt;0,AND(AR$3&gt;=Assumptions!$E$244,AR$3&gt;=Assumptions!$B$14,Revenue_Build!AR10&gt;=Assumptions!$F$244*Assumptions!$B$55)),Assumptions!$D$244,0)</f>
        <v/>
      </c>
      <c r="AS46" s="41">
        <f>IF(OR(AR46&gt;0,AND(AS$3&gt;=Assumptions!$E$244,AS$3&gt;=Assumptions!$B$14,Revenue_Build!AS10&gt;=Assumptions!$F$244*Assumptions!$B$55)),Assumptions!$D$244,0)</f>
        <v/>
      </c>
      <c r="AT46" s="41">
        <f>IF(OR(AS46&gt;0,AND(AT$3&gt;=Assumptions!$E$244,AT$3&gt;=Assumptions!$B$14,Revenue_Build!AT10&gt;=Assumptions!$F$244*Assumptions!$B$55)),Assumptions!$D$244,0)</f>
        <v/>
      </c>
      <c r="AU46" s="41">
        <f>IF(OR(AT46&gt;0,AND(AU$3&gt;=Assumptions!$E$244,AU$3&gt;=Assumptions!$B$14,Revenue_Build!AU10&gt;=Assumptions!$F$244*Assumptions!$B$55)),Assumptions!$D$244,0)</f>
        <v/>
      </c>
      <c r="AV46" s="41">
        <f>IF(OR(AU46&gt;0,AND(AV$3&gt;=Assumptions!$E$244,AV$3&gt;=Assumptions!$B$14,Revenue_Build!AV10&gt;=Assumptions!$F$244*Assumptions!$B$55)),Assumptions!$D$244,0)</f>
        <v/>
      </c>
      <c r="AW46" s="41">
        <f>IF(OR(AV46&gt;0,AND(AW$3&gt;=Assumptions!$E$244,AW$3&gt;=Assumptions!$B$14,Revenue_Build!AW10&gt;=Assumptions!$F$244*Assumptions!$B$55)),Assumptions!$D$244,0)</f>
        <v/>
      </c>
      <c r="AX46" s="41">
        <f>IF(OR(AW46&gt;0,AND(AX$3&gt;=Assumptions!$E$244,AX$3&gt;=Assumptions!$B$14,Revenue_Build!AX10&gt;=Assumptions!$F$244*Assumptions!$B$55)),Assumptions!$D$244,0)</f>
        <v/>
      </c>
      <c r="AY46" s="41">
        <f>IF(OR(AX46&gt;0,AND(AY$3&gt;=Assumptions!$E$244,AY$3&gt;=Assumptions!$B$14,Revenue_Build!AY10&gt;=Assumptions!$F$244*Assumptions!$B$55)),Assumptions!$D$244,0)</f>
        <v/>
      </c>
      <c r="AZ46" s="41">
        <f>IF(OR(AY46&gt;0,AND(AZ$3&gt;=Assumptions!$E$244,AZ$3&gt;=Assumptions!$B$14,Revenue_Build!AZ10&gt;=Assumptions!$F$244*Assumptions!$B$55)),Assumptions!$D$244,0)</f>
        <v/>
      </c>
      <c r="BA46" s="41">
        <f>IF(OR(AZ46&gt;0,AND(BA$3&gt;=Assumptions!$E$244,BA$3&gt;=Assumptions!$B$14,Revenue_Build!BA10&gt;=Assumptions!$F$244*Assumptions!$B$55)),Assumptions!$D$244,0)</f>
        <v/>
      </c>
      <c r="BB46" s="41">
        <f>IF(OR(BA46&gt;0,AND(BB$3&gt;=Assumptions!$E$244,BB$3&gt;=Assumptions!$B$14,Revenue_Build!BB10&gt;=Assumptions!$F$244*Assumptions!$B$55)),Assumptions!$D$244,0)</f>
        <v/>
      </c>
      <c r="BC46" s="41">
        <f>IF(OR(BB46&gt;0,AND(BC$3&gt;=Assumptions!$E$244,BC$3&gt;=Assumptions!$B$14,Revenue_Build!BC10&gt;=Assumptions!$F$244*Assumptions!$B$55)),Assumptions!$D$244,0)</f>
        <v/>
      </c>
      <c r="BD46" s="41">
        <f>IF(OR(BC46&gt;0,AND(BD$3&gt;=Assumptions!$E$244,BD$3&gt;=Assumptions!$B$14,Revenue_Build!BD10&gt;=Assumptions!$F$244*Assumptions!$B$55)),Assumptions!$D$244,0)</f>
        <v/>
      </c>
      <c r="BE46" s="41">
        <f>IF(OR(BD46&gt;0,AND(BE$3&gt;=Assumptions!$E$244,BE$3&gt;=Assumptions!$B$14,Revenue_Build!BE10&gt;=Assumptions!$F$244*Assumptions!$B$55)),Assumptions!$D$244,0)</f>
        <v/>
      </c>
      <c r="BF46" s="41">
        <f>IF(OR(BE46&gt;0,AND(BF$3&gt;=Assumptions!$E$244,BF$3&gt;=Assumptions!$B$14,Revenue_Build!BF10&gt;=Assumptions!$F$244*Assumptions!$B$55)),Assumptions!$D$244,0)</f>
        <v/>
      </c>
      <c r="BG46" s="41">
        <f>IF(OR(BF46&gt;0,AND(BG$3&gt;=Assumptions!$E$244,BG$3&gt;=Assumptions!$B$14,Revenue_Build!BG10&gt;=Assumptions!$F$244*Assumptions!$B$55)),Assumptions!$D$244,0)</f>
        <v/>
      </c>
      <c r="BH46" s="41">
        <f>IF(OR(BG46&gt;0,AND(BH$3&gt;=Assumptions!$E$244,BH$3&gt;=Assumptions!$B$14,Revenue_Build!BH10&gt;=Assumptions!$F$244*Assumptions!$B$55)),Assumptions!$D$244,0)</f>
        <v/>
      </c>
      <c r="BI46" s="41">
        <f>IF(OR(BH46&gt;0,AND(BI$3&gt;=Assumptions!$E$244,BI$3&gt;=Assumptions!$B$14,Revenue_Build!BI10&gt;=Assumptions!$F$244*Assumptions!$B$55)),Assumptions!$D$244,0)</f>
        <v/>
      </c>
      <c r="BJ46" s="41">
        <f>IF(OR(BI46&gt;0,AND(BJ$3&gt;=Assumptions!$E$244,BJ$3&gt;=Assumptions!$B$14,Revenue_Build!BJ10&gt;=Assumptions!$F$244*Assumptions!$B$55)),Assumptions!$D$244,0)</f>
        <v/>
      </c>
    </row>
    <row r="47">
      <c r="A47" s="4" t="inlineStr">
        <is>
          <t>CS agents IV</t>
        </is>
      </c>
      <c r="B47" s="17" t="inlineStr">
        <is>
          <t>FTE</t>
        </is>
      </c>
      <c r="C47" s="41">
        <f>IF(AND(C$3&gt;=Assumptions!$E$245,C$3&gt;=Assumptions!$B$14,Revenue_Build!C10&gt;=Assumptions!$F$245*Assumptions!$B$55),Assumptions!$D$245,0)</f>
        <v/>
      </c>
      <c r="D47" s="41">
        <f>IF(OR(C47&gt;0,AND(D$3&gt;=Assumptions!$E$245,D$3&gt;=Assumptions!$B$14,Revenue_Build!D10&gt;=Assumptions!$F$245*Assumptions!$B$55)),Assumptions!$D$245,0)</f>
        <v/>
      </c>
      <c r="E47" s="41">
        <f>IF(OR(D47&gt;0,AND(E$3&gt;=Assumptions!$E$245,E$3&gt;=Assumptions!$B$14,Revenue_Build!E10&gt;=Assumptions!$F$245*Assumptions!$B$55)),Assumptions!$D$245,0)</f>
        <v/>
      </c>
      <c r="F47" s="41">
        <f>IF(OR(E47&gt;0,AND(F$3&gt;=Assumptions!$E$245,F$3&gt;=Assumptions!$B$14,Revenue_Build!F10&gt;=Assumptions!$F$245*Assumptions!$B$55)),Assumptions!$D$245,0)</f>
        <v/>
      </c>
      <c r="G47" s="41">
        <f>IF(OR(F47&gt;0,AND(G$3&gt;=Assumptions!$E$245,G$3&gt;=Assumptions!$B$14,Revenue_Build!G10&gt;=Assumptions!$F$245*Assumptions!$B$55)),Assumptions!$D$245,0)</f>
        <v/>
      </c>
      <c r="H47" s="41">
        <f>IF(OR(G47&gt;0,AND(H$3&gt;=Assumptions!$E$245,H$3&gt;=Assumptions!$B$14,Revenue_Build!H10&gt;=Assumptions!$F$245*Assumptions!$B$55)),Assumptions!$D$245,0)</f>
        <v/>
      </c>
      <c r="I47" s="41">
        <f>IF(OR(H47&gt;0,AND(I$3&gt;=Assumptions!$E$245,I$3&gt;=Assumptions!$B$14,Revenue_Build!I10&gt;=Assumptions!$F$245*Assumptions!$B$55)),Assumptions!$D$245,0)</f>
        <v/>
      </c>
      <c r="J47" s="41">
        <f>IF(OR(I47&gt;0,AND(J$3&gt;=Assumptions!$E$245,J$3&gt;=Assumptions!$B$14,Revenue_Build!J10&gt;=Assumptions!$F$245*Assumptions!$B$55)),Assumptions!$D$245,0)</f>
        <v/>
      </c>
      <c r="K47" s="41">
        <f>IF(OR(J47&gt;0,AND(K$3&gt;=Assumptions!$E$245,K$3&gt;=Assumptions!$B$14,Revenue_Build!K10&gt;=Assumptions!$F$245*Assumptions!$B$55)),Assumptions!$D$245,0)</f>
        <v/>
      </c>
      <c r="L47" s="41">
        <f>IF(OR(K47&gt;0,AND(L$3&gt;=Assumptions!$E$245,L$3&gt;=Assumptions!$B$14,Revenue_Build!L10&gt;=Assumptions!$F$245*Assumptions!$B$55)),Assumptions!$D$245,0)</f>
        <v/>
      </c>
      <c r="M47" s="41">
        <f>IF(OR(L47&gt;0,AND(M$3&gt;=Assumptions!$E$245,M$3&gt;=Assumptions!$B$14,Revenue_Build!M10&gt;=Assumptions!$F$245*Assumptions!$B$55)),Assumptions!$D$245,0)</f>
        <v/>
      </c>
      <c r="N47" s="41">
        <f>IF(OR(M47&gt;0,AND(N$3&gt;=Assumptions!$E$245,N$3&gt;=Assumptions!$B$14,Revenue_Build!N10&gt;=Assumptions!$F$245*Assumptions!$B$55)),Assumptions!$D$245,0)</f>
        <v/>
      </c>
      <c r="O47" s="41">
        <f>IF(OR(N47&gt;0,AND(O$3&gt;=Assumptions!$E$245,O$3&gt;=Assumptions!$B$14,Revenue_Build!O10&gt;=Assumptions!$F$245*Assumptions!$B$55)),Assumptions!$D$245,0)</f>
        <v/>
      </c>
      <c r="P47" s="41">
        <f>IF(OR(O47&gt;0,AND(P$3&gt;=Assumptions!$E$245,P$3&gt;=Assumptions!$B$14,Revenue_Build!P10&gt;=Assumptions!$F$245*Assumptions!$B$55)),Assumptions!$D$245,0)</f>
        <v/>
      </c>
      <c r="Q47" s="41">
        <f>IF(OR(P47&gt;0,AND(Q$3&gt;=Assumptions!$E$245,Q$3&gt;=Assumptions!$B$14,Revenue_Build!Q10&gt;=Assumptions!$F$245*Assumptions!$B$55)),Assumptions!$D$245,0)</f>
        <v/>
      </c>
      <c r="R47" s="41">
        <f>IF(OR(Q47&gt;0,AND(R$3&gt;=Assumptions!$E$245,R$3&gt;=Assumptions!$B$14,Revenue_Build!R10&gt;=Assumptions!$F$245*Assumptions!$B$55)),Assumptions!$D$245,0)</f>
        <v/>
      </c>
      <c r="S47" s="41">
        <f>IF(OR(R47&gt;0,AND(S$3&gt;=Assumptions!$E$245,S$3&gt;=Assumptions!$B$14,Revenue_Build!S10&gt;=Assumptions!$F$245*Assumptions!$B$55)),Assumptions!$D$245,0)</f>
        <v/>
      </c>
      <c r="T47" s="41">
        <f>IF(OR(S47&gt;0,AND(T$3&gt;=Assumptions!$E$245,T$3&gt;=Assumptions!$B$14,Revenue_Build!T10&gt;=Assumptions!$F$245*Assumptions!$B$55)),Assumptions!$D$245,0)</f>
        <v/>
      </c>
      <c r="U47" s="41">
        <f>IF(OR(T47&gt;0,AND(U$3&gt;=Assumptions!$E$245,U$3&gt;=Assumptions!$B$14,Revenue_Build!U10&gt;=Assumptions!$F$245*Assumptions!$B$55)),Assumptions!$D$245,0)</f>
        <v/>
      </c>
      <c r="V47" s="41">
        <f>IF(OR(U47&gt;0,AND(V$3&gt;=Assumptions!$E$245,V$3&gt;=Assumptions!$B$14,Revenue_Build!V10&gt;=Assumptions!$F$245*Assumptions!$B$55)),Assumptions!$D$245,0)</f>
        <v/>
      </c>
      <c r="W47" s="41">
        <f>IF(OR(V47&gt;0,AND(W$3&gt;=Assumptions!$E$245,W$3&gt;=Assumptions!$B$14,Revenue_Build!W10&gt;=Assumptions!$F$245*Assumptions!$B$55)),Assumptions!$D$245,0)</f>
        <v/>
      </c>
      <c r="X47" s="41">
        <f>IF(OR(W47&gt;0,AND(X$3&gt;=Assumptions!$E$245,X$3&gt;=Assumptions!$B$14,Revenue_Build!X10&gt;=Assumptions!$F$245*Assumptions!$B$55)),Assumptions!$D$245,0)</f>
        <v/>
      </c>
      <c r="Y47" s="41">
        <f>IF(OR(X47&gt;0,AND(Y$3&gt;=Assumptions!$E$245,Y$3&gt;=Assumptions!$B$14,Revenue_Build!Y10&gt;=Assumptions!$F$245*Assumptions!$B$55)),Assumptions!$D$245,0)</f>
        <v/>
      </c>
      <c r="Z47" s="41">
        <f>IF(OR(Y47&gt;0,AND(Z$3&gt;=Assumptions!$E$245,Z$3&gt;=Assumptions!$B$14,Revenue_Build!Z10&gt;=Assumptions!$F$245*Assumptions!$B$55)),Assumptions!$D$245,0)</f>
        <v/>
      </c>
      <c r="AA47" s="41">
        <f>IF(OR(Z47&gt;0,AND(AA$3&gt;=Assumptions!$E$245,AA$3&gt;=Assumptions!$B$14,Revenue_Build!AA10&gt;=Assumptions!$F$245*Assumptions!$B$55)),Assumptions!$D$245,0)</f>
        <v/>
      </c>
      <c r="AB47" s="41">
        <f>IF(OR(AA47&gt;0,AND(AB$3&gt;=Assumptions!$E$245,AB$3&gt;=Assumptions!$B$14,Revenue_Build!AB10&gt;=Assumptions!$F$245*Assumptions!$B$55)),Assumptions!$D$245,0)</f>
        <v/>
      </c>
      <c r="AC47" s="41">
        <f>IF(OR(AB47&gt;0,AND(AC$3&gt;=Assumptions!$E$245,AC$3&gt;=Assumptions!$B$14,Revenue_Build!AC10&gt;=Assumptions!$F$245*Assumptions!$B$55)),Assumptions!$D$245,0)</f>
        <v/>
      </c>
      <c r="AD47" s="41">
        <f>IF(OR(AC47&gt;0,AND(AD$3&gt;=Assumptions!$E$245,AD$3&gt;=Assumptions!$B$14,Revenue_Build!AD10&gt;=Assumptions!$F$245*Assumptions!$B$55)),Assumptions!$D$245,0)</f>
        <v/>
      </c>
      <c r="AE47" s="41">
        <f>IF(OR(AD47&gt;0,AND(AE$3&gt;=Assumptions!$E$245,AE$3&gt;=Assumptions!$B$14,Revenue_Build!AE10&gt;=Assumptions!$F$245*Assumptions!$B$55)),Assumptions!$D$245,0)</f>
        <v/>
      </c>
      <c r="AF47" s="41">
        <f>IF(OR(AE47&gt;0,AND(AF$3&gt;=Assumptions!$E$245,AF$3&gt;=Assumptions!$B$14,Revenue_Build!AF10&gt;=Assumptions!$F$245*Assumptions!$B$55)),Assumptions!$D$245,0)</f>
        <v/>
      </c>
      <c r="AG47" s="41">
        <f>IF(OR(AF47&gt;0,AND(AG$3&gt;=Assumptions!$E$245,AG$3&gt;=Assumptions!$B$14,Revenue_Build!AG10&gt;=Assumptions!$F$245*Assumptions!$B$55)),Assumptions!$D$245,0)</f>
        <v/>
      </c>
      <c r="AH47" s="41">
        <f>IF(OR(AG47&gt;0,AND(AH$3&gt;=Assumptions!$E$245,AH$3&gt;=Assumptions!$B$14,Revenue_Build!AH10&gt;=Assumptions!$F$245*Assumptions!$B$55)),Assumptions!$D$245,0)</f>
        <v/>
      </c>
      <c r="AI47" s="41">
        <f>IF(OR(AH47&gt;0,AND(AI$3&gt;=Assumptions!$E$245,AI$3&gt;=Assumptions!$B$14,Revenue_Build!AI10&gt;=Assumptions!$F$245*Assumptions!$B$55)),Assumptions!$D$245,0)</f>
        <v/>
      </c>
      <c r="AJ47" s="41">
        <f>IF(OR(AI47&gt;0,AND(AJ$3&gt;=Assumptions!$E$245,AJ$3&gt;=Assumptions!$B$14,Revenue_Build!AJ10&gt;=Assumptions!$F$245*Assumptions!$B$55)),Assumptions!$D$245,0)</f>
        <v/>
      </c>
      <c r="AK47" s="41">
        <f>IF(OR(AJ47&gt;0,AND(AK$3&gt;=Assumptions!$E$245,AK$3&gt;=Assumptions!$B$14,Revenue_Build!AK10&gt;=Assumptions!$F$245*Assumptions!$B$55)),Assumptions!$D$245,0)</f>
        <v/>
      </c>
      <c r="AL47" s="41">
        <f>IF(OR(AK47&gt;0,AND(AL$3&gt;=Assumptions!$E$245,AL$3&gt;=Assumptions!$B$14,Revenue_Build!AL10&gt;=Assumptions!$F$245*Assumptions!$B$55)),Assumptions!$D$245,0)</f>
        <v/>
      </c>
      <c r="AM47" s="41">
        <f>IF(OR(AL47&gt;0,AND(AM$3&gt;=Assumptions!$E$245,AM$3&gt;=Assumptions!$B$14,Revenue_Build!AM10&gt;=Assumptions!$F$245*Assumptions!$B$55)),Assumptions!$D$245,0)</f>
        <v/>
      </c>
      <c r="AN47" s="41">
        <f>IF(OR(AM47&gt;0,AND(AN$3&gt;=Assumptions!$E$245,AN$3&gt;=Assumptions!$B$14,Revenue_Build!AN10&gt;=Assumptions!$F$245*Assumptions!$B$55)),Assumptions!$D$245,0)</f>
        <v/>
      </c>
      <c r="AO47" s="41">
        <f>IF(OR(AN47&gt;0,AND(AO$3&gt;=Assumptions!$E$245,AO$3&gt;=Assumptions!$B$14,Revenue_Build!AO10&gt;=Assumptions!$F$245*Assumptions!$B$55)),Assumptions!$D$245,0)</f>
        <v/>
      </c>
      <c r="AP47" s="41">
        <f>IF(OR(AO47&gt;0,AND(AP$3&gt;=Assumptions!$E$245,AP$3&gt;=Assumptions!$B$14,Revenue_Build!AP10&gt;=Assumptions!$F$245*Assumptions!$B$55)),Assumptions!$D$245,0)</f>
        <v/>
      </c>
      <c r="AQ47" s="41">
        <f>IF(OR(AP47&gt;0,AND(AQ$3&gt;=Assumptions!$E$245,AQ$3&gt;=Assumptions!$B$14,Revenue_Build!AQ10&gt;=Assumptions!$F$245*Assumptions!$B$55)),Assumptions!$D$245,0)</f>
        <v/>
      </c>
      <c r="AR47" s="41">
        <f>IF(OR(AQ47&gt;0,AND(AR$3&gt;=Assumptions!$E$245,AR$3&gt;=Assumptions!$B$14,Revenue_Build!AR10&gt;=Assumptions!$F$245*Assumptions!$B$55)),Assumptions!$D$245,0)</f>
        <v/>
      </c>
      <c r="AS47" s="41">
        <f>IF(OR(AR47&gt;0,AND(AS$3&gt;=Assumptions!$E$245,AS$3&gt;=Assumptions!$B$14,Revenue_Build!AS10&gt;=Assumptions!$F$245*Assumptions!$B$55)),Assumptions!$D$245,0)</f>
        <v/>
      </c>
      <c r="AT47" s="41">
        <f>IF(OR(AS47&gt;0,AND(AT$3&gt;=Assumptions!$E$245,AT$3&gt;=Assumptions!$B$14,Revenue_Build!AT10&gt;=Assumptions!$F$245*Assumptions!$B$55)),Assumptions!$D$245,0)</f>
        <v/>
      </c>
      <c r="AU47" s="41">
        <f>IF(OR(AT47&gt;0,AND(AU$3&gt;=Assumptions!$E$245,AU$3&gt;=Assumptions!$B$14,Revenue_Build!AU10&gt;=Assumptions!$F$245*Assumptions!$B$55)),Assumptions!$D$245,0)</f>
        <v/>
      </c>
      <c r="AV47" s="41">
        <f>IF(OR(AU47&gt;0,AND(AV$3&gt;=Assumptions!$E$245,AV$3&gt;=Assumptions!$B$14,Revenue_Build!AV10&gt;=Assumptions!$F$245*Assumptions!$B$55)),Assumptions!$D$245,0)</f>
        <v/>
      </c>
      <c r="AW47" s="41">
        <f>IF(OR(AV47&gt;0,AND(AW$3&gt;=Assumptions!$E$245,AW$3&gt;=Assumptions!$B$14,Revenue_Build!AW10&gt;=Assumptions!$F$245*Assumptions!$B$55)),Assumptions!$D$245,0)</f>
        <v/>
      </c>
      <c r="AX47" s="41">
        <f>IF(OR(AW47&gt;0,AND(AX$3&gt;=Assumptions!$E$245,AX$3&gt;=Assumptions!$B$14,Revenue_Build!AX10&gt;=Assumptions!$F$245*Assumptions!$B$55)),Assumptions!$D$245,0)</f>
        <v/>
      </c>
      <c r="AY47" s="41">
        <f>IF(OR(AX47&gt;0,AND(AY$3&gt;=Assumptions!$E$245,AY$3&gt;=Assumptions!$B$14,Revenue_Build!AY10&gt;=Assumptions!$F$245*Assumptions!$B$55)),Assumptions!$D$245,0)</f>
        <v/>
      </c>
      <c r="AZ47" s="41">
        <f>IF(OR(AY47&gt;0,AND(AZ$3&gt;=Assumptions!$E$245,AZ$3&gt;=Assumptions!$B$14,Revenue_Build!AZ10&gt;=Assumptions!$F$245*Assumptions!$B$55)),Assumptions!$D$245,0)</f>
        <v/>
      </c>
      <c r="BA47" s="41">
        <f>IF(OR(AZ47&gt;0,AND(BA$3&gt;=Assumptions!$E$245,BA$3&gt;=Assumptions!$B$14,Revenue_Build!BA10&gt;=Assumptions!$F$245*Assumptions!$B$55)),Assumptions!$D$245,0)</f>
        <v/>
      </c>
      <c r="BB47" s="41">
        <f>IF(OR(BA47&gt;0,AND(BB$3&gt;=Assumptions!$E$245,BB$3&gt;=Assumptions!$B$14,Revenue_Build!BB10&gt;=Assumptions!$F$245*Assumptions!$B$55)),Assumptions!$D$245,0)</f>
        <v/>
      </c>
      <c r="BC47" s="41">
        <f>IF(OR(BB47&gt;0,AND(BC$3&gt;=Assumptions!$E$245,BC$3&gt;=Assumptions!$B$14,Revenue_Build!BC10&gt;=Assumptions!$F$245*Assumptions!$B$55)),Assumptions!$D$245,0)</f>
        <v/>
      </c>
      <c r="BD47" s="41">
        <f>IF(OR(BC47&gt;0,AND(BD$3&gt;=Assumptions!$E$245,BD$3&gt;=Assumptions!$B$14,Revenue_Build!BD10&gt;=Assumptions!$F$245*Assumptions!$B$55)),Assumptions!$D$245,0)</f>
        <v/>
      </c>
      <c r="BE47" s="41">
        <f>IF(OR(BD47&gt;0,AND(BE$3&gt;=Assumptions!$E$245,BE$3&gt;=Assumptions!$B$14,Revenue_Build!BE10&gt;=Assumptions!$F$245*Assumptions!$B$55)),Assumptions!$D$245,0)</f>
        <v/>
      </c>
      <c r="BF47" s="41">
        <f>IF(OR(BE47&gt;0,AND(BF$3&gt;=Assumptions!$E$245,BF$3&gt;=Assumptions!$B$14,Revenue_Build!BF10&gt;=Assumptions!$F$245*Assumptions!$B$55)),Assumptions!$D$245,0)</f>
        <v/>
      </c>
      <c r="BG47" s="41">
        <f>IF(OR(BF47&gt;0,AND(BG$3&gt;=Assumptions!$E$245,BG$3&gt;=Assumptions!$B$14,Revenue_Build!BG10&gt;=Assumptions!$F$245*Assumptions!$B$55)),Assumptions!$D$245,0)</f>
        <v/>
      </c>
      <c r="BH47" s="41">
        <f>IF(OR(BG47&gt;0,AND(BH$3&gt;=Assumptions!$E$245,BH$3&gt;=Assumptions!$B$14,Revenue_Build!BH10&gt;=Assumptions!$F$245*Assumptions!$B$55)),Assumptions!$D$245,0)</f>
        <v/>
      </c>
      <c r="BI47" s="41">
        <f>IF(OR(BH47&gt;0,AND(BI$3&gt;=Assumptions!$E$245,BI$3&gt;=Assumptions!$B$14,Revenue_Build!BI10&gt;=Assumptions!$F$245*Assumptions!$B$55)),Assumptions!$D$245,0)</f>
        <v/>
      </c>
      <c r="BJ47" s="41">
        <f>IF(OR(BI47&gt;0,AND(BJ$3&gt;=Assumptions!$E$245,BJ$3&gt;=Assumptions!$B$14,Revenue_Build!BJ10&gt;=Assumptions!$F$245*Assumptions!$B$55)),Assumptions!$D$245,0)</f>
        <v/>
      </c>
    </row>
    <row r="48">
      <c r="A48" s="4" t="inlineStr">
        <is>
          <t>CS agents V</t>
        </is>
      </c>
      <c r="B48" s="17" t="inlineStr">
        <is>
          <t>FTE</t>
        </is>
      </c>
      <c r="C48" s="41">
        <f>IF(AND(C$3&gt;=Assumptions!$E$246,C$3&gt;=Assumptions!$B$14,Revenue_Build!C10&gt;=Assumptions!$F$246*Assumptions!$B$55),Assumptions!$D$246,0)</f>
        <v/>
      </c>
      <c r="D48" s="41">
        <f>IF(OR(C48&gt;0,AND(D$3&gt;=Assumptions!$E$246,D$3&gt;=Assumptions!$B$14,Revenue_Build!D10&gt;=Assumptions!$F$246*Assumptions!$B$55)),Assumptions!$D$246,0)</f>
        <v/>
      </c>
      <c r="E48" s="41">
        <f>IF(OR(D48&gt;0,AND(E$3&gt;=Assumptions!$E$246,E$3&gt;=Assumptions!$B$14,Revenue_Build!E10&gt;=Assumptions!$F$246*Assumptions!$B$55)),Assumptions!$D$246,0)</f>
        <v/>
      </c>
      <c r="F48" s="41">
        <f>IF(OR(E48&gt;0,AND(F$3&gt;=Assumptions!$E$246,F$3&gt;=Assumptions!$B$14,Revenue_Build!F10&gt;=Assumptions!$F$246*Assumptions!$B$55)),Assumptions!$D$246,0)</f>
        <v/>
      </c>
      <c r="G48" s="41">
        <f>IF(OR(F48&gt;0,AND(G$3&gt;=Assumptions!$E$246,G$3&gt;=Assumptions!$B$14,Revenue_Build!G10&gt;=Assumptions!$F$246*Assumptions!$B$55)),Assumptions!$D$246,0)</f>
        <v/>
      </c>
      <c r="H48" s="41">
        <f>IF(OR(G48&gt;0,AND(H$3&gt;=Assumptions!$E$246,H$3&gt;=Assumptions!$B$14,Revenue_Build!H10&gt;=Assumptions!$F$246*Assumptions!$B$55)),Assumptions!$D$246,0)</f>
        <v/>
      </c>
      <c r="I48" s="41">
        <f>IF(OR(H48&gt;0,AND(I$3&gt;=Assumptions!$E$246,I$3&gt;=Assumptions!$B$14,Revenue_Build!I10&gt;=Assumptions!$F$246*Assumptions!$B$55)),Assumptions!$D$246,0)</f>
        <v/>
      </c>
      <c r="J48" s="41">
        <f>IF(OR(I48&gt;0,AND(J$3&gt;=Assumptions!$E$246,J$3&gt;=Assumptions!$B$14,Revenue_Build!J10&gt;=Assumptions!$F$246*Assumptions!$B$55)),Assumptions!$D$246,0)</f>
        <v/>
      </c>
      <c r="K48" s="41">
        <f>IF(OR(J48&gt;0,AND(K$3&gt;=Assumptions!$E$246,K$3&gt;=Assumptions!$B$14,Revenue_Build!K10&gt;=Assumptions!$F$246*Assumptions!$B$55)),Assumptions!$D$246,0)</f>
        <v/>
      </c>
      <c r="L48" s="41">
        <f>IF(OR(K48&gt;0,AND(L$3&gt;=Assumptions!$E$246,L$3&gt;=Assumptions!$B$14,Revenue_Build!L10&gt;=Assumptions!$F$246*Assumptions!$B$55)),Assumptions!$D$246,0)</f>
        <v/>
      </c>
      <c r="M48" s="41">
        <f>IF(OR(L48&gt;0,AND(M$3&gt;=Assumptions!$E$246,M$3&gt;=Assumptions!$B$14,Revenue_Build!M10&gt;=Assumptions!$F$246*Assumptions!$B$55)),Assumptions!$D$246,0)</f>
        <v/>
      </c>
      <c r="N48" s="41">
        <f>IF(OR(M48&gt;0,AND(N$3&gt;=Assumptions!$E$246,N$3&gt;=Assumptions!$B$14,Revenue_Build!N10&gt;=Assumptions!$F$246*Assumptions!$B$55)),Assumptions!$D$246,0)</f>
        <v/>
      </c>
      <c r="O48" s="41">
        <f>IF(OR(N48&gt;0,AND(O$3&gt;=Assumptions!$E$246,O$3&gt;=Assumptions!$B$14,Revenue_Build!O10&gt;=Assumptions!$F$246*Assumptions!$B$55)),Assumptions!$D$246,0)</f>
        <v/>
      </c>
      <c r="P48" s="41">
        <f>IF(OR(O48&gt;0,AND(P$3&gt;=Assumptions!$E$246,P$3&gt;=Assumptions!$B$14,Revenue_Build!P10&gt;=Assumptions!$F$246*Assumptions!$B$55)),Assumptions!$D$246,0)</f>
        <v/>
      </c>
      <c r="Q48" s="41">
        <f>IF(OR(P48&gt;0,AND(Q$3&gt;=Assumptions!$E$246,Q$3&gt;=Assumptions!$B$14,Revenue_Build!Q10&gt;=Assumptions!$F$246*Assumptions!$B$55)),Assumptions!$D$246,0)</f>
        <v/>
      </c>
      <c r="R48" s="41">
        <f>IF(OR(Q48&gt;0,AND(R$3&gt;=Assumptions!$E$246,R$3&gt;=Assumptions!$B$14,Revenue_Build!R10&gt;=Assumptions!$F$246*Assumptions!$B$55)),Assumptions!$D$246,0)</f>
        <v/>
      </c>
      <c r="S48" s="41">
        <f>IF(OR(R48&gt;0,AND(S$3&gt;=Assumptions!$E$246,S$3&gt;=Assumptions!$B$14,Revenue_Build!S10&gt;=Assumptions!$F$246*Assumptions!$B$55)),Assumptions!$D$246,0)</f>
        <v/>
      </c>
      <c r="T48" s="41">
        <f>IF(OR(S48&gt;0,AND(T$3&gt;=Assumptions!$E$246,T$3&gt;=Assumptions!$B$14,Revenue_Build!T10&gt;=Assumptions!$F$246*Assumptions!$B$55)),Assumptions!$D$246,0)</f>
        <v/>
      </c>
      <c r="U48" s="41">
        <f>IF(OR(T48&gt;0,AND(U$3&gt;=Assumptions!$E$246,U$3&gt;=Assumptions!$B$14,Revenue_Build!U10&gt;=Assumptions!$F$246*Assumptions!$B$55)),Assumptions!$D$246,0)</f>
        <v/>
      </c>
      <c r="V48" s="41">
        <f>IF(OR(U48&gt;0,AND(V$3&gt;=Assumptions!$E$246,V$3&gt;=Assumptions!$B$14,Revenue_Build!V10&gt;=Assumptions!$F$246*Assumptions!$B$55)),Assumptions!$D$246,0)</f>
        <v/>
      </c>
      <c r="W48" s="41">
        <f>IF(OR(V48&gt;0,AND(W$3&gt;=Assumptions!$E$246,W$3&gt;=Assumptions!$B$14,Revenue_Build!W10&gt;=Assumptions!$F$246*Assumptions!$B$55)),Assumptions!$D$246,0)</f>
        <v/>
      </c>
      <c r="X48" s="41">
        <f>IF(OR(W48&gt;0,AND(X$3&gt;=Assumptions!$E$246,X$3&gt;=Assumptions!$B$14,Revenue_Build!X10&gt;=Assumptions!$F$246*Assumptions!$B$55)),Assumptions!$D$246,0)</f>
        <v/>
      </c>
      <c r="Y48" s="41">
        <f>IF(OR(X48&gt;0,AND(Y$3&gt;=Assumptions!$E$246,Y$3&gt;=Assumptions!$B$14,Revenue_Build!Y10&gt;=Assumptions!$F$246*Assumptions!$B$55)),Assumptions!$D$246,0)</f>
        <v/>
      </c>
      <c r="Z48" s="41">
        <f>IF(OR(Y48&gt;0,AND(Z$3&gt;=Assumptions!$E$246,Z$3&gt;=Assumptions!$B$14,Revenue_Build!Z10&gt;=Assumptions!$F$246*Assumptions!$B$55)),Assumptions!$D$246,0)</f>
        <v/>
      </c>
      <c r="AA48" s="41">
        <f>IF(OR(Z48&gt;0,AND(AA$3&gt;=Assumptions!$E$246,AA$3&gt;=Assumptions!$B$14,Revenue_Build!AA10&gt;=Assumptions!$F$246*Assumptions!$B$55)),Assumptions!$D$246,0)</f>
        <v/>
      </c>
      <c r="AB48" s="41">
        <f>IF(OR(AA48&gt;0,AND(AB$3&gt;=Assumptions!$E$246,AB$3&gt;=Assumptions!$B$14,Revenue_Build!AB10&gt;=Assumptions!$F$246*Assumptions!$B$55)),Assumptions!$D$246,0)</f>
        <v/>
      </c>
      <c r="AC48" s="41">
        <f>IF(OR(AB48&gt;0,AND(AC$3&gt;=Assumptions!$E$246,AC$3&gt;=Assumptions!$B$14,Revenue_Build!AC10&gt;=Assumptions!$F$246*Assumptions!$B$55)),Assumptions!$D$246,0)</f>
        <v/>
      </c>
      <c r="AD48" s="41">
        <f>IF(OR(AC48&gt;0,AND(AD$3&gt;=Assumptions!$E$246,AD$3&gt;=Assumptions!$B$14,Revenue_Build!AD10&gt;=Assumptions!$F$246*Assumptions!$B$55)),Assumptions!$D$246,0)</f>
        <v/>
      </c>
      <c r="AE48" s="41">
        <f>IF(OR(AD48&gt;0,AND(AE$3&gt;=Assumptions!$E$246,AE$3&gt;=Assumptions!$B$14,Revenue_Build!AE10&gt;=Assumptions!$F$246*Assumptions!$B$55)),Assumptions!$D$246,0)</f>
        <v/>
      </c>
      <c r="AF48" s="41">
        <f>IF(OR(AE48&gt;0,AND(AF$3&gt;=Assumptions!$E$246,AF$3&gt;=Assumptions!$B$14,Revenue_Build!AF10&gt;=Assumptions!$F$246*Assumptions!$B$55)),Assumptions!$D$246,0)</f>
        <v/>
      </c>
      <c r="AG48" s="41">
        <f>IF(OR(AF48&gt;0,AND(AG$3&gt;=Assumptions!$E$246,AG$3&gt;=Assumptions!$B$14,Revenue_Build!AG10&gt;=Assumptions!$F$246*Assumptions!$B$55)),Assumptions!$D$246,0)</f>
        <v/>
      </c>
      <c r="AH48" s="41">
        <f>IF(OR(AG48&gt;0,AND(AH$3&gt;=Assumptions!$E$246,AH$3&gt;=Assumptions!$B$14,Revenue_Build!AH10&gt;=Assumptions!$F$246*Assumptions!$B$55)),Assumptions!$D$246,0)</f>
        <v/>
      </c>
      <c r="AI48" s="41">
        <f>IF(OR(AH48&gt;0,AND(AI$3&gt;=Assumptions!$E$246,AI$3&gt;=Assumptions!$B$14,Revenue_Build!AI10&gt;=Assumptions!$F$246*Assumptions!$B$55)),Assumptions!$D$246,0)</f>
        <v/>
      </c>
      <c r="AJ48" s="41">
        <f>IF(OR(AI48&gt;0,AND(AJ$3&gt;=Assumptions!$E$246,AJ$3&gt;=Assumptions!$B$14,Revenue_Build!AJ10&gt;=Assumptions!$F$246*Assumptions!$B$55)),Assumptions!$D$246,0)</f>
        <v/>
      </c>
      <c r="AK48" s="41">
        <f>IF(OR(AJ48&gt;0,AND(AK$3&gt;=Assumptions!$E$246,AK$3&gt;=Assumptions!$B$14,Revenue_Build!AK10&gt;=Assumptions!$F$246*Assumptions!$B$55)),Assumptions!$D$246,0)</f>
        <v/>
      </c>
      <c r="AL48" s="41">
        <f>IF(OR(AK48&gt;0,AND(AL$3&gt;=Assumptions!$E$246,AL$3&gt;=Assumptions!$B$14,Revenue_Build!AL10&gt;=Assumptions!$F$246*Assumptions!$B$55)),Assumptions!$D$246,0)</f>
        <v/>
      </c>
      <c r="AM48" s="41">
        <f>IF(OR(AL48&gt;0,AND(AM$3&gt;=Assumptions!$E$246,AM$3&gt;=Assumptions!$B$14,Revenue_Build!AM10&gt;=Assumptions!$F$246*Assumptions!$B$55)),Assumptions!$D$246,0)</f>
        <v/>
      </c>
      <c r="AN48" s="41">
        <f>IF(OR(AM48&gt;0,AND(AN$3&gt;=Assumptions!$E$246,AN$3&gt;=Assumptions!$B$14,Revenue_Build!AN10&gt;=Assumptions!$F$246*Assumptions!$B$55)),Assumptions!$D$246,0)</f>
        <v/>
      </c>
      <c r="AO48" s="41">
        <f>IF(OR(AN48&gt;0,AND(AO$3&gt;=Assumptions!$E$246,AO$3&gt;=Assumptions!$B$14,Revenue_Build!AO10&gt;=Assumptions!$F$246*Assumptions!$B$55)),Assumptions!$D$246,0)</f>
        <v/>
      </c>
      <c r="AP48" s="41">
        <f>IF(OR(AO48&gt;0,AND(AP$3&gt;=Assumptions!$E$246,AP$3&gt;=Assumptions!$B$14,Revenue_Build!AP10&gt;=Assumptions!$F$246*Assumptions!$B$55)),Assumptions!$D$246,0)</f>
        <v/>
      </c>
      <c r="AQ48" s="41">
        <f>IF(OR(AP48&gt;0,AND(AQ$3&gt;=Assumptions!$E$246,AQ$3&gt;=Assumptions!$B$14,Revenue_Build!AQ10&gt;=Assumptions!$F$246*Assumptions!$B$55)),Assumptions!$D$246,0)</f>
        <v/>
      </c>
      <c r="AR48" s="41">
        <f>IF(OR(AQ48&gt;0,AND(AR$3&gt;=Assumptions!$E$246,AR$3&gt;=Assumptions!$B$14,Revenue_Build!AR10&gt;=Assumptions!$F$246*Assumptions!$B$55)),Assumptions!$D$246,0)</f>
        <v/>
      </c>
      <c r="AS48" s="41">
        <f>IF(OR(AR48&gt;0,AND(AS$3&gt;=Assumptions!$E$246,AS$3&gt;=Assumptions!$B$14,Revenue_Build!AS10&gt;=Assumptions!$F$246*Assumptions!$B$55)),Assumptions!$D$246,0)</f>
        <v/>
      </c>
      <c r="AT48" s="41">
        <f>IF(OR(AS48&gt;0,AND(AT$3&gt;=Assumptions!$E$246,AT$3&gt;=Assumptions!$B$14,Revenue_Build!AT10&gt;=Assumptions!$F$246*Assumptions!$B$55)),Assumptions!$D$246,0)</f>
        <v/>
      </c>
      <c r="AU48" s="41">
        <f>IF(OR(AT48&gt;0,AND(AU$3&gt;=Assumptions!$E$246,AU$3&gt;=Assumptions!$B$14,Revenue_Build!AU10&gt;=Assumptions!$F$246*Assumptions!$B$55)),Assumptions!$D$246,0)</f>
        <v/>
      </c>
      <c r="AV48" s="41">
        <f>IF(OR(AU48&gt;0,AND(AV$3&gt;=Assumptions!$E$246,AV$3&gt;=Assumptions!$B$14,Revenue_Build!AV10&gt;=Assumptions!$F$246*Assumptions!$B$55)),Assumptions!$D$246,0)</f>
        <v/>
      </c>
      <c r="AW48" s="41">
        <f>IF(OR(AV48&gt;0,AND(AW$3&gt;=Assumptions!$E$246,AW$3&gt;=Assumptions!$B$14,Revenue_Build!AW10&gt;=Assumptions!$F$246*Assumptions!$B$55)),Assumptions!$D$246,0)</f>
        <v/>
      </c>
      <c r="AX48" s="41">
        <f>IF(OR(AW48&gt;0,AND(AX$3&gt;=Assumptions!$E$246,AX$3&gt;=Assumptions!$B$14,Revenue_Build!AX10&gt;=Assumptions!$F$246*Assumptions!$B$55)),Assumptions!$D$246,0)</f>
        <v/>
      </c>
      <c r="AY48" s="41">
        <f>IF(OR(AX48&gt;0,AND(AY$3&gt;=Assumptions!$E$246,AY$3&gt;=Assumptions!$B$14,Revenue_Build!AY10&gt;=Assumptions!$F$246*Assumptions!$B$55)),Assumptions!$D$246,0)</f>
        <v/>
      </c>
      <c r="AZ48" s="41">
        <f>IF(OR(AY48&gt;0,AND(AZ$3&gt;=Assumptions!$E$246,AZ$3&gt;=Assumptions!$B$14,Revenue_Build!AZ10&gt;=Assumptions!$F$246*Assumptions!$B$55)),Assumptions!$D$246,0)</f>
        <v/>
      </c>
      <c r="BA48" s="41">
        <f>IF(OR(AZ48&gt;0,AND(BA$3&gt;=Assumptions!$E$246,BA$3&gt;=Assumptions!$B$14,Revenue_Build!BA10&gt;=Assumptions!$F$246*Assumptions!$B$55)),Assumptions!$D$246,0)</f>
        <v/>
      </c>
      <c r="BB48" s="41">
        <f>IF(OR(BA48&gt;0,AND(BB$3&gt;=Assumptions!$E$246,BB$3&gt;=Assumptions!$B$14,Revenue_Build!BB10&gt;=Assumptions!$F$246*Assumptions!$B$55)),Assumptions!$D$246,0)</f>
        <v/>
      </c>
      <c r="BC48" s="41">
        <f>IF(OR(BB48&gt;0,AND(BC$3&gt;=Assumptions!$E$246,BC$3&gt;=Assumptions!$B$14,Revenue_Build!BC10&gt;=Assumptions!$F$246*Assumptions!$B$55)),Assumptions!$D$246,0)</f>
        <v/>
      </c>
      <c r="BD48" s="41">
        <f>IF(OR(BC48&gt;0,AND(BD$3&gt;=Assumptions!$E$246,BD$3&gt;=Assumptions!$B$14,Revenue_Build!BD10&gt;=Assumptions!$F$246*Assumptions!$B$55)),Assumptions!$D$246,0)</f>
        <v/>
      </c>
      <c r="BE48" s="41">
        <f>IF(OR(BD48&gt;0,AND(BE$3&gt;=Assumptions!$E$246,BE$3&gt;=Assumptions!$B$14,Revenue_Build!BE10&gt;=Assumptions!$F$246*Assumptions!$B$55)),Assumptions!$D$246,0)</f>
        <v/>
      </c>
      <c r="BF48" s="41">
        <f>IF(OR(BE48&gt;0,AND(BF$3&gt;=Assumptions!$E$246,BF$3&gt;=Assumptions!$B$14,Revenue_Build!BF10&gt;=Assumptions!$F$246*Assumptions!$B$55)),Assumptions!$D$246,0)</f>
        <v/>
      </c>
      <c r="BG48" s="41">
        <f>IF(OR(BF48&gt;0,AND(BG$3&gt;=Assumptions!$E$246,BG$3&gt;=Assumptions!$B$14,Revenue_Build!BG10&gt;=Assumptions!$F$246*Assumptions!$B$55)),Assumptions!$D$246,0)</f>
        <v/>
      </c>
      <c r="BH48" s="41">
        <f>IF(OR(BG48&gt;0,AND(BH$3&gt;=Assumptions!$E$246,BH$3&gt;=Assumptions!$B$14,Revenue_Build!BH10&gt;=Assumptions!$F$246*Assumptions!$B$55)),Assumptions!$D$246,0)</f>
        <v/>
      </c>
      <c r="BI48" s="41">
        <f>IF(OR(BH48&gt;0,AND(BI$3&gt;=Assumptions!$E$246,BI$3&gt;=Assumptions!$B$14,Revenue_Build!BI10&gt;=Assumptions!$F$246*Assumptions!$B$55)),Assumptions!$D$246,0)</f>
        <v/>
      </c>
      <c r="BJ48" s="41">
        <f>IF(OR(BI48&gt;0,AND(BJ$3&gt;=Assumptions!$E$246,BJ$3&gt;=Assumptions!$B$14,Revenue_Build!BJ10&gt;=Assumptions!$F$246*Assumptions!$B$55)),Assumptions!$D$246,0)</f>
        <v/>
      </c>
    </row>
    <row r="49">
      <c r="A49" s="4" t="inlineStr">
        <is>
          <t>Finance &amp; compliance manager</t>
        </is>
      </c>
      <c r="B49" s="17" t="inlineStr">
        <is>
          <t>FTE</t>
        </is>
      </c>
      <c r="C49" s="41">
        <f>IF(AND(C$3&gt;=Assumptions!$E$247,C$3&gt;=Assumptions!$B$14,Revenue_Build!C10&gt;=Assumptions!$F$247*Assumptions!$B$55),Assumptions!$D$247,0)</f>
        <v/>
      </c>
      <c r="D49" s="41">
        <f>IF(OR(C49&gt;0,AND(D$3&gt;=Assumptions!$E$247,D$3&gt;=Assumptions!$B$14,Revenue_Build!D10&gt;=Assumptions!$F$247*Assumptions!$B$55)),Assumptions!$D$247,0)</f>
        <v/>
      </c>
      <c r="E49" s="41">
        <f>IF(OR(D49&gt;0,AND(E$3&gt;=Assumptions!$E$247,E$3&gt;=Assumptions!$B$14,Revenue_Build!E10&gt;=Assumptions!$F$247*Assumptions!$B$55)),Assumptions!$D$247,0)</f>
        <v/>
      </c>
      <c r="F49" s="41">
        <f>IF(OR(E49&gt;0,AND(F$3&gt;=Assumptions!$E$247,F$3&gt;=Assumptions!$B$14,Revenue_Build!F10&gt;=Assumptions!$F$247*Assumptions!$B$55)),Assumptions!$D$247,0)</f>
        <v/>
      </c>
      <c r="G49" s="41">
        <f>IF(OR(F49&gt;0,AND(G$3&gt;=Assumptions!$E$247,G$3&gt;=Assumptions!$B$14,Revenue_Build!G10&gt;=Assumptions!$F$247*Assumptions!$B$55)),Assumptions!$D$247,0)</f>
        <v/>
      </c>
      <c r="H49" s="41">
        <f>IF(OR(G49&gt;0,AND(H$3&gt;=Assumptions!$E$247,H$3&gt;=Assumptions!$B$14,Revenue_Build!H10&gt;=Assumptions!$F$247*Assumptions!$B$55)),Assumptions!$D$247,0)</f>
        <v/>
      </c>
      <c r="I49" s="41">
        <f>IF(OR(H49&gt;0,AND(I$3&gt;=Assumptions!$E$247,I$3&gt;=Assumptions!$B$14,Revenue_Build!I10&gt;=Assumptions!$F$247*Assumptions!$B$55)),Assumptions!$D$247,0)</f>
        <v/>
      </c>
      <c r="J49" s="41">
        <f>IF(OR(I49&gt;0,AND(J$3&gt;=Assumptions!$E$247,J$3&gt;=Assumptions!$B$14,Revenue_Build!J10&gt;=Assumptions!$F$247*Assumptions!$B$55)),Assumptions!$D$247,0)</f>
        <v/>
      </c>
      <c r="K49" s="41">
        <f>IF(OR(J49&gt;0,AND(K$3&gt;=Assumptions!$E$247,K$3&gt;=Assumptions!$B$14,Revenue_Build!K10&gt;=Assumptions!$F$247*Assumptions!$B$55)),Assumptions!$D$247,0)</f>
        <v/>
      </c>
      <c r="L49" s="41">
        <f>IF(OR(K49&gt;0,AND(L$3&gt;=Assumptions!$E$247,L$3&gt;=Assumptions!$B$14,Revenue_Build!L10&gt;=Assumptions!$F$247*Assumptions!$B$55)),Assumptions!$D$247,0)</f>
        <v/>
      </c>
      <c r="M49" s="41">
        <f>IF(OR(L49&gt;0,AND(M$3&gt;=Assumptions!$E$247,M$3&gt;=Assumptions!$B$14,Revenue_Build!M10&gt;=Assumptions!$F$247*Assumptions!$B$55)),Assumptions!$D$247,0)</f>
        <v/>
      </c>
      <c r="N49" s="41">
        <f>IF(OR(M49&gt;0,AND(N$3&gt;=Assumptions!$E$247,N$3&gt;=Assumptions!$B$14,Revenue_Build!N10&gt;=Assumptions!$F$247*Assumptions!$B$55)),Assumptions!$D$247,0)</f>
        <v/>
      </c>
      <c r="O49" s="41">
        <f>IF(OR(N49&gt;0,AND(O$3&gt;=Assumptions!$E$247,O$3&gt;=Assumptions!$B$14,Revenue_Build!O10&gt;=Assumptions!$F$247*Assumptions!$B$55)),Assumptions!$D$247,0)</f>
        <v/>
      </c>
      <c r="P49" s="41">
        <f>IF(OR(O49&gt;0,AND(P$3&gt;=Assumptions!$E$247,P$3&gt;=Assumptions!$B$14,Revenue_Build!P10&gt;=Assumptions!$F$247*Assumptions!$B$55)),Assumptions!$D$247,0)</f>
        <v/>
      </c>
      <c r="Q49" s="41">
        <f>IF(OR(P49&gt;0,AND(Q$3&gt;=Assumptions!$E$247,Q$3&gt;=Assumptions!$B$14,Revenue_Build!Q10&gt;=Assumptions!$F$247*Assumptions!$B$55)),Assumptions!$D$247,0)</f>
        <v/>
      </c>
      <c r="R49" s="41">
        <f>IF(OR(Q49&gt;0,AND(R$3&gt;=Assumptions!$E$247,R$3&gt;=Assumptions!$B$14,Revenue_Build!R10&gt;=Assumptions!$F$247*Assumptions!$B$55)),Assumptions!$D$247,0)</f>
        <v/>
      </c>
      <c r="S49" s="41">
        <f>IF(OR(R49&gt;0,AND(S$3&gt;=Assumptions!$E$247,S$3&gt;=Assumptions!$B$14,Revenue_Build!S10&gt;=Assumptions!$F$247*Assumptions!$B$55)),Assumptions!$D$247,0)</f>
        <v/>
      </c>
      <c r="T49" s="41">
        <f>IF(OR(S49&gt;0,AND(T$3&gt;=Assumptions!$E$247,T$3&gt;=Assumptions!$B$14,Revenue_Build!T10&gt;=Assumptions!$F$247*Assumptions!$B$55)),Assumptions!$D$247,0)</f>
        <v/>
      </c>
      <c r="U49" s="41">
        <f>IF(OR(T49&gt;0,AND(U$3&gt;=Assumptions!$E$247,U$3&gt;=Assumptions!$B$14,Revenue_Build!U10&gt;=Assumptions!$F$247*Assumptions!$B$55)),Assumptions!$D$247,0)</f>
        <v/>
      </c>
      <c r="V49" s="41">
        <f>IF(OR(U49&gt;0,AND(V$3&gt;=Assumptions!$E$247,V$3&gt;=Assumptions!$B$14,Revenue_Build!V10&gt;=Assumptions!$F$247*Assumptions!$B$55)),Assumptions!$D$247,0)</f>
        <v/>
      </c>
      <c r="W49" s="41">
        <f>IF(OR(V49&gt;0,AND(W$3&gt;=Assumptions!$E$247,W$3&gt;=Assumptions!$B$14,Revenue_Build!W10&gt;=Assumptions!$F$247*Assumptions!$B$55)),Assumptions!$D$247,0)</f>
        <v/>
      </c>
      <c r="X49" s="41">
        <f>IF(OR(W49&gt;0,AND(X$3&gt;=Assumptions!$E$247,X$3&gt;=Assumptions!$B$14,Revenue_Build!X10&gt;=Assumptions!$F$247*Assumptions!$B$55)),Assumptions!$D$247,0)</f>
        <v/>
      </c>
      <c r="Y49" s="41">
        <f>IF(OR(X49&gt;0,AND(Y$3&gt;=Assumptions!$E$247,Y$3&gt;=Assumptions!$B$14,Revenue_Build!Y10&gt;=Assumptions!$F$247*Assumptions!$B$55)),Assumptions!$D$247,0)</f>
        <v/>
      </c>
      <c r="Z49" s="41">
        <f>IF(OR(Y49&gt;0,AND(Z$3&gt;=Assumptions!$E$247,Z$3&gt;=Assumptions!$B$14,Revenue_Build!Z10&gt;=Assumptions!$F$247*Assumptions!$B$55)),Assumptions!$D$247,0)</f>
        <v/>
      </c>
      <c r="AA49" s="41">
        <f>IF(OR(Z49&gt;0,AND(AA$3&gt;=Assumptions!$E$247,AA$3&gt;=Assumptions!$B$14,Revenue_Build!AA10&gt;=Assumptions!$F$247*Assumptions!$B$55)),Assumptions!$D$247,0)</f>
        <v/>
      </c>
      <c r="AB49" s="41">
        <f>IF(OR(AA49&gt;0,AND(AB$3&gt;=Assumptions!$E$247,AB$3&gt;=Assumptions!$B$14,Revenue_Build!AB10&gt;=Assumptions!$F$247*Assumptions!$B$55)),Assumptions!$D$247,0)</f>
        <v/>
      </c>
      <c r="AC49" s="41">
        <f>IF(OR(AB49&gt;0,AND(AC$3&gt;=Assumptions!$E$247,AC$3&gt;=Assumptions!$B$14,Revenue_Build!AC10&gt;=Assumptions!$F$247*Assumptions!$B$55)),Assumptions!$D$247,0)</f>
        <v/>
      </c>
      <c r="AD49" s="41">
        <f>IF(OR(AC49&gt;0,AND(AD$3&gt;=Assumptions!$E$247,AD$3&gt;=Assumptions!$B$14,Revenue_Build!AD10&gt;=Assumptions!$F$247*Assumptions!$B$55)),Assumptions!$D$247,0)</f>
        <v/>
      </c>
      <c r="AE49" s="41">
        <f>IF(OR(AD49&gt;0,AND(AE$3&gt;=Assumptions!$E$247,AE$3&gt;=Assumptions!$B$14,Revenue_Build!AE10&gt;=Assumptions!$F$247*Assumptions!$B$55)),Assumptions!$D$247,0)</f>
        <v/>
      </c>
      <c r="AF49" s="41">
        <f>IF(OR(AE49&gt;0,AND(AF$3&gt;=Assumptions!$E$247,AF$3&gt;=Assumptions!$B$14,Revenue_Build!AF10&gt;=Assumptions!$F$247*Assumptions!$B$55)),Assumptions!$D$247,0)</f>
        <v/>
      </c>
      <c r="AG49" s="41">
        <f>IF(OR(AF49&gt;0,AND(AG$3&gt;=Assumptions!$E$247,AG$3&gt;=Assumptions!$B$14,Revenue_Build!AG10&gt;=Assumptions!$F$247*Assumptions!$B$55)),Assumptions!$D$247,0)</f>
        <v/>
      </c>
      <c r="AH49" s="41">
        <f>IF(OR(AG49&gt;0,AND(AH$3&gt;=Assumptions!$E$247,AH$3&gt;=Assumptions!$B$14,Revenue_Build!AH10&gt;=Assumptions!$F$247*Assumptions!$B$55)),Assumptions!$D$247,0)</f>
        <v/>
      </c>
      <c r="AI49" s="41">
        <f>IF(OR(AH49&gt;0,AND(AI$3&gt;=Assumptions!$E$247,AI$3&gt;=Assumptions!$B$14,Revenue_Build!AI10&gt;=Assumptions!$F$247*Assumptions!$B$55)),Assumptions!$D$247,0)</f>
        <v/>
      </c>
      <c r="AJ49" s="41">
        <f>IF(OR(AI49&gt;0,AND(AJ$3&gt;=Assumptions!$E$247,AJ$3&gt;=Assumptions!$B$14,Revenue_Build!AJ10&gt;=Assumptions!$F$247*Assumptions!$B$55)),Assumptions!$D$247,0)</f>
        <v/>
      </c>
      <c r="AK49" s="41">
        <f>IF(OR(AJ49&gt;0,AND(AK$3&gt;=Assumptions!$E$247,AK$3&gt;=Assumptions!$B$14,Revenue_Build!AK10&gt;=Assumptions!$F$247*Assumptions!$B$55)),Assumptions!$D$247,0)</f>
        <v/>
      </c>
      <c r="AL49" s="41">
        <f>IF(OR(AK49&gt;0,AND(AL$3&gt;=Assumptions!$E$247,AL$3&gt;=Assumptions!$B$14,Revenue_Build!AL10&gt;=Assumptions!$F$247*Assumptions!$B$55)),Assumptions!$D$247,0)</f>
        <v/>
      </c>
      <c r="AM49" s="41">
        <f>IF(OR(AL49&gt;0,AND(AM$3&gt;=Assumptions!$E$247,AM$3&gt;=Assumptions!$B$14,Revenue_Build!AM10&gt;=Assumptions!$F$247*Assumptions!$B$55)),Assumptions!$D$247,0)</f>
        <v/>
      </c>
      <c r="AN49" s="41">
        <f>IF(OR(AM49&gt;0,AND(AN$3&gt;=Assumptions!$E$247,AN$3&gt;=Assumptions!$B$14,Revenue_Build!AN10&gt;=Assumptions!$F$247*Assumptions!$B$55)),Assumptions!$D$247,0)</f>
        <v/>
      </c>
      <c r="AO49" s="41">
        <f>IF(OR(AN49&gt;0,AND(AO$3&gt;=Assumptions!$E$247,AO$3&gt;=Assumptions!$B$14,Revenue_Build!AO10&gt;=Assumptions!$F$247*Assumptions!$B$55)),Assumptions!$D$247,0)</f>
        <v/>
      </c>
      <c r="AP49" s="41">
        <f>IF(OR(AO49&gt;0,AND(AP$3&gt;=Assumptions!$E$247,AP$3&gt;=Assumptions!$B$14,Revenue_Build!AP10&gt;=Assumptions!$F$247*Assumptions!$B$55)),Assumptions!$D$247,0)</f>
        <v/>
      </c>
      <c r="AQ49" s="41">
        <f>IF(OR(AP49&gt;0,AND(AQ$3&gt;=Assumptions!$E$247,AQ$3&gt;=Assumptions!$B$14,Revenue_Build!AQ10&gt;=Assumptions!$F$247*Assumptions!$B$55)),Assumptions!$D$247,0)</f>
        <v/>
      </c>
      <c r="AR49" s="41">
        <f>IF(OR(AQ49&gt;0,AND(AR$3&gt;=Assumptions!$E$247,AR$3&gt;=Assumptions!$B$14,Revenue_Build!AR10&gt;=Assumptions!$F$247*Assumptions!$B$55)),Assumptions!$D$247,0)</f>
        <v/>
      </c>
      <c r="AS49" s="41">
        <f>IF(OR(AR49&gt;0,AND(AS$3&gt;=Assumptions!$E$247,AS$3&gt;=Assumptions!$B$14,Revenue_Build!AS10&gt;=Assumptions!$F$247*Assumptions!$B$55)),Assumptions!$D$247,0)</f>
        <v/>
      </c>
      <c r="AT49" s="41">
        <f>IF(OR(AS49&gt;0,AND(AT$3&gt;=Assumptions!$E$247,AT$3&gt;=Assumptions!$B$14,Revenue_Build!AT10&gt;=Assumptions!$F$247*Assumptions!$B$55)),Assumptions!$D$247,0)</f>
        <v/>
      </c>
      <c r="AU49" s="41">
        <f>IF(OR(AT49&gt;0,AND(AU$3&gt;=Assumptions!$E$247,AU$3&gt;=Assumptions!$B$14,Revenue_Build!AU10&gt;=Assumptions!$F$247*Assumptions!$B$55)),Assumptions!$D$247,0)</f>
        <v/>
      </c>
      <c r="AV49" s="41">
        <f>IF(OR(AU49&gt;0,AND(AV$3&gt;=Assumptions!$E$247,AV$3&gt;=Assumptions!$B$14,Revenue_Build!AV10&gt;=Assumptions!$F$247*Assumptions!$B$55)),Assumptions!$D$247,0)</f>
        <v/>
      </c>
      <c r="AW49" s="41">
        <f>IF(OR(AV49&gt;0,AND(AW$3&gt;=Assumptions!$E$247,AW$3&gt;=Assumptions!$B$14,Revenue_Build!AW10&gt;=Assumptions!$F$247*Assumptions!$B$55)),Assumptions!$D$247,0)</f>
        <v/>
      </c>
      <c r="AX49" s="41">
        <f>IF(OR(AW49&gt;0,AND(AX$3&gt;=Assumptions!$E$247,AX$3&gt;=Assumptions!$B$14,Revenue_Build!AX10&gt;=Assumptions!$F$247*Assumptions!$B$55)),Assumptions!$D$247,0)</f>
        <v/>
      </c>
      <c r="AY49" s="41">
        <f>IF(OR(AX49&gt;0,AND(AY$3&gt;=Assumptions!$E$247,AY$3&gt;=Assumptions!$B$14,Revenue_Build!AY10&gt;=Assumptions!$F$247*Assumptions!$B$55)),Assumptions!$D$247,0)</f>
        <v/>
      </c>
      <c r="AZ49" s="41">
        <f>IF(OR(AY49&gt;0,AND(AZ$3&gt;=Assumptions!$E$247,AZ$3&gt;=Assumptions!$B$14,Revenue_Build!AZ10&gt;=Assumptions!$F$247*Assumptions!$B$55)),Assumptions!$D$247,0)</f>
        <v/>
      </c>
      <c r="BA49" s="41">
        <f>IF(OR(AZ49&gt;0,AND(BA$3&gt;=Assumptions!$E$247,BA$3&gt;=Assumptions!$B$14,Revenue_Build!BA10&gt;=Assumptions!$F$247*Assumptions!$B$55)),Assumptions!$D$247,0)</f>
        <v/>
      </c>
      <c r="BB49" s="41">
        <f>IF(OR(BA49&gt;0,AND(BB$3&gt;=Assumptions!$E$247,BB$3&gt;=Assumptions!$B$14,Revenue_Build!BB10&gt;=Assumptions!$F$247*Assumptions!$B$55)),Assumptions!$D$247,0)</f>
        <v/>
      </c>
      <c r="BC49" s="41">
        <f>IF(OR(BB49&gt;0,AND(BC$3&gt;=Assumptions!$E$247,BC$3&gt;=Assumptions!$B$14,Revenue_Build!BC10&gt;=Assumptions!$F$247*Assumptions!$B$55)),Assumptions!$D$247,0)</f>
        <v/>
      </c>
      <c r="BD49" s="41">
        <f>IF(OR(BC49&gt;0,AND(BD$3&gt;=Assumptions!$E$247,BD$3&gt;=Assumptions!$B$14,Revenue_Build!BD10&gt;=Assumptions!$F$247*Assumptions!$B$55)),Assumptions!$D$247,0)</f>
        <v/>
      </c>
      <c r="BE49" s="41">
        <f>IF(OR(BD49&gt;0,AND(BE$3&gt;=Assumptions!$E$247,BE$3&gt;=Assumptions!$B$14,Revenue_Build!BE10&gt;=Assumptions!$F$247*Assumptions!$B$55)),Assumptions!$D$247,0)</f>
        <v/>
      </c>
      <c r="BF49" s="41">
        <f>IF(OR(BE49&gt;0,AND(BF$3&gt;=Assumptions!$E$247,BF$3&gt;=Assumptions!$B$14,Revenue_Build!BF10&gt;=Assumptions!$F$247*Assumptions!$B$55)),Assumptions!$D$247,0)</f>
        <v/>
      </c>
      <c r="BG49" s="41">
        <f>IF(OR(BF49&gt;0,AND(BG$3&gt;=Assumptions!$E$247,BG$3&gt;=Assumptions!$B$14,Revenue_Build!BG10&gt;=Assumptions!$F$247*Assumptions!$B$55)),Assumptions!$D$247,0)</f>
        <v/>
      </c>
      <c r="BH49" s="41">
        <f>IF(OR(BG49&gt;0,AND(BH$3&gt;=Assumptions!$E$247,BH$3&gt;=Assumptions!$B$14,Revenue_Build!BH10&gt;=Assumptions!$F$247*Assumptions!$B$55)),Assumptions!$D$247,0)</f>
        <v/>
      </c>
      <c r="BI49" s="41">
        <f>IF(OR(BH49&gt;0,AND(BI$3&gt;=Assumptions!$E$247,BI$3&gt;=Assumptions!$B$14,Revenue_Build!BI10&gt;=Assumptions!$F$247*Assumptions!$B$55)),Assumptions!$D$247,0)</f>
        <v/>
      </c>
      <c r="BJ49" s="41">
        <f>IF(OR(BI49&gt;0,AND(BJ$3&gt;=Assumptions!$E$247,BJ$3&gt;=Assumptions!$B$14,Revenue_Build!BJ10&gt;=Assumptions!$F$247*Assumptions!$B$55)),Assumptions!$D$247,0)</f>
        <v/>
      </c>
    </row>
    <row r="50">
      <c r="A50" s="4" t="inlineStr">
        <is>
          <t>Operations &amp; admin</t>
        </is>
      </c>
      <c r="B50" s="17" t="inlineStr">
        <is>
          <t>FTE</t>
        </is>
      </c>
      <c r="C50" s="41">
        <f>IF(AND(C$3&gt;=Assumptions!$E$248,C$3&gt;=Assumptions!$B$14,Revenue_Build!C10&gt;=Assumptions!$F$248*Assumptions!$B$55),Assumptions!$D$248,0)</f>
        <v/>
      </c>
      <c r="D50" s="41">
        <f>IF(OR(C50&gt;0,AND(D$3&gt;=Assumptions!$E$248,D$3&gt;=Assumptions!$B$14,Revenue_Build!D10&gt;=Assumptions!$F$248*Assumptions!$B$55)),Assumptions!$D$248,0)</f>
        <v/>
      </c>
      <c r="E50" s="41">
        <f>IF(OR(D50&gt;0,AND(E$3&gt;=Assumptions!$E$248,E$3&gt;=Assumptions!$B$14,Revenue_Build!E10&gt;=Assumptions!$F$248*Assumptions!$B$55)),Assumptions!$D$248,0)</f>
        <v/>
      </c>
      <c r="F50" s="41">
        <f>IF(OR(E50&gt;0,AND(F$3&gt;=Assumptions!$E$248,F$3&gt;=Assumptions!$B$14,Revenue_Build!F10&gt;=Assumptions!$F$248*Assumptions!$B$55)),Assumptions!$D$248,0)</f>
        <v/>
      </c>
      <c r="G50" s="41">
        <f>IF(OR(F50&gt;0,AND(G$3&gt;=Assumptions!$E$248,G$3&gt;=Assumptions!$B$14,Revenue_Build!G10&gt;=Assumptions!$F$248*Assumptions!$B$55)),Assumptions!$D$248,0)</f>
        <v/>
      </c>
      <c r="H50" s="41">
        <f>IF(OR(G50&gt;0,AND(H$3&gt;=Assumptions!$E$248,H$3&gt;=Assumptions!$B$14,Revenue_Build!H10&gt;=Assumptions!$F$248*Assumptions!$B$55)),Assumptions!$D$248,0)</f>
        <v/>
      </c>
      <c r="I50" s="41">
        <f>IF(OR(H50&gt;0,AND(I$3&gt;=Assumptions!$E$248,I$3&gt;=Assumptions!$B$14,Revenue_Build!I10&gt;=Assumptions!$F$248*Assumptions!$B$55)),Assumptions!$D$248,0)</f>
        <v/>
      </c>
      <c r="J50" s="41">
        <f>IF(OR(I50&gt;0,AND(J$3&gt;=Assumptions!$E$248,J$3&gt;=Assumptions!$B$14,Revenue_Build!J10&gt;=Assumptions!$F$248*Assumptions!$B$55)),Assumptions!$D$248,0)</f>
        <v/>
      </c>
      <c r="K50" s="41">
        <f>IF(OR(J50&gt;0,AND(K$3&gt;=Assumptions!$E$248,K$3&gt;=Assumptions!$B$14,Revenue_Build!K10&gt;=Assumptions!$F$248*Assumptions!$B$55)),Assumptions!$D$248,0)</f>
        <v/>
      </c>
      <c r="L50" s="41">
        <f>IF(OR(K50&gt;0,AND(L$3&gt;=Assumptions!$E$248,L$3&gt;=Assumptions!$B$14,Revenue_Build!L10&gt;=Assumptions!$F$248*Assumptions!$B$55)),Assumptions!$D$248,0)</f>
        <v/>
      </c>
      <c r="M50" s="41">
        <f>IF(OR(L50&gt;0,AND(M$3&gt;=Assumptions!$E$248,M$3&gt;=Assumptions!$B$14,Revenue_Build!M10&gt;=Assumptions!$F$248*Assumptions!$B$55)),Assumptions!$D$248,0)</f>
        <v/>
      </c>
      <c r="N50" s="41">
        <f>IF(OR(M50&gt;0,AND(N$3&gt;=Assumptions!$E$248,N$3&gt;=Assumptions!$B$14,Revenue_Build!N10&gt;=Assumptions!$F$248*Assumptions!$B$55)),Assumptions!$D$248,0)</f>
        <v/>
      </c>
      <c r="O50" s="41">
        <f>IF(OR(N50&gt;0,AND(O$3&gt;=Assumptions!$E$248,O$3&gt;=Assumptions!$B$14,Revenue_Build!O10&gt;=Assumptions!$F$248*Assumptions!$B$55)),Assumptions!$D$248,0)</f>
        <v/>
      </c>
      <c r="P50" s="41">
        <f>IF(OR(O50&gt;0,AND(P$3&gt;=Assumptions!$E$248,P$3&gt;=Assumptions!$B$14,Revenue_Build!P10&gt;=Assumptions!$F$248*Assumptions!$B$55)),Assumptions!$D$248,0)</f>
        <v/>
      </c>
      <c r="Q50" s="41">
        <f>IF(OR(P50&gt;0,AND(Q$3&gt;=Assumptions!$E$248,Q$3&gt;=Assumptions!$B$14,Revenue_Build!Q10&gt;=Assumptions!$F$248*Assumptions!$B$55)),Assumptions!$D$248,0)</f>
        <v/>
      </c>
      <c r="R50" s="41">
        <f>IF(OR(Q50&gt;0,AND(R$3&gt;=Assumptions!$E$248,R$3&gt;=Assumptions!$B$14,Revenue_Build!R10&gt;=Assumptions!$F$248*Assumptions!$B$55)),Assumptions!$D$248,0)</f>
        <v/>
      </c>
      <c r="S50" s="41">
        <f>IF(OR(R50&gt;0,AND(S$3&gt;=Assumptions!$E$248,S$3&gt;=Assumptions!$B$14,Revenue_Build!S10&gt;=Assumptions!$F$248*Assumptions!$B$55)),Assumptions!$D$248,0)</f>
        <v/>
      </c>
      <c r="T50" s="41">
        <f>IF(OR(S50&gt;0,AND(T$3&gt;=Assumptions!$E$248,T$3&gt;=Assumptions!$B$14,Revenue_Build!T10&gt;=Assumptions!$F$248*Assumptions!$B$55)),Assumptions!$D$248,0)</f>
        <v/>
      </c>
      <c r="U50" s="41">
        <f>IF(OR(T50&gt;0,AND(U$3&gt;=Assumptions!$E$248,U$3&gt;=Assumptions!$B$14,Revenue_Build!U10&gt;=Assumptions!$F$248*Assumptions!$B$55)),Assumptions!$D$248,0)</f>
        <v/>
      </c>
      <c r="V50" s="41">
        <f>IF(OR(U50&gt;0,AND(V$3&gt;=Assumptions!$E$248,V$3&gt;=Assumptions!$B$14,Revenue_Build!V10&gt;=Assumptions!$F$248*Assumptions!$B$55)),Assumptions!$D$248,0)</f>
        <v/>
      </c>
      <c r="W50" s="41">
        <f>IF(OR(V50&gt;0,AND(W$3&gt;=Assumptions!$E$248,W$3&gt;=Assumptions!$B$14,Revenue_Build!W10&gt;=Assumptions!$F$248*Assumptions!$B$55)),Assumptions!$D$248,0)</f>
        <v/>
      </c>
      <c r="X50" s="41">
        <f>IF(OR(W50&gt;0,AND(X$3&gt;=Assumptions!$E$248,X$3&gt;=Assumptions!$B$14,Revenue_Build!X10&gt;=Assumptions!$F$248*Assumptions!$B$55)),Assumptions!$D$248,0)</f>
        <v/>
      </c>
      <c r="Y50" s="41">
        <f>IF(OR(X50&gt;0,AND(Y$3&gt;=Assumptions!$E$248,Y$3&gt;=Assumptions!$B$14,Revenue_Build!Y10&gt;=Assumptions!$F$248*Assumptions!$B$55)),Assumptions!$D$248,0)</f>
        <v/>
      </c>
      <c r="Z50" s="41">
        <f>IF(OR(Y50&gt;0,AND(Z$3&gt;=Assumptions!$E$248,Z$3&gt;=Assumptions!$B$14,Revenue_Build!Z10&gt;=Assumptions!$F$248*Assumptions!$B$55)),Assumptions!$D$248,0)</f>
        <v/>
      </c>
      <c r="AA50" s="41">
        <f>IF(OR(Z50&gt;0,AND(AA$3&gt;=Assumptions!$E$248,AA$3&gt;=Assumptions!$B$14,Revenue_Build!AA10&gt;=Assumptions!$F$248*Assumptions!$B$55)),Assumptions!$D$248,0)</f>
        <v/>
      </c>
      <c r="AB50" s="41">
        <f>IF(OR(AA50&gt;0,AND(AB$3&gt;=Assumptions!$E$248,AB$3&gt;=Assumptions!$B$14,Revenue_Build!AB10&gt;=Assumptions!$F$248*Assumptions!$B$55)),Assumptions!$D$248,0)</f>
        <v/>
      </c>
      <c r="AC50" s="41">
        <f>IF(OR(AB50&gt;0,AND(AC$3&gt;=Assumptions!$E$248,AC$3&gt;=Assumptions!$B$14,Revenue_Build!AC10&gt;=Assumptions!$F$248*Assumptions!$B$55)),Assumptions!$D$248,0)</f>
        <v/>
      </c>
      <c r="AD50" s="41">
        <f>IF(OR(AC50&gt;0,AND(AD$3&gt;=Assumptions!$E$248,AD$3&gt;=Assumptions!$B$14,Revenue_Build!AD10&gt;=Assumptions!$F$248*Assumptions!$B$55)),Assumptions!$D$248,0)</f>
        <v/>
      </c>
      <c r="AE50" s="41">
        <f>IF(OR(AD50&gt;0,AND(AE$3&gt;=Assumptions!$E$248,AE$3&gt;=Assumptions!$B$14,Revenue_Build!AE10&gt;=Assumptions!$F$248*Assumptions!$B$55)),Assumptions!$D$248,0)</f>
        <v/>
      </c>
      <c r="AF50" s="41">
        <f>IF(OR(AE50&gt;0,AND(AF$3&gt;=Assumptions!$E$248,AF$3&gt;=Assumptions!$B$14,Revenue_Build!AF10&gt;=Assumptions!$F$248*Assumptions!$B$55)),Assumptions!$D$248,0)</f>
        <v/>
      </c>
      <c r="AG50" s="41">
        <f>IF(OR(AF50&gt;0,AND(AG$3&gt;=Assumptions!$E$248,AG$3&gt;=Assumptions!$B$14,Revenue_Build!AG10&gt;=Assumptions!$F$248*Assumptions!$B$55)),Assumptions!$D$248,0)</f>
        <v/>
      </c>
      <c r="AH50" s="41">
        <f>IF(OR(AG50&gt;0,AND(AH$3&gt;=Assumptions!$E$248,AH$3&gt;=Assumptions!$B$14,Revenue_Build!AH10&gt;=Assumptions!$F$248*Assumptions!$B$55)),Assumptions!$D$248,0)</f>
        <v/>
      </c>
      <c r="AI50" s="41">
        <f>IF(OR(AH50&gt;0,AND(AI$3&gt;=Assumptions!$E$248,AI$3&gt;=Assumptions!$B$14,Revenue_Build!AI10&gt;=Assumptions!$F$248*Assumptions!$B$55)),Assumptions!$D$248,0)</f>
        <v/>
      </c>
      <c r="AJ50" s="41">
        <f>IF(OR(AI50&gt;0,AND(AJ$3&gt;=Assumptions!$E$248,AJ$3&gt;=Assumptions!$B$14,Revenue_Build!AJ10&gt;=Assumptions!$F$248*Assumptions!$B$55)),Assumptions!$D$248,0)</f>
        <v/>
      </c>
      <c r="AK50" s="41">
        <f>IF(OR(AJ50&gt;0,AND(AK$3&gt;=Assumptions!$E$248,AK$3&gt;=Assumptions!$B$14,Revenue_Build!AK10&gt;=Assumptions!$F$248*Assumptions!$B$55)),Assumptions!$D$248,0)</f>
        <v/>
      </c>
      <c r="AL50" s="41">
        <f>IF(OR(AK50&gt;0,AND(AL$3&gt;=Assumptions!$E$248,AL$3&gt;=Assumptions!$B$14,Revenue_Build!AL10&gt;=Assumptions!$F$248*Assumptions!$B$55)),Assumptions!$D$248,0)</f>
        <v/>
      </c>
      <c r="AM50" s="41">
        <f>IF(OR(AL50&gt;0,AND(AM$3&gt;=Assumptions!$E$248,AM$3&gt;=Assumptions!$B$14,Revenue_Build!AM10&gt;=Assumptions!$F$248*Assumptions!$B$55)),Assumptions!$D$248,0)</f>
        <v/>
      </c>
      <c r="AN50" s="41">
        <f>IF(OR(AM50&gt;0,AND(AN$3&gt;=Assumptions!$E$248,AN$3&gt;=Assumptions!$B$14,Revenue_Build!AN10&gt;=Assumptions!$F$248*Assumptions!$B$55)),Assumptions!$D$248,0)</f>
        <v/>
      </c>
      <c r="AO50" s="41">
        <f>IF(OR(AN50&gt;0,AND(AO$3&gt;=Assumptions!$E$248,AO$3&gt;=Assumptions!$B$14,Revenue_Build!AO10&gt;=Assumptions!$F$248*Assumptions!$B$55)),Assumptions!$D$248,0)</f>
        <v/>
      </c>
      <c r="AP50" s="41">
        <f>IF(OR(AO50&gt;0,AND(AP$3&gt;=Assumptions!$E$248,AP$3&gt;=Assumptions!$B$14,Revenue_Build!AP10&gt;=Assumptions!$F$248*Assumptions!$B$55)),Assumptions!$D$248,0)</f>
        <v/>
      </c>
      <c r="AQ50" s="41">
        <f>IF(OR(AP50&gt;0,AND(AQ$3&gt;=Assumptions!$E$248,AQ$3&gt;=Assumptions!$B$14,Revenue_Build!AQ10&gt;=Assumptions!$F$248*Assumptions!$B$55)),Assumptions!$D$248,0)</f>
        <v/>
      </c>
      <c r="AR50" s="41">
        <f>IF(OR(AQ50&gt;0,AND(AR$3&gt;=Assumptions!$E$248,AR$3&gt;=Assumptions!$B$14,Revenue_Build!AR10&gt;=Assumptions!$F$248*Assumptions!$B$55)),Assumptions!$D$248,0)</f>
        <v/>
      </c>
      <c r="AS50" s="41">
        <f>IF(OR(AR50&gt;0,AND(AS$3&gt;=Assumptions!$E$248,AS$3&gt;=Assumptions!$B$14,Revenue_Build!AS10&gt;=Assumptions!$F$248*Assumptions!$B$55)),Assumptions!$D$248,0)</f>
        <v/>
      </c>
      <c r="AT50" s="41">
        <f>IF(OR(AS50&gt;0,AND(AT$3&gt;=Assumptions!$E$248,AT$3&gt;=Assumptions!$B$14,Revenue_Build!AT10&gt;=Assumptions!$F$248*Assumptions!$B$55)),Assumptions!$D$248,0)</f>
        <v/>
      </c>
      <c r="AU50" s="41">
        <f>IF(OR(AT50&gt;0,AND(AU$3&gt;=Assumptions!$E$248,AU$3&gt;=Assumptions!$B$14,Revenue_Build!AU10&gt;=Assumptions!$F$248*Assumptions!$B$55)),Assumptions!$D$248,0)</f>
        <v/>
      </c>
      <c r="AV50" s="41">
        <f>IF(OR(AU50&gt;0,AND(AV$3&gt;=Assumptions!$E$248,AV$3&gt;=Assumptions!$B$14,Revenue_Build!AV10&gt;=Assumptions!$F$248*Assumptions!$B$55)),Assumptions!$D$248,0)</f>
        <v/>
      </c>
      <c r="AW50" s="41">
        <f>IF(OR(AV50&gt;0,AND(AW$3&gt;=Assumptions!$E$248,AW$3&gt;=Assumptions!$B$14,Revenue_Build!AW10&gt;=Assumptions!$F$248*Assumptions!$B$55)),Assumptions!$D$248,0)</f>
        <v/>
      </c>
      <c r="AX50" s="41">
        <f>IF(OR(AW50&gt;0,AND(AX$3&gt;=Assumptions!$E$248,AX$3&gt;=Assumptions!$B$14,Revenue_Build!AX10&gt;=Assumptions!$F$248*Assumptions!$B$55)),Assumptions!$D$248,0)</f>
        <v/>
      </c>
      <c r="AY50" s="41">
        <f>IF(OR(AX50&gt;0,AND(AY$3&gt;=Assumptions!$E$248,AY$3&gt;=Assumptions!$B$14,Revenue_Build!AY10&gt;=Assumptions!$F$248*Assumptions!$B$55)),Assumptions!$D$248,0)</f>
        <v/>
      </c>
      <c r="AZ50" s="41">
        <f>IF(OR(AY50&gt;0,AND(AZ$3&gt;=Assumptions!$E$248,AZ$3&gt;=Assumptions!$B$14,Revenue_Build!AZ10&gt;=Assumptions!$F$248*Assumptions!$B$55)),Assumptions!$D$248,0)</f>
        <v/>
      </c>
      <c r="BA50" s="41">
        <f>IF(OR(AZ50&gt;0,AND(BA$3&gt;=Assumptions!$E$248,BA$3&gt;=Assumptions!$B$14,Revenue_Build!BA10&gt;=Assumptions!$F$248*Assumptions!$B$55)),Assumptions!$D$248,0)</f>
        <v/>
      </c>
      <c r="BB50" s="41">
        <f>IF(OR(BA50&gt;0,AND(BB$3&gt;=Assumptions!$E$248,BB$3&gt;=Assumptions!$B$14,Revenue_Build!BB10&gt;=Assumptions!$F$248*Assumptions!$B$55)),Assumptions!$D$248,0)</f>
        <v/>
      </c>
      <c r="BC50" s="41">
        <f>IF(OR(BB50&gt;0,AND(BC$3&gt;=Assumptions!$E$248,BC$3&gt;=Assumptions!$B$14,Revenue_Build!BC10&gt;=Assumptions!$F$248*Assumptions!$B$55)),Assumptions!$D$248,0)</f>
        <v/>
      </c>
      <c r="BD50" s="41">
        <f>IF(OR(BC50&gt;0,AND(BD$3&gt;=Assumptions!$E$248,BD$3&gt;=Assumptions!$B$14,Revenue_Build!BD10&gt;=Assumptions!$F$248*Assumptions!$B$55)),Assumptions!$D$248,0)</f>
        <v/>
      </c>
      <c r="BE50" s="41">
        <f>IF(OR(BD50&gt;0,AND(BE$3&gt;=Assumptions!$E$248,BE$3&gt;=Assumptions!$B$14,Revenue_Build!BE10&gt;=Assumptions!$F$248*Assumptions!$B$55)),Assumptions!$D$248,0)</f>
        <v/>
      </c>
      <c r="BF50" s="41">
        <f>IF(OR(BE50&gt;0,AND(BF$3&gt;=Assumptions!$E$248,BF$3&gt;=Assumptions!$B$14,Revenue_Build!BF10&gt;=Assumptions!$F$248*Assumptions!$B$55)),Assumptions!$D$248,0)</f>
        <v/>
      </c>
      <c r="BG50" s="41">
        <f>IF(OR(BF50&gt;0,AND(BG$3&gt;=Assumptions!$E$248,BG$3&gt;=Assumptions!$B$14,Revenue_Build!BG10&gt;=Assumptions!$F$248*Assumptions!$B$55)),Assumptions!$D$248,0)</f>
        <v/>
      </c>
      <c r="BH50" s="41">
        <f>IF(OR(BG50&gt;0,AND(BH$3&gt;=Assumptions!$E$248,BH$3&gt;=Assumptions!$B$14,Revenue_Build!BH10&gt;=Assumptions!$F$248*Assumptions!$B$55)),Assumptions!$D$248,0)</f>
        <v/>
      </c>
      <c r="BI50" s="41">
        <f>IF(OR(BH50&gt;0,AND(BI$3&gt;=Assumptions!$E$248,BI$3&gt;=Assumptions!$B$14,Revenue_Build!BI10&gt;=Assumptions!$F$248*Assumptions!$B$55)),Assumptions!$D$248,0)</f>
        <v/>
      </c>
      <c r="BJ50" s="41">
        <f>IF(OR(BI50&gt;0,AND(BJ$3&gt;=Assumptions!$E$248,BJ$3&gt;=Assumptions!$B$14,Revenue_Build!BJ10&gt;=Assumptions!$F$248*Assumptions!$B$55)),Assumptions!$D$248,0)</f>
        <v/>
      </c>
    </row>
    <row r="51">
      <c r="A51" s="4" t="inlineStr">
        <is>
          <t>Legal &amp; data-protection counsel</t>
        </is>
      </c>
      <c r="B51" s="17" t="inlineStr">
        <is>
          <t>FTE</t>
        </is>
      </c>
      <c r="C51" s="41">
        <f>IF(AND(C$3&gt;=Assumptions!$E$249,C$3&gt;=Assumptions!$B$14,Revenue_Build!C10&gt;=Assumptions!$F$249*Assumptions!$B$55),Assumptions!$D$249,0)</f>
        <v/>
      </c>
      <c r="D51" s="41">
        <f>IF(OR(C51&gt;0,AND(D$3&gt;=Assumptions!$E$249,D$3&gt;=Assumptions!$B$14,Revenue_Build!D10&gt;=Assumptions!$F$249*Assumptions!$B$55)),Assumptions!$D$249,0)</f>
        <v/>
      </c>
      <c r="E51" s="41">
        <f>IF(OR(D51&gt;0,AND(E$3&gt;=Assumptions!$E$249,E$3&gt;=Assumptions!$B$14,Revenue_Build!E10&gt;=Assumptions!$F$249*Assumptions!$B$55)),Assumptions!$D$249,0)</f>
        <v/>
      </c>
      <c r="F51" s="41">
        <f>IF(OR(E51&gt;0,AND(F$3&gt;=Assumptions!$E$249,F$3&gt;=Assumptions!$B$14,Revenue_Build!F10&gt;=Assumptions!$F$249*Assumptions!$B$55)),Assumptions!$D$249,0)</f>
        <v/>
      </c>
      <c r="G51" s="41">
        <f>IF(OR(F51&gt;0,AND(G$3&gt;=Assumptions!$E$249,G$3&gt;=Assumptions!$B$14,Revenue_Build!G10&gt;=Assumptions!$F$249*Assumptions!$B$55)),Assumptions!$D$249,0)</f>
        <v/>
      </c>
      <c r="H51" s="41">
        <f>IF(OR(G51&gt;0,AND(H$3&gt;=Assumptions!$E$249,H$3&gt;=Assumptions!$B$14,Revenue_Build!H10&gt;=Assumptions!$F$249*Assumptions!$B$55)),Assumptions!$D$249,0)</f>
        <v/>
      </c>
      <c r="I51" s="41">
        <f>IF(OR(H51&gt;0,AND(I$3&gt;=Assumptions!$E$249,I$3&gt;=Assumptions!$B$14,Revenue_Build!I10&gt;=Assumptions!$F$249*Assumptions!$B$55)),Assumptions!$D$249,0)</f>
        <v/>
      </c>
      <c r="J51" s="41">
        <f>IF(OR(I51&gt;0,AND(J$3&gt;=Assumptions!$E$249,J$3&gt;=Assumptions!$B$14,Revenue_Build!J10&gt;=Assumptions!$F$249*Assumptions!$B$55)),Assumptions!$D$249,0)</f>
        <v/>
      </c>
      <c r="K51" s="41">
        <f>IF(OR(J51&gt;0,AND(K$3&gt;=Assumptions!$E$249,K$3&gt;=Assumptions!$B$14,Revenue_Build!K10&gt;=Assumptions!$F$249*Assumptions!$B$55)),Assumptions!$D$249,0)</f>
        <v/>
      </c>
      <c r="L51" s="41">
        <f>IF(OR(K51&gt;0,AND(L$3&gt;=Assumptions!$E$249,L$3&gt;=Assumptions!$B$14,Revenue_Build!L10&gt;=Assumptions!$F$249*Assumptions!$B$55)),Assumptions!$D$249,0)</f>
        <v/>
      </c>
      <c r="M51" s="41">
        <f>IF(OR(L51&gt;0,AND(M$3&gt;=Assumptions!$E$249,M$3&gt;=Assumptions!$B$14,Revenue_Build!M10&gt;=Assumptions!$F$249*Assumptions!$B$55)),Assumptions!$D$249,0)</f>
        <v/>
      </c>
      <c r="N51" s="41">
        <f>IF(OR(M51&gt;0,AND(N$3&gt;=Assumptions!$E$249,N$3&gt;=Assumptions!$B$14,Revenue_Build!N10&gt;=Assumptions!$F$249*Assumptions!$B$55)),Assumptions!$D$249,0)</f>
        <v/>
      </c>
      <c r="O51" s="41">
        <f>IF(OR(N51&gt;0,AND(O$3&gt;=Assumptions!$E$249,O$3&gt;=Assumptions!$B$14,Revenue_Build!O10&gt;=Assumptions!$F$249*Assumptions!$B$55)),Assumptions!$D$249,0)</f>
        <v/>
      </c>
      <c r="P51" s="41">
        <f>IF(OR(O51&gt;0,AND(P$3&gt;=Assumptions!$E$249,P$3&gt;=Assumptions!$B$14,Revenue_Build!P10&gt;=Assumptions!$F$249*Assumptions!$B$55)),Assumptions!$D$249,0)</f>
        <v/>
      </c>
      <c r="Q51" s="41">
        <f>IF(OR(P51&gt;0,AND(Q$3&gt;=Assumptions!$E$249,Q$3&gt;=Assumptions!$B$14,Revenue_Build!Q10&gt;=Assumptions!$F$249*Assumptions!$B$55)),Assumptions!$D$249,0)</f>
        <v/>
      </c>
      <c r="R51" s="41">
        <f>IF(OR(Q51&gt;0,AND(R$3&gt;=Assumptions!$E$249,R$3&gt;=Assumptions!$B$14,Revenue_Build!R10&gt;=Assumptions!$F$249*Assumptions!$B$55)),Assumptions!$D$249,0)</f>
        <v/>
      </c>
      <c r="S51" s="41">
        <f>IF(OR(R51&gt;0,AND(S$3&gt;=Assumptions!$E$249,S$3&gt;=Assumptions!$B$14,Revenue_Build!S10&gt;=Assumptions!$F$249*Assumptions!$B$55)),Assumptions!$D$249,0)</f>
        <v/>
      </c>
      <c r="T51" s="41">
        <f>IF(OR(S51&gt;0,AND(T$3&gt;=Assumptions!$E$249,T$3&gt;=Assumptions!$B$14,Revenue_Build!T10&gt;=Assumptions!$F$249*Assumptions!$B$55)),Assumptions!$D$249,0)</f>
        <v/>
      </c>
      <c r="U51" s="41">
        <f>IF(OR(T51&gt;0,AND(U$3&gt;=Assumptions!$E$249,U$3&gt;=Assumptions!$B$14,Revenue_Build!U10&gt;=Assumptions!$F$249*Assumptions!$B$55)),Assumptions!$D$249,0)</f>
        <v/>
      </c>
      <c r="V51" s="41">
        <f>IF(OR(U51&gt;0,AND(V$3&gt;=Assumptions!$E$249,V$3&gt;=Assumptions!$B$14,Revenue_Build!V10&gt;=Assumptions!$F$249*Assumptions!$B$55)),Assumptions!$D$249,0)</f>
        <v/>
      </c>
      <c r="W51" s="41">
        <f>IF(OR(V51&gt;0,AND(W$3&gt;=Assumptions!$E$249,W$3&gt;=Assumptions!$B$14,Revenue_Build!W10&gt;=Assumptions!$F$249*Assumptions!$B$55)),Assumptions!$D$249,0)</f>
        <v/>
      </c>
      <c r="X51" s="41">
        <f>IF(OR(W51&gt;0,AND(X$3&gt;=Assumptions!$E$249,X$3&gt;=Assumptions!$B$14,Revenue_Build!X10&gt;=Assumptions!$F$249*Assumptions!$B$55)),Assumptions!$D$249,0)</f>
        <v/>
      </c>
      <c r="Y51" s="41">
        <f>IF(OR(X51&gt;0,AND(Y$3&gt;=Assumptions!$E$249,Y$3&gt;=Assumptions!$B$14,Revenue_Build!Y10&gt;=Assumptions!$F$249*Assumptions!$B$55)),Assumptions!$D$249,0)</f>
        <v/>
      </c>
      <c r="Z51" s="41">
        <f>IF(OR(Y51&gt;0,AND(Z$3&gt;=Assumptions!$E$249,Z$3&gt;=Assumptions!$B$14,Revenue_Build!Z10&gt;=Assumptions!$F$249*Assumptions!$B$55)),Assumptions!$D$249,0)</f>
        <v/>
      </c>
      <c r="AA51" s="41">
        <f>IF(OR(Z51&gt;0,AND(AA$3&gt;=Assumptions!$E$249,AA$3&gt;=Assumptions!$B$14,Revenue_Build!AA10&gt;=Assumptions!$F$249*Assumptions!$B$55)),Assumptions!$D$249,0)</f>
        <v/>
      </c>
      <c r="AB51" s="41">
        <f>IF(OR(AA51&gt;0,AND(AB$3&gt;=Assumptions!$E$249,AB$3&gt;=Assumptions!$B$14,Revenue_Build!AB10&gt;=Assumptions!$F$249*Assumptions!$B$55)),Assumptions!$D$249,0)</f>
        <v/>
      </c>
      <c r="AC51" s="41">
        <f>IF(OR(AB51&gt;0,AND(AC$3&gt;=Assumptions!$E$249,AC$3&gt;=Assumptions!$B$14,Revenue_Build!AC10&gt;=Assumptions!$F$249*Assumptions!$B$55)),Assumptions!$D$249,0)</f>
        <v/>
      </c>
      <c r="AD51" s="41">
        <f>IF(OR(AC51&gt;0,AND(AD$3&gt;=Assumptions!$E$249,AD$3&gt;=Assumptions!$B$14,Revenue_Build!AD10&gt;=Assumptions!$F$249*Assumptions!$B$55)),Assumptions!$D$249,0)</f>
        <v/>
      </c>
      <c r="AE51" s="41">
        <f>IF(OR(AD51&gt;0,AND(AE$3&gt;=Assumptions!$E$249,AE$3&gt;=Assumptions!$B$14,Revenue_Build!AE10&gt;=Assumptions!$F$249*Assumptions!$B$55)),Assumptions!$D$249,0)</f>
        <v/>
      </c>
      <c r="AF51" s="41">
        <f>IF(OR(AE51&gt;0,AND(AF$3&gt;=Assumptions!$E$249,AF$3&gt;=Assumptions!$B$14,Revenue_Build!AF10&gt;=Assumptions!$F$249*Assumptions!$B$55)),Assumptions!$D$249,0)</f>
        <v/>
      </c>
      <c r="AG51" s="41">
        <f>IF(OR(AF51&gt;0,AND(AG$3&gt;=Assumptions!$E$249,AG$3&gt;=Assumptions!$B$14,Revenue_Build!AG10&gt;=Assumptions!$F$249*Assumptions!$B$55)),Assumptions!$D$249,0)</f>
        <v/>
      </c>
      <c r="AH51" s="41">
        <f>IF(OR(AG51&gt;0,AND(AH$3&gt;=Assumptions!$E$249,AH$3&gt;=Assumptions!$B$14,Revenue_Build!AH10&gt;=Assumptions!$F$249*Assumptions!$B$55)),Assumptions!$D$249,0)</f>
        <v/>
      </c>
      <c r="AI51" s="41">
        <f>IF(OR(AH51&gt;0,AND(AI$3&gt;=Assumptions!$E$249,AI$3&gt;=Assumptions!$B$14,Revenue_Build!AI10&gt;=Assumptions!$F$249*Assumptions!$B$55)),Assumptions!$D$249,0)</f>
        <v/>
      </c>
      <c r="AJ51" s="41">
        <f>IF(OR(AI51&gt;0,AND(AJ$3&gt;=Assumptions!$E$249,AJ$3&gt;=Assumptions!$B$14,Revenue_Build!AJ10&gt;=Assumptions!$F$249*Assumptions!$B$55)),Assumptions!$D$249,0)</f>
        <v/>
      </c>
      <c r="AK51" s="41">
        <f>IF(OR(AJ51&gt;0,AND(AK$3&gt;=Assumptions!$E$249,AK$3&gt;=Assumptions!$B$14,Revenue_Build!AK10&gt;=Assumptions!$F$249*Assumptions!$B$55)),Assumptions!$D$249,0)</f>
        <v/>
      </c>
      <c r="AL51" s="41">
        <f>IF(OR(AK51&gt;0,AND(AL$3&gt;=Assumptions!$E$249,AL$3&gt;=Assumptions!$B$14,Revenue_Build!AL10&gt;=Assumptions!$F$249*Assumptions!$B$55)),Assumptions!$D$249,0)</f>
        <v/>
      </c>
      <c r="AM51" s="41">
        <f>IF(OR(AL51&gt;0,AND(AM$3&gt;=Assumptions!$E$249,AM$3&gt;=Assumptions!$B$14,Revenue_Build!AM10&gt;=Assumptions!$F$249*Assumptions!$B$55)),Assumptions!$D$249,0)</f>
        <v/>
      </c>
      <c r="AN51" s="41">
        <f>IF(OR(AM51&gt;0,AND(AN$3&gt;=Assumptions!$E$249,AN$3&gt;=Assumptions!$B$14,Revenue_Build!AN10&gt;=Assumptions!$F$249*Assumptions!$B$55)),Assumptions!$D$249,0)</f>
        <v/>
      </c>
      <c r="AO51" s="41">
        <f>IF(OR(AN51&gt;0,AND(AO$3&gt;=Assumptions!$E$249,AO$3&gt;=Assumptions!$B$14,Revenue_Build!AO10&gt;=Assumptions!$F$249*Assumptions!$B$55)),Assumptions!$D$249,0)</f>
        <v/>
      </c>
      <c r="AP51" s="41">
        <f>IF(OR(AO51&gt;0,AND(AP$3&gt;=Assumptions!$E$249,AP$3&gt;=Assumptions!$B$14,Revenue_Build!AP10&gt;=Assumptions!$F$249*Assumptions!$B$55)),Assumptions!$D$249,0)</f>
        <v/>
      </c>
      <c r="AQ51" s="41">
        <f>IF(OR(AP51&gt;0,AND(AQ$3&gt;=Assumptions!$E$249,AQ$3&gt;=Assumptions!$B$14,Revenue_Build!AQ10&gt;=Assumptions!$F$249*Assumptions!$B$55)),Assumptions!$D$249,0)</f>
        <v/>
      </c>
      <c r="AR51" s="41">
        <f>IF(OR(AQ51&gt;0,AND(AR$3&gt;=Assumptions!$E$249,AR$3&gt;=Assumptions!$B$14,Revenue_Build!AR10&gt;=Assumptions!$F$249*Assumptions!$B$55)),Assumptions!$D$249,0)</f>
        <v/>
      </c>
      <c r="AS51" s="41">
        <f>IF(OR(AR51&gt;0,AND(AS$3&gt;=Assumptions!$E$249,AS$3&gt;=Assumptions!$B$14,Revenue_Build!AS10&gt;=Assumptions!$F$249*Assumptions!$B$55)),Assumptions!$D$249,0)</f>
        <v/>
      </c>
      <c r="AT51" s="41">
        <f>IF(OR(AS51&gt;0,AND(AT$3&gt;=Assumptions!$E$249,AT$3&gt;=Assumptions!$B$14,Revenue_Build!AT10&gt;=Assumptions!$F$249*Assumptions!$B$55)),Assumptions!$D$249,0)</f>
        <v/>
      </c>
      <c r="AU51" s="41">
        <f>IF(OR(AT51&gt;0,AND(AU$3&gt;=Assumptions!$E$249,AU$3&gt;=Assumptions!$B$14,Revenue_Build!AU10&gt;=Assumptions!$F$249*Assumptions!$B$55)),Assumptions!$D$249,0)</f>
        <v/>
      </c>
      <c r="AV51" s="41">
        <f>IF(OR(AU51&gt;0,AND(AV$3&gt;=Assumptions!$E$249,AV$3&gt;=Assumptions!$B$14,Revenue_Build!AV10&gt;=Assumptions!$F$249*Assumptions!$B$55)),Assumptions!$D$249,0)</f>
        <v/>
      </c>
      <c r="AW51" s="41">
        <f>IF(OR(AV51&gt;0,AND(AW$3&gt;=Assumptions!$E$249,AW$3&gt;=Assumptions!$B$14,Revenue_Build!AW10&gt;=Assumptions!$F$249*Assumptions!$B$55)),Assumptions!$D$249,0)</f>
        <v/>
      </c>
      <c r="AX51" s="41">
        <f>IF(OR(AW51&gt;0,AND(AX$3&gt;=Assumptions!$E$249,AX$3&gt;=Assumptions!$B$14,Revenue_Build!AX10&gt;=Assumptions!$F$249*Assumptions!$B$55)),Assumptions!$D$249,0)</f>
        <v/>
      </c>
      <c r="AY51" s="41">
        <f>IF(OR(AX51&gt;0,AND(AY$3&gt;=Assumptions!$E$249,AY$3&gt;=Assumptions!$B$14,Revenue_Build!AY10&gt;=Assumptions!$F$249*Assumptions!$B$55)),Assumptions!$D$249,0)</f>
        <v/>
      </c>
      <c r="AZ51" s="41">
        <f>IF(OR(AY51&gt;0,AND(AZ$3&gt;=Assumptions!$E$249,AZ$3&gt;=Assumptions!$B$14,Revenue_Build!AZ10&gt;=Assumptions!$F$249*Assumptions!$B$55)),Assumptions!$D$249,0)</f>
        <v/>
      </c>
      <c r="BA51" s="41">
        <f>IF(OR(AZ51&gt;0,AND(BA$3&gt;=Assumptions!$E$249,BA$3&gt;=Assumptions!$B$14,Revenue_Build!BA10&gt;=Assumptions!$F$249*Assumptions!$B$55)),Assumptions!$D$249,0)</f>
        <v/>
      </c>
      <c r="BB51" s="41">
        <f>IF(OR(BA51&gt;0,AND(BB$3&gt;=Assumptions!$E$249,BB$3&gt;=Assumptions!$B$14,Revenue_Build!BB10&gt;=Assumptions!$F$249*Assumptions!$B$55)),Assumptions!$D$249,0)</f>
        <v/>
      </c>
      <c r="BC51" s="41">
        <f>IF(OR(BB51&gt;0,AND(BC$3&gt;=Assumptions!$E$249,BC$3&gt;=Assumptions!$B$14,Revenue_Build!BC10&gt;=Assumptions!$F$249*Assumptions!$B$55)),Assumptions!$D$249,0)</f>
        <v/>
      </c>
      <c r="BD51" s="41">
        <f>IF(OR(BC51&gt;0,AND(BD$3&gt;=Assumptions!$E$249,BD$3&gt;=Assumptions!$B$14,Revenue_Build!BD10&gt;=Assumptions!$F$249*Assumptions!$B$55)),Assumptions!$D$249,0)</f>
        <v/>
      </c>
      <c r="BE51" s="41">
        <f>IF(OR(BD51&gt;0,AND(BE$3&gt;=Assumptions!$E$249,BE$3&gt;=Assumptions!$B$14,Revenue_Build!BE10&gt;=Assumptions!$F$249*Assumptions!$B$55)),Assumptions!$D$249,0)</f>
        <v/>
      </c>
      <c r="BF51" s="41">
        <f>IF(OR(BE51&gt;0,AND(BF$3&gt;=Assumptions!$E$249,BF$3&gt;=Assumptions!$B$14,Revenue_Build!BF10&gt;=Assumptions!$F$249*Assumptions!$B$55)),Assumptions!$D$249,0)</f>
        <v/>
      </c>
      <c r="BG51" s="41">
        <f>IF(OR(BF51&gt;0,AND(BG$3&gt;=Assumptions!$E$249,BG$3&gt;=Assumptions!$B$14,Revenue_Build!BG10&gt;=Assumptions!$F$249*Assumptions!$B$55)),Assumptions!$D$249,0)</f>
        <v/>
      </c>
      <c r="BH51" s="41">
        <f>IF(OR(BG51&gt;0,AND(BH$3&gt;=Assumptions!$E$249,BH$3&gt;=Assumptions!$B$14,Revenue_Build!BH10&gt;=Assumptions!$F$249*Assumptions!$B$55)),Assumptions!$D$249,0)</f>
        <v/>
      </c>
      <c r="BI51" s="41">
        <f>IF(OR(BH51&gt;0,AND(BI$3&gt;=Assumptions!$E$249,BI$3&gt;=Assumptions!$B$14,Revenue_Build!BI10&gt;=Assumptions!$F$249*Assumptions!$B$55)),Assumptions!$D$249,0)</f>
        <v/>
      </c>
      <c r="BJ51" s="41">
        <f>IF(OR(BI51&gt;0,AND(BJ$3&gt;=Assumptions!$E$249,BJ$3&gt;=Assumptions!$B$14,Revenue_Build!BJ10&gt;=Assumptions!$F$249*Assumptions!$B$55)),Assumptions!$D$249,0)</f>
        <v/>
      </c>
    </row>
    <row r="52">
      <c r="A52" s="4" t="inlineStr">
        <is>
          <t>People &amp; HR partner</t>
        </is>
      </c>
      <c r="B52" s="17" t="inlineStr">
        <is>
          <t>FTE</t>
        </is>
      </c>
      <c r="C52" s="41">
        <f>IF(AND(C$3&gt;=Assumptions!$E$250,C$3&gt;=Assumptions!$B$14,Revenue_Build!C10&gt;=Assumptions!$F$250*Assumptions!$B$55),Assumptions!$D$250,0)</f>
        <v/>
      </c>
      <c r="D52" s="41">
        <f>IF(OR(C52&gt;0,AND(D$3&gt;=Assumptions!$E$250,D$3&gt;=Assumptions!$B$14,Revenue_Build!D10&gt;=Assumptions!$F$250*Assumptions!$B$55)),Assumptions!$D$250,0)</f>
        <v/>
      </c>
      <c r="E52" s="41">
        <f>IF(OR(D52&gt;0,AND(E$3&gt;=Assumptions!$E$250,E$3&gt;=Assumptions!$B$14,Revenue_Build!E10&gt;=Assumptions!$F$250*Assumptions!$B$55)),Assumptions!$D$250,0)</f>
        <v/>
      </c>
      <c r="F52" s="41">
        <f>IF(OR(E52&gt;0,AND(F$3&gt;=Assumptions!$E$250,F$3&gt;=Assumptions!$B$14,Revenue_Build!F10&gt;=Assumptions!$F$250*Assumptions!$B$55)),Assumptions!$D$250,0)</f>
        <v/>
      </c>
      <c r="G52" s="41">
        <f>IF(OR(F52&gt;0,AND(G$3&gt;=Assumptions!$E$250,G$3&gt;=Assumptions!$B$14,Revenue_Build!G10&gt;=Assumptions!$F$250*Assumptions!$B$55)),Assumptions!$D$250,0)</f>
        <v/>
      </c>
      <c r="H52" s="41">
        <f>IF(OR(G52&gt;0,AND(H$3&gt;=Assumptions!$E$250,H$3&gt;=Assumptions!$B$14,Revenue_Build!H10&gt;=Assumptions!$F$250*Assumptions!$B$55)),Assumptions!$D$250,0)</f>
        <v/>
      </c>
      <c r="I52" s="41">
        <f>IF(OR(H52&gt;0,AND(I$3&gt;=Assumptions!$E$250,I$3&gt;=Assumptions!$B$14,Revenue_Build!I10&gt;=Assumptions!$F$250*Assumptions!$B$55)),Assumptions!$D$250,0)</f>
        <v/>
      </c>
      <c r="J52" s="41">
        <f>IF(OR(I52&gt;0,AND(J$3&gt;=Assumptions!$E$250,J$3&gt;=Assumptions!$B$14,Revenue_Build!J10&gt;=Assumptions!$F$250*Assumptions!$B$55)),Assumptions!$D$250,0)</f>
        <v/>
      </c>
      <c r="K52" s="41">
        <f>IF(OR(J52&gt;0,AND(K$3&gt;=Assumptions!$E$250,K$3&gt;=Assumptions!$B$14,Revenue_Build!K10&gt;=Assumptions!$F$250*Assumptions!$B$55)),Assumptions!$D$250,0)</f>
        <v/>
      </c>
      <c r="L52" s="41">
        <f>IF(OR(K52&gt;0,AND(L$3&gt;=Assumptions!$E$250,L$3&gt;=Assumptions!$B$14,Revenue_Build!L10&gt;=Assumptions!$F$250*Assumptions!$B$55)),Assumptions!$D$250,0)</f>
        <v/>
      </c>
      <c r="M52" s="41">
        <f>IF(OR(L52&gt;0,AND(M$3&gt;=Assumptions!$E$250,M$3&gt;=Assumptions!$B$14,Revenue_Build!M10&gt;=Assumptions!$F$250*Assumptions!$B$55)),Assumptions!$D$250,0)</f>
        <v/>
      </c>
      <c r="N52" s="41">
        <f>IF(OR(M52&gt;0,AND(N$3&gt;=Assumptions!$E$250,N$3&gt;=Assumptions!$B$14,Revenue_Build!N10&gt;=Assumptions!$F$250*Assumptions!$B$55)),Assumptions!$D$250,0)</f>
        <v/>
      </c>
      <c r="O52" s="41">
        <f>IF(OR(N52&gt;0,AND(O$3&gt;=Assumptions!$E$250,O$3&gt;=Assumptions!$B$14,Revenue_Build!O10&gt;=Assumptions!$F$250*Assumptions!$B$55)),Assumptions!$D$250,0)</f>
        <v/>
      </c>
      <c r="P52" s="41">
        <f>IF(OR(O52&gt;0,AND(P$3&gt;=Assumptions!$E$250,P$3&gt;=Assumptions!$B$14,Revenue_Build!P10&gt;=Assumptions!$F$250*Assumptions!$B$55)),Assumptions!$D$250,0)</f>
        <v/>
      </c>
      <c r="Q52" s="41">
        <f>IF(OR(P52&gt;0,AND(Q$3&gt;=Assumptions!$E$250,Q$3&gt;=Assumptions!$B$14,Revenue_Build!Q10&gt;=Assumptions!$F$250*Assumptions!$B$55)),Assumptions!$D$250,0)</f>
        <v/>
      </c>
      <c r="R52" s="41">
        <f>IF(OR(Q52&gt;0,AND(R$3&gt;=Assumptions!$E$250,R$3&gt;=Assumptions!$B$14,Revenue_Build!R10&gt;=Assumptions!$F$250*Assumptions!$B$55)),Assumptions!$D$250,0)</f>
        <v/>
      </c>
      <c r="S52" s="41">
        <f>IF(OR(R52&gt;0,AND(S$3&gt;=Assumptions!$E$250,S$3&gt;=Assumptions!$B$14,Revenue_Build!S10&gt;=Assumptions!$F$250*Assumptions!$B$55)),Assumptions!$D$250,0)</f>
        <v/>
      </c>
      <c r="T52" s="41">
        <f>IF(OR(S52&gt;0,AND(T$3&gt;=Assumptions!$E$250,T$3&gt;=Assumptions!$B$14,Revenue_Build!T10&gt;=Assumptions!$F$250*Assumptions!$B$55)),Assumptions!$D$250,0)</f>
        <v/>
      </c>
      <c r="U52" s="41">
        <f>IF(OR(T52&gt;0,AND(U$3&gt;=Assumptions!$E$250,U$3&gt;=Assumptions!$B$14,Revenue_Build!U10&gt;=Assumptions!$F$250*Assumptions!$B$55)),Assumptions!$D$250,0)</f>
        <v/>
      </c>
      <c r="V52" s="41">
        <f>IF(OR(U52&gt;0,AND(V$3&gt;=Assumptions!$E$250,V$3&gt;=Assumptions!$B$14,Revenue_Build!V10&gt;=Assumptions!$F$250*Assumptions!$B$55)),Assumptions!$D$250,0)</f>
        <v/>
      </c>
      <c r="W52" s="41">
        <f>IF(OR(V52&gt;0,AND(W$3&gt;=Assumptions!$E$250,W$3&gt;=Assumptions!$B$14,Revenue_Build!W10&gt;=Assumptions!$F$250*Assumptions!$B$55)),Assumptions!$D$250,0)</f>
        <v/>
      </c>
      <c r="X52" s="41">
        <f>IF(OR(W52&gt;0,AND(X$3&gt;=Assumptions!$E$250,X$3&gt;=Assumptions!$B$14,Revenue_Build!X10&gt;=Assumptions!$F$250*Assumptions!$B$55)),Assumptions!$D$250,0)</f>
        <v/>
      </c>
      <c r="Y52" s="41">
        <f>IF(OR(X52&gt;0,AND(Y$3&gt;=Assumptions!$E$250,Y$3&gt;=Assumptions!$B$14,Revenue_Build!Y10&gt;=Assumptions!$F$250*Assumptions!$B$55)),Assumptions!$D$250,0)</f>
        <v/>
      </c>
      <c r="Z52" s="41">
        <f>IF(OR(Y52&gt;0,AND(Z$3&gt;=Assumptions!$E$250,Z$3&gt;=Assumptions!$B$14,Revenue_Build!Z10&gt;=Assumptions!$F$250*Assumptions!$B$55)),Assumptions!$D$250,0)</f>
        <v/>
      </c>
      <c r="AA52" s="41">
        <f>IF(OR(Z52&gt;0,AND(AA$3&gt;=Assumptions!$E$250,AA$3&gt;=Assumptions!$B$14,Revenue_Build!AA10&gt;=Assumptions!$F$250*Assumptions!$B$55)),Assumptions!$D$250,0)</f>
        <v/>
      </c>
      <c r="AB52" s="41">
        <f>IF(OR(AA52&gt;0,AND(AB$3&gt;=Assumptions!$E$250,AB$3&gt;=Assumptions!$B$14,Revenue_Build!AB10&gt;=Assumptions!$F$250*Assumptions!$B$55)),Assumptions!$D$250,0)</f>
        <v/>
      </c>
      <c r="AC52" s="41">
        <f>IF(OR(AB52&gt;0,AND(AC$3&gt;=Assumptions!$E$250,AC$3&gt;=Assumptions!$B$14,Revenue_Build!AC10&gt;=Assumptions!$F$250*Assumptions!$B$55)),Assumptions!$D$250,0)</f>
        <v/>
      </c>
      <c r="AD52" s="41">
        <f>IF(OR(AC52&gt;0,AND(AD$3&gt;=Assumptions!$E$250,AD$3&gt;=Assumptions!$B$14,Revenue_Build!AD10&gt;=Assumptions!$F$250*Assumptions!$B$55)),Assumptions!$D$250,0)</f>
        <v/>
      </c>
      <c r="AE52" s="41">
        <f>IF(OR(AD52&gt;0,AND(AE$3&gt;=Assumptions!$E$250,AE$3&gt;=Assumptions!$B$14,Revenue_Build!AE10&gt;=Assumptions!$F$250*Assumptions!$B$55)),Assumptions!$D$250,0)</f>
        <v/>
      </c>
      <c r="AF52" s="41">
        <f>IF(OR(AE52&gt;0,AND(AF$3&gt;=Assumptions!$E$250,AF$3&gt;=Assumptions!$B$14,Revenue_Build!AF10&gt;=Assumptions!$F$250*Assumptions!$B$55)),Assumptions!$D$250,0)</f>
        <v/>
      </c>
      <c r="AG52" s="41">
        <f>IF(OR(AF52&gt;0,AND(AG$3&gt;=Assumptions!$E$250,AG$3&gt;=Assumptions!$B$14,Revenue_Build!AG10&gt;=Assumptions!$F$250*Assumptions!$B$55)),Assumptions!$D$250,0)</f>
        <v/>
      </c>
      <c r="AH52" s="41">
        <f>IF(OR(AG52&gt;0,AND(AH$3&gt;=Assumptions!$E$250,AH$3&gt;=Assumptions!$B$14,Revenue_Build!AH10&gt;=Assumptions!$F$250*Assumptions!$B$55)),Assumptions!$D$250,0)</f>
        <v/>
      </c>
      <c r="AI52" s="41">
        <f>IF(OR(AH52&gt;0,AND(AI$3&gt;=Assumptions!$E$250,AI$3&gt;=Assumptions!$B$14,Revenue_Build!AI10&gt;=Assumptions!$F$250*Assumptions!$B$55)),Assumptions!$D$250,0)</f>
        <v/>
      </c>
      <c r="AJ52" s="41">
        <f>IF(OR(AI52&gt;0,AND(AJ$3&gt;=Assumptions!$E$250,AJ$3&gt;=Assumptions!$B$14,Revenue_Build!AJ10&gt;=Assumptions!$F$250*Assumptions!$B$55)),Assumptions!$D$250,0)</f>
        <v/>
      </c>
      <c r="AK52" s="41">
        <f>IF(OR(AJ52&gt;0,AND(AK$3&gt;=Assumptions!$E$250,AK$3&gt;=Assumptions!$B$14,Revenue_Build!AK10&gt;=Assumptions!$F$250*Assumptions!$B$55)),Assumptions!$D$250,0)</f>
        <v/>
      </c>
      <c r="AL52" s="41">
        <f>IF(OR(AK52&gt;0,AND(AL$3&gt;=Assumptions!$E$250,AL$3&gt;=Assumptions!$B$14,Revenue_Build!AL10&gt;=Assumptions!$F$250*Assumptions!$B$55)),Assumptions!$D$250,0)</f>
        <v/>
      </c>
      <c r="AM52" s="41">
        <f>IF(OR(AL52&gt;0,AND(AM$3&gt;=Assumptions!$E$250,AM$3&gt;=Assumptions!$B$14,Revenue_Build!AM10&gt;=Assumptions!$F$250*Assumptions!$B$55)),Assumptions!$D$250,0)</f>
        <v/>
      </c>
      <c r="AN52" s="41">
        <f>IF(OR(AM52&gt;0,AND(AN$3&gt;=Assumptions!$E$250,AN$3&gt;=Assumptions!$B$14,Revenue_Build!AN10&gt;=Assumptions!$F$250*Assumptions!$B$55)),Assumptions!$D$250,0)</f>
        <v/>
      </c>
      <c r="AO52" s="41">
        <f>IF(OR(AN52&gt;0,AND(AO$3&gt;=Assumptions!$E$250,AO$3&gt;=Assumptions!$B$14,Revenue_Build!AO10&gt;=Assumptions!$F$250*Assumptions!$B$55)),Assumptions!$D$250,0)</f>
        <v/>
      </c>
      <c r="AP52" s="41">
        <f>IF(OR(AO52&gt;0,AND(AP$3&gt;=Assumptions!$E$250,AP$3&gt;=Assumptions!$B$14,Revenue_Build!AP10&gt;=Assumptions!$F$250*Assumptions!$B$55)),Assumptions!$D$250,0)</f>
        <v/>
      </c>
      <c r="AQ52" s="41">
        <f>IF(OR(AP52&gt;0,AND(AQ$3&gt;=Assumptions!$E$250,AQ$3&gt;=Assumptions!$B$14,Revenue_Build!AQ10&gt;=Assumptions!$F$250*Assumptions!$B$55)),Assumptions!$D$250,0)</f>
        <v/>
      </c>
      <c r="AR52" s="41">
        <f>IF(OR(AQ52&gt;0,AND(AR$3&gt;=Assumptions!$E$250,AR$3&gt;=Assumptions!$B$14,Revenue_Build!AR10&gt;=Assumptions!$F$250*Assumptions!$B$55)),Assumptions!$D$250,0)</f>
        <v/>
      </c>
      <c r="AS52" s="41">
        <f>IF(OR(AR52&gt;0,AND(AS$3&gt;=Assumptions!$E$250,AS$3&gt;=Assumptions!$B$14,Revenue_Build!AS10&gt;=Assumptions!$F$250*Assumptions!$B$55)),Assumptions!$D$250,0)</f>
        <v/>
      </c>
      <c r="AT52" s="41">
        <f>IF(OR(AS52&gt;0,AND(AT$3&gt;=Assumptions!$E$250,AT$3&gt;=Assumptions!$B$14,Revenue_Build!AT10&gt;=Assumptions!$F$250*Assumptions!$B$55)),Assumptions!$D$250,0)</f>
        <v/>
      </c>
      <c r="AU52" s="41">
        <f>IF(OR(AT52&gt;0,AND(AU$3&gt;=Assumptions!$E$250,AU$3&gt;=Assumptions!$B$14,Revenue_Build!AU10&gt;=Assumptions!$F$250*Assumptions!$B$55)),Assumptions!$D$250,0)</f>
        <v/>
      </c>
      <c r="AV52" s="41">
        <f>IF(OR(AU52&gt;0,AND(AV$3&gt;=Assumptions!$E$250,AV$3&gt;=Assumptions!$B$14,Revenue_Build!AV10&gt;=Assumptions!$F$250*Assumptions!$B$55)),Assumptions!$D$250,0)</f>
        <v/>
      </c>
      <c r="AW52" s="41">
        <f>IF(OR(AV52&gt;0,AND(AW$3&gt;=Assumptions!$E$250,AW$3&gt;=Assumptions!$B$14,Revenue_Build!AW10&gt;=Assumptions!$F$250*Assumptions!$B$55)),Assumptions!$D$250,0)</f>
        <v/>
      </c>
      <c r="AX52" s="41">
        <f>IF(OR(AW52&gt;0,AND(AX$3&gt;=Assumptions!$E$250,AX$3&gt;=Assumptions!$B$14,Revenue_Build!AX10&gt;=Assumptions!$F$250*Assumptions!$B$55)),Assumptions!$D$250,0)</f>
        <v/>
      </c>
      <c r="AY52" s="41">
        <f>IF(OR(AX52&gt;0,AND(AY$3&gt;=Assumptions!$E$250,AY$3&gt;=Assumptions!$B$14,Revenue_Build!AY10&gt;=Assumptions!$F$250*Assumptions!$B$55)),Assumptions!$D$250,0)</f>
        <v/>
      </c>
      <c r="AZ52" s="41">
        <f>IF(OR(AY52&gt;0,AND(AZ$3&gt;=Assumptions!$E$250,AZ$3&gt;=Assumptions!$B$14,Revenue_Build!AZ10&gt;=Assumptions!$F$250*Assumptions!$B$55)),Assumptions!$D$250,0)</f>
        <v/>
      </c>
      <c r="BA52" s="41">
        <f>IF(OR(AZ52&gt;0,AND(BA$3&gt;=Assumptions!$E$250,BA$3&gt;=Assumptions!$B$14,Revenue_Build!BA10&gt;=Assumptions!$F$250*Assumptions!$B$55)),Assumptions!$D$250,0)</f>
        <v/>
      </c>
      <c r="BB52" s="41">
        <f>IF(OR(BA52&gt;0,AND(BB$3&gt;=Assumptions!$E$250,BB$3&gt;=Assumptions!$B$14,Revenue_Build!BB10&gt;=Assumptions!$F$250*Assumptions!$B$55)),Assumptions!$D$250,0)</f>
        <v/>
      </c>
      <c r="BC52" s="41">
        <f>IF(OR(BB52&gt;0,AND(BC$3&gt;=Assumptions!$E$250,BC$3&gt;=Assumptions!$B$14,Revenue_Build!BC10&gt;=Assumptions!$F$250*Assumptions!$B$55)),Assumptions!$D$250,0)</f>
        <v/>
      </c>
      <c r="BD52" s="41">
        <f>IF(OR(BC52&gt;0,AND(BD$3&gt;=Assumptions!$E$250,BD$3&gt;=Assumptions!$B$14,Revenue_Build!BD10&gt;=Assumptions!$F$250*Assumptions!$B$55)),Assumptions!$D$250,0)</f>
        <v/>
      </c>
      <c r="BE52" s="41">
        <f>IF(OR(BD52&gt;0,AND(BE$3&gt;=Assumptions!$E$250,BE$3&gt;=Assumptions!$B$14,Revenue_Build!BE10&gt;=Assumptions!$F$250*Assumptions!$B$55)),Assumptions!$D$250,0)</f>
        <v/>
      </c>
      <c r="BF52" s="41">
        <f>IF(OR(BE52&gt;0,AND(BF$3&gt;=Assumptions!$E$250,BF$3&gt;=Assumptions!$B$14,Revenue_Build!BF10&gt;=Assumptions!$F$250*Assumptions!$B$55)),Assumptions!$D$250,0)</f>
        <v/>
      </c>
      <c r="BG52" s="41">
        <f>IF(OR(BF52&gt;0,AND(BG$3&gt;=Assumptions!$E$250,BG$3&gt;=Assumptions!$B$14,Revenue_Build!BG10&gt;=Assumptions!$F$250*Assumptions!$B$55)),Assumptions!$D$250,0)</f>
        <v/>
      </c>
      <c r="BH52" s="41">
        <f>IF(OR(BG52&gt;0,AND(BH$3&gt;=Assumptions!$E$250,BH$3&gt;=Assumptions!$B$14,Revenue_Build!BH10&gt;=Assumptions!$F$250*Assumptions!$B$55)),Assumptions!$D$250,0)</f>
        <v/>
      </c>
      <c r="BI52" s="41">
        <f>IF(OR(BH52&gt;0,AND(BI$3&gt;=Assumptions!$E$250,BI$3&gt;=Assumptions!$B$14,Revenue_Build!BI10&gt;=Assumptions!$F$250*Assumptions!$B$55)),Assumptions!$D$250,0)</f>
        <v/>
      </c>
      <c r="BJ52" s="41">
        <f>IF(OR(BI52&gt;0,AND(BJ$3&gt;=Assumptions!$E$250,BJ$3&gt;=Assumptions!$B$14,Revenue_Build!BJ10&gt;=Assumptions!$F$250*Assumptions!$B$55)),Assumptions!$D$250,0)</f>
        <v/>
      </c>
    </row>
    <row r="53">
      <c r="A53" s="4" t="inlineStr">
        <is>
          <t>Finance analyst</t>
        </is>
      </c>
      <c r="B53" s="17" t="inlineStr">
        <is>
          <t>FTE</t>
        </is>
      </c>
      <c r="C53" s="41">
        <f>IF(AND(C$3&gt;=Assumptions!$E$251,C$3&gt;=Assumptions!$B$14,Revenue_Build!C10&gt;=Assumptions!$F$251*Assumptions!$B$55),Assumptions!$D$251,0)</f>
        <v/>
      </c>
      <c r="D53" s="41">
        <f>IF(OR(C53&gt;0,AND(D$3&gt;=Assumptions!$E$251,D$3&gt;=Assumptions!$B$14,Revenue_Build!D10&gt;=Assumptions!$F$251*Assumptions!$B$55)),Assumptions!$D$251,0)</f>
        <v/>
      </c>
      <c r="E53" s="41">
        <f>IF(OR(D53&gt;0,AND(E$3&gt;=Assumptions!$E$251,E$3&gt;=Assumptions!$B$14,Revenue_Build!E10&gt;=Assumptions!$F$251*Assumptions!$B$55)),Assumptions!$D$251,0)</f>
        <v/>
      </c>
      <c r="F53" s="41">
        <f>IF(OR(E53&gt;0,AND(F$3&gt;=Assumptions!$E$251,F$3&gt;=Assumptions!$B$14,Revenue_Build!F10&gt;=Assumptions!$F$251*Assumptions!$B$55)),Assumptions!$D$251,0)</f>
        <v/>
      </c>
      <c r="G53" s="41">
        <f>IF(OR(F53&gt;0,AND(G$3&gt;=Assumptions!$E$251,G$3&gt;=Assumptions!$B$14,Revenue_Build!G10&gt;=Assumptions!$F$251*Assumptions!$B$55)),Assumptions!$D$251,0)</f>
        <v/>
      </c>
      <c r="H53" s="41">
        <f>IF(OR(G53&gt;0,AND(H$3&gt;=Assumptions!$E$251,H$3&gt;=Assumptions!$B$14,Revenue_Build!H10&gt;=Assumptions!$F$251*Assumptions!$B$55)),Assumptions!$D$251,0)</f>
        <v/>
      </c>
      <c r="I53" s="41">
        <f>IF(OR(H53&gt;0,AND(I$3&gt;=Assumptions!$E$251,I$3&gt;=Assumptions!$B$14,Revenue_Build!I10&gt;=Assumptions!$F$251*Assumptions!$B$55)),Assumptions!$D$251,0)</f>
        <v/>
      </c>
      <c r="J53" s="41">
        <f>IF(OR(I53&gt;0,AND(J$3&gt;=Assumptions!$E$251,J$3&gt;=Assumptions!$B$14,Revenue_Build!J10&gt;=Assumptions!$F$251*Assumptions!$B$55)),Assumptions!$D$251,0)</f>
        <v/>
      </c>
      <c r="K53" s="41">
        <f>IF(OR(J53&gt;0,AND(K$3&gt;=Assumptions!$E$251,K$3&gt;=Assumptions!$B$14,Revenue_Build!K10&gt;=Assumptions!$F$251*Assumptions!$B$55)),Assumptions!$D$251,0)</f>
        <v/>
      </c>
      <c r="L53" s="41">
        <f>IF(OR(K53&gt;0,AND(L$3&gt;=Assumptions!$E$251,L$3&gt;=Assumptions!$B$14,Revenue_Build!L10&gt;=Assumptions!$F$251*Assumptions!$B$55)),Assumptions!$D$251,0)</f>
        <v/>
      </c>
      <c r="M53" s="41">
        <f>IF(OR(L53&gt;0,AND(M$3&gt;=Assumptions!$E$251,M$3&gt;=Assumptions!$B$14,Revenue_Build!M10&gt;=Assumptions!$F$251*Assumptions!$B$55)),Assumptions!$D$251,0)</f>
        <v/>
      </c>
      <c r="N53" s="41">
        <f>IF(OR(M53&gt;0,AND(N$3&gt;=Assumptions!$E$251,N$3&gt;=Assumptions!$B$14,Revenue_Build!N10&gt;=Assumptions!$F$251*Assumptions!$B$55)),Assumptions!$D$251,0)</f>
        <v/>
      </c>
      <c r="O53" s="41">
        <f>IF(OR(N53&gt;0,AND(O$3&gt;=Assumptions!$E$251,O$3&gt;=Assumptions!$B$14,Revenue_Build!O10&gt;=Assumptions!$F$251*Assumptions!$B$55)),Assumptions!$D$251,0)</f>
        <v/>
      </c>
      <c r="P53" s="41">
        <f>IF(OR(O53&gt;0,AND(P$3&gt;=Assumptions!$E$251,P$3&gt;=Assumptions!$B$14,Revenue_Build!P10&gt;=Assumptions!$F$251*Assumptions!$B$55)),Assumptions!$D$251,0)</f>
        <v/>
      </c>
      <c r="Q53" s="41">
        <f>IF(OR(P53&gt;0,AND(Q$3&gt;=Assumptions!$E$251,Q$3&gt;=Assumptions!$B$14,Revenue_Build!Q10&gt;=Assumptions!$F$251*Assumptions!$B$55)),Assumptions!$D$251,0)</f>
        <v/>
      </c>
      <c r="R53" s="41">
        <f>IF(OR(Q53&gt;0,AND(R$3&gt;=Assumptions!$E$251,R$3&gt;=Assumptions!$B$14,Revenue_Build!R10&gt;=Assumptions!$F$251*Assumptions!$B$55)),Assumptions!$D$251,0)</f>
        <v/>
      </c>
      <c r="S53" s="41">
        <f>IF(OR(R53&gt;0,AND(S$3&gt;=Assumptions!$E$251,S$3&gt;=Assumptions!$B$14,Revenue_Build!S10&gt;=Assumptions!$F$251*Assumptions!$B$55)),Assumptions!$D$251,0)</f>
        <v/>
      </c>
      <c r="T53" s="41">
        <f>IF(OR(S53&gt;0,AND(T$3&gt;=Assumptions!$E$251,T$3&gt;=Assumptions!$B$14,Revenue_Build!T10&gt;=Assumptions!$F$251*Assumptions!$B$55)),Assumptions!$D$251,0)</f>
        <v/>
      </c>
      <c r="U53" s="41">
        <f>IF(OR(T53&gt;0,AND(U$3&gt;=Assumptions!$E$251,U$3&gt;=Assumptions!$B$14,Revenue_Build!U10&gt;=Assumptions!$F$251*Assumptions!$B$55)),Assumptions!$D$251,0)</f>
        <v/>
      </c>
      <c r="V53" s="41">
        <f>IF(OR(U53&gt;0,AND(V$3&gt;=Assumptions!$E$251,V$3&gt;=Assumptions!$B$14,Revenue_Build!V10&gt;=Assumptions!$F$251*Assumptions!$B$55)),Assumptions!$D$251,0)</f>
        <v/>
      </c>
      <c r="W53" s="41">
        <f>IF(OR(V53&gt;0,AND(W$3&gt;=Assumptions!$E$251,W$3&gt;=Assumptions!$B$14,Revenue_Build!W10&gt;=Assumptions!$F$251*Assumptions!$B$55)),Assumptions!$D$251,0)</f>
        <v/>
      </c>
      <c r="X53" s="41">
        <f>IF(OR(W53&gt;0,AND(X$3&gt;=Assumptions!$E$251,X$3&gt;=Assumptions!$B$14,Revenue_Build!X10&gt;=Assumptions!$F$251*Assumptions!$B$55)),Assumptions!$D$251,0)</f>
        <v/>
      </c>
      <c r="Y53" s="41">
        <f>IF(OR(X53&gt;0,AND(Y$3&gt;=Assumptions!$E$251,Y$3&gt;=Assumptions!$B$14,Revenue_Build!Y10&gt;=Assumptions!$F$251*Assumptions!$B$55)),Assumptions!$D$251,0)</f>
        <v/>
      </c>
      <c r="Z53" s="41">
        <f>IF(OR(Y53&gt;0,AND(Z$3&gt;=Assumptions!$E$251,Z$3&gt;=Assumptions!$B$14,Revenue_Build!Z10&gt;=Assumptions!$F$251*Assumptions!$B$55)),Assumptions!$D$251,0)</f>
        <v/>
      </c>
      <c r="AA53" s="41">
        <f>IF(OR(Z53&gt;0,AND(AA$3&gt;=Assumptions!$E$251,AA$3&gt;=Assumptions!$B$14,Revenue_Build!AA10&gt;=Assumptions!$F$251*Assumptions!$B$55)),Assumptions!$D$251,0)</f>
        <v/>
      </c>
      <c r="AB53" s="41">
        <f>IF(OR(AA53&gt;0,AND(AB$3&gt;=Assumptions!$E$251,AB$3&gt;=Assumptions!$B$14,Revenue_Build!AB10&gt;=Assumptions!$F$251*Assumptions!$B$55)),Assumptions!$D$251,0)</f>
        <v/>
      </c>
      <c r="AC53" s="41">
        <f>IF(OR(AB53&gt;0,AND(AC$3&gt;=Assumptions!$E$251,AC$3&gt;=Assumptions!$B$14,Revenue_Build!AC10&gt;=Assumptions!$F$251*Assumptions!$B$55)),Assumptions!$D$251,0)</f>
        <v/>
      </c>
      <c r="AD53" s="41">
        <f>IF(OR(AC53&gt;0,AND(AD$3&gt;=Assumptions!$E$251,AD$3&gt;=Assumptions!$B$14,Revenue_Build!AD10&gt;=Assumptions!$F$251*Assumptions!$B$55)),Assumptions!$D$251,0)</f>
        <v/>
      </c>
      <c r="AE53" s="41">
        <f>IF(OR(AD53&gt;0,AND(AE$3&gt;=Assumptions!$E$251,AE$3&gt;=Assumptions!$B$14,Revenue_Build!AE10&gt;=Assumptions!$F$251*Assumptions!$B$55)),Assumptions!$D$251,0)</f>
        <v/>
      </c>
      <c r="AF53" s="41">
        <f>IF(OR(AE53&gt;0,AND(AF$3&gt;=Assumptions!$E$251,AF$3&gt;=Assumptions!$B$14,Revenue_Build!AF10&gt;=Assumptions!$F$251*Assumptions!$B$55)),Assumptions!$D$251,0)</f>
        <v/>
      </c>
      <c r="AG53" s="41">
        <f>IF(OR(AF53&gt;0,AND(AG$3&gt;=Assumptions!$E$251,AG$3&gt;=Assumptions!$B$14,Revenue_Build!AG10&gt;=Assumptions!$F$251*Assumptions!$B$55)),Assumptions!$D$251,0)</f>
        <v/>
      </c>
      <c r="AH53" s="41">
        <f>IF(OR(AG53&gt;0,AND(AH$3&gt;=Assumptions!$E$251,AH$3&gt;=Assumptions!$B$14,Revenue_Build!AH10&gt;=Assumptions!$F$251*Assumptions!$B$55)),Assumptions!$D$251,0)</f>
        <v/>
      </c>
      <c r="AI53" s="41">
        <f>IF(OR(AH53&gt;0,AND(AI$3&gt;=Assumptions!$E$251,AI$3&gt;=Assumptions!$B$14,Revenue_Build!AI10&gt;=Assumptions!$F$251*Assumptions!$B$55)),Assumptions!$D$251,0)</f>
        <v/>
      </c>
      <c r="AJ53" s="41">
        <f>IF(OR(AI53&gt;0,AND(AJ$3&gt;=Assumptions!$E$251,AJ$3&gt;=Assumptions!$B$14,Revenue_Build!AJ10&gt;=Assumptions!$F$251*Assumptions!$B$55)),Assumptions!$D$251,0)</f>
        <v/>
      </c>
      <c r="AK53" s="41">
        <f>IF(OR(AJ53&gt;0,AND(AK$3&gt;=Assumptions!$E$251,AK$3&gt;=Assumptions!$B$14,Revenue_Build!AK10&gt;=Assumptions!$F$251*Assumptions!$B$55)),Assumptions!$D$251,0)</f>
        <v/>
      </c>
      <c r="AL53" s="41">
        <f>IF(OR(AK53&gt;0,AND(AL$3&gt;=Assumptions!$E$251,AL$3&gt;=Assumptions!$B$14,Revenue_Build!AL10&gt;=Assumptions!$F$251*Assumptions!$B$55)),Assumptions!$D$251,0)</f>
        <v/>
      </c>
      <c r="AM53" s="41">
        <f>IF(OR(AL53&gt;0,AND(AM$3&gt;=Assumptions!$E$251,AM$3&gt;=Assumptions!$B$14,Revenue_Build!AM10&gt;=Assumptions!$F$251*Assumptions!$B$55)),Assumptions!$D$251,0)</f>
        <v/>
      </c>
      <c r="AN53" s="41">
        <f>IF(OR(AM53&gt;0,AND(AN$3&gt;=Assumptions!$E$251,AN$3&gt;=Assumptions!$B$14,Revenue_Build!AN10&gt;=Assumptions!$F$251*Assumptions!$B$55)),Assumptions!$D$251,0)</f>
        <v/>
      </c>
      <c r="AO53" s="41">
        <f>IF(OR(AN53&gt;0,AND(AO$3&gt;=Assumptions!$E$251,AO$3&gt;=Assumptions!$B$14,Revenue_Build!AO10&gt;=Assumptions!$F$251*Assumptions!$B$55)),Assumptions!$D$251,0)</f>
        <v/>
      </c>
      <c r="AP53" s="41">
        <f>IF(OR(AO53&gt;0,AND(AP$3&gt;=Assumptions!$E$251,AP$3&gt;=Assumptions!$B$14,Revenue_Build!AP10&gt;=Assumptions!$F$251*Assumptions!$B$55)),Assumptions!$D$251,0)</f>
        <v/>
      </c>
      <c r="AQ53" s="41">
        <f>IF(OR(AP53&gt;0,AND(AQ$3&gt;=Assumptions!$E$251,AQ$3&gt;=Assumptions!$B$14,Revenue_Build!AQ10&gt;=Assumptions!$F$251*Assumptions!$B$55)),Assumptions!$D$251,0)</f>
        <v/>
      </c>
      <c r="AR53" s="41">
        <f>IF(OR(AQ53&gt;0,AND(AR$3&gt;=Assumptions!$E$251,AR$3&gt;=Assumptions!$B$14,Revenue_Build!AR10&gt;=Assumptions!$F$251*Assumptions!$B$55)),Assumptions!$D$251,0)</f>
        <v/>
      </c>
      <c r="AS53" s="41">
        <f>IF(OR(AR53&gt;0,AND(AS$3&gt;=Assumptions!$E$251,AS$3&gt;=Assumptions!$B$14,Revenue_Build!AS10&gt;=Assumptions!$F$251*Assumptions!$B$55)),Assumptions!$D$251,0)</f>
        <v/>
      </c>
      <c r="AT53" s="41">
        <f>IF(OR(AS53&gt;0,AND(AT$3&gt;=Assumptions!$E$251,AT$3&gt;=Assumptions!$B$14,Revenue_Build!AT10&gt;=Assumptions!$F$251*Assumptions!$B$55)),Assumptions!$D$251,0)</f>
        <v/>
      </c>
      <c r="AU53" s="41">
        <f>IF(OR(AT53&gt;0,AND(AU$3&gt;=Assumptions!$E$251,AU$3&gt;=Assumptions!$B$14,Revenue_Build!AU10&gt;=Assumptions!$F$251*Assumptions!$B$55)),Assumptions!$D$251,0)</f>
        <v/>
      </c>
      <c r="AV53" s="41">
        <f>IF(OR(AU53&gt;0,AND(AV$3&gt;=Assumptions!$E$251,AV$3&gt;=Assumptions!$B$14,Revenue_Build!AV10&gt;=Assumptions!$F$251*Assumptions!$B$55)),Assumptions!$D$251,0)</f>
        <v/>
      </c>
      <c r="AW53" s="41">
        <f>IF(OR(AV53&gt;0,AND(AW$3&gt;=Assumptions!$E$251,AW$3&gt;=Assumptions!$B$14,Revenue_Build!AW10&gt;=Assumptions!$F$251*Assumptions!$B$55)),Assumptions!$D$251,0)</f>
        <v/>
      </c>
      <c r="AX53" s="41">
        <f>IF(OR(AW53&gt;0,AND(AX$3&gt;=Assumptions!$E$251,AX$3&gt;=Assumptions!$B$14,Revenue_Build!AX10&gt;=Assumptions!$F$251*Assumptions!$B$55)),Assumptions!$D$251,0)</f>
        <v/>
      </c>
      <c r="AY53" s="41">
        <f>IF(OR(AX53&gt;0,AND(AY$3&gt;=Assumptions!$E$251,AY$3&gt;=Assumptions!$B$14,Revenue_Build!AY10&gt;=Assumptions!$F$251*Assumptions!$B$55)),Assumptions!$D$251,0)</f>
        <v/>
      </c>
      <c r="AZ53" s="41">
        <f>IF(OR(AY53&gt;0,AND(AZ$3&gt;=Assumptions!$E$251,AZ$3&gt;=Assumptions!$B$14,Revenue_Build!AZ10&gt;=Assumptions!$F$251*Assumptions!$B$55)),Assumptions!$D$251,0)</f>
        <v/>
      </c>
      <c r="BA53" s="41">
        <f>IF(OR(AZ53&gt;0,AND(BA$3&gt;=Assumptions!$E$251,BA$3&gt;=Assumptions!$B$14,Revenue_Build!BA10&gt;=Assumptions!$F$251*Assumptions!$B$55)),Assumptions!$D$251,0)</f>
        <v/>
      </c>
      <c r="BB53" s="41">
        <f>IF(OR(BA53&gt;0,AND(BB$3&gt;=Assumptions!$E$251,BB$3&gt;=Assumptions!$B$14,Revenue_Build!BB10&gt;=Assumptions!$F$251*Assumptions!$B$55)),Assumptions!$D$251,0)</f>
        <v/>
      </c>
      <c r="BC53" s="41">
        <f>IF(OR(BB53&gt;0,AND(BC$3&gt;=Assumptions!$E$251,BC$3&gt;=Assumptions!$B$14,Revenue_Build!BC10&gt;=Assumptions!$F$251*Assumptions!$B$55)),Assumptions!$D$251,0)</f>
        <v/>
      </c>
      <c r="BD53" s="41">
        <f>IF(OR(BC53&gt;0,AND(BD$3&gt;=Assumptions!$E$251,BD$3&gt;=Assumptions!$B$14,Revenue_Build!BD10&gt;=Assumptions!$F$251*Assumptions!$B$55)),Assumptions!$D$251,0)</f>
        <v/>
      </c>
      <c r="BE53" s="41">
        <f>IF(OR(BD53&gt;0,AND(BE$3&gt;=Assumptions!$E$251,BE$3&gt;=Assumptions!$B$14,Revenue_Build!BE10&gt;=Assumptions!$F$251*Assumptions!$B$55)),Assumptions!$D$251,0)</f>
        <v/>
      </c>
      <c r="BF53" s="41">
        <f>IF(OR(BE53&gt;0,AND(BF$3&gt;=Assumptions!$E$251,BF$3&gt;=Assumptions!$B$14,Revenue_Build!BF10&gt;=Assumptions!$F$251*Assumptions!$B$55)),Assumptions!$D$251,0)</f>
        <v/>
      </c>
      <c r="BG53" s="41">
        <f>IF(OR(BF53&gt;0,AND(BG$3&gt;=Assumptions!$E$251,BG$3&gt;=Assumptions!$B$14,Revenue_Build!BG10&gt;=Assumptions!$F$251*Assumptions!$B$55)),Assumptions!$D$251,0)</f>
        <v/>
      </c>
      <c r="BH53" s="41">
        <f>IF(OR(BG53&gt;0,AND(BH$3&gt;=Assumptions!$E$251,BH$3&gt;=Assumptions!$B$14,Revenue_Build!BH10&gt;=Assumptions!$F$251*Assumptions!$B$55)),Assumptions!$D$251,0)</f>
        <v/>
      </c>
      <c r="BI53" s="41">
        <f>IF(OR(BH53&gt;0,AND(BI$3&gt;=Assumptions!$E$251,BI$3&gt;=Assumptions!$B$14,Revenue_Build!BI10&gt;=Assumptions!$F$251*Assumptions!$B$55)),Assumptions!$D$251,0)</f>
        <v/>
      </c>
      <c r="BJ53" s="41">
        <f>IF(OR(BI53&gt;0,AND(BJ$3&gt;=Assumptions!$E$251,BJ$3&gt;=Assumptions!$B$14,Revenue_Build!BJ10&gt;=Assumptions!$F$251*Assumptions!$B$55)),Assumptions!$D$251,0)</f>
        <v/>
      </c>
    </row>
    <row r="54">
      <c r="A54" s="4" t="inlineStr">
        <is>
          <t>CFO</t>
        </is>
      </c>
      <c r="B54" s="17" t="inlineStr">
        <is>
          <t>FTE</t>
        </is>
      </c>
      <c r="C54" s="41">
        <f>IF(AND(C$3&gt;=Assumptions!$E$252,C$3&gt;=Assumptions!$B$14,Revenue_Build!C10&gt;=Assumptions!$F$252*Assumptions!$B$55),Assumptions!$D$252,0)</f>
        <v/>
      </c>
      <c r="D54" s="41">
        <f>IF(OR(C54&gt;0,AND(D$3&gt;=Assumptions!$E$252,D$3&gt;=Assumptions!$B$14,Revenue_Build!D10&gt;=Assumptions!$F$252*Assumptions!$B$55)),Assumptions!$D$252,0)</f>
        <v/>
      </c>
      <c r="E54" s="41">
        <f>IF(OR(D54&gt;0,AND(E$3&gt;=Assumptions!$E$252,E$3&gt;=Assumptions!$B$14,Revenue_Build!E10&gt;=Assumptions!$F$252*Assumptions!$B$55)),Assumptions!$D$252,0)</f>
        <v/>
      </c>
      <c r="F54" s="41">
        <f>IF(OR(E54&gt;0,AND(F$3&gt;=Assumptions!$E$252,F$3&gt;=Assumptions!$B$14,Revenue_Build!F10&gt;=Assumptions!$F$252*Assumptions!$B$55)),Assumptions!$D$252,0)</f>
        <v/>
      </c>
      <c r="G54" s="41">
        <f>IF(OR(F54&gt;0,AND(G$3&gt;=Assumptions!$E$252,G$3&gt;=Assumptions!$B$14,Revenue_Build!G10&gt;=Assumptions!$F$252*Assumptions!$B$55)),Assumptions!$D$252,0)</f>
        <v/>
      </c>
      <c r="H54" s="41">
        <f>IF(OR(G54&gt;0,AND(H$3&gt;=Assumptions!$E$252,H$3&gt;=Assumptions!$B$14,Revenue_Build!H10&gt;=Assumptions!$F$252*Assumptions!$B$55)),Assumptions!$D$252,0)</f>
        <v/>
      </c>
      <c r="I54" s="41">
        <f>IF(OR(H54&gt;0,AND(I$3&gt;=Assumptions!$E$252,I$3&gt;=Assumptions!$B$14,Revenue_Build!I10&gt;=Assumptions!$F$252*Assumptions!$B$55)),Assumptions!$D$252,0)</f>
        <v/>
      </c>
      <c r="J54" s="41">
        <f>IF(OR(I54&gt;0,AND(J$3&gt;=Assumptions!$E$252,J$3&gt;=Assumptions!$B$14,Revenue_Build!J10&gt;=Assumptions!$F$252*Assumptions!$B$55)),Assumptions!$D$252,0)</f>
        <v/>
      </c>
      <c r="K54" s="41">
        <f>IF(OR(J54&gt;0,AND(K$3&gt;=Assumptions!$E$252,K$3&gt;=Assumptions!$B$14,Revenue_Build!K10&gt;=Assumptions!$F$252*Assumptions!$B$55)),Assumptions!$D$252,0)</f>
        <v/>
      </c>
      <c r="L54" s="41">
        <f>IF(OR(K54&gt;0,AND(L$3&gt;=Assumptions!$E$252,L$3&gt;=Assumptions!$B$14,Revenue_Build!L10&gt;=Assumptions!$F$252*Assumptions!$B$55)),Assumptions!$D$252,0)</f>
        <v/>
      </c>
      <c r="M54" s="41">
        <f>IF(OR(L54&gt;0,AND(M$3&gt;=Assumptions!$E$252,M$3&gt;=Assumptions!$B$14,Revenue_Build!M10&gt;=Assumptions!$F$252*Assumptions!$B$55)),Assumptions!$D$252,0)</f>
        <v/>
      </c>
      <c r="N54" s="41">
        <f>IF(OR(M54&gt;0,AND(N$3&gt;=Assumptions!$E$252,N$3&gt;=Assumptions!$B$14,Revenue_Build!N10&gt;=Assumptions!$F$252*Assumptions!$B$55)),Assumptions!$D$252,0)</f>
        <v/>
      </c>
      <c r="O54" s="41">
        <f>IF(OR(N54&gt;0,AND(O$3&gt;=Assumptions!$E$252,O$3&gt;=Assumptions!$B$14,Revenue_Build!O10&gt;=Assumptions!$F$252*Assumptions!$B$55)),Assumptions!$D$252,0)</f>
        <v/>
      </c>
      <c r="P54" s="41">
        <f>IF(OR(O54&gt;0,AND(P$3&gt;=Assumptions!$E$252,P$3&gt;=Assumptions!$B$14,Revenue_Build!P10&gt;=Assumptions!$F$252*Assumptions!$B$55)),Assumptions!$D$252,0)</f>
        <v/>
      </c>
      <c r="Q54" s="41">
        <f>IF(OR(P54&gt;0,AND(Q$3&gt;=Assumptions!$E$252,Q$3&gt;=Assumptions!$B$14,Revenue_Build!Q10&gt;=Assumptions!$F$252*Assumptions!$B$55)),Assumptions!$D$252,0)</f>
        <v/>
      </c>
      <c r="R54" s="41">
        <f>IF(OR(Q54&gt;0,AND(R$3&gt;=Assumptions!$E$252,R$3&gt;=Assumptions!$B$14,Revenue_Build!R10&gt;=Assumptions!$F$252*Assumptions!$B$55)),Assumptions!$D$252,0)</f>
        <v/>
      </c>
      <c r="S54" s="41">
        <f>IF(OR(R54&gt;0,AND(S$3&gt;=Assumptions!$E$252,S$3&gt;=Assumptions!$B$14,Revenue_Build!S10&gt;=Assumptions!$F$252*Assumptions!$B$55)),Assumptions!$D$252,0)</f>
        <v/>
      </c>
      <c r="T54" s="41">
        <f>IF(OR(S54&gt;0,AND(T$3&gt;=Assumptions!$E$252,T$3&gt;=Assumptions!$B$14,Revenue_Build!T10&gt;=Assumptions!$F$252*Assumptions!$B$55)),Assumptions!$D$252,0)</f>
        <v/>
      </c>
      <c r="U54" s="41">
        <f>IF(OR(T54&gt;0,AND(U$3&gt;=Assumptions!$E$252,U$3&gt;=Assumptions!$B$14,Revenue_Build!U10&gt;=Assumptions!$F$252*Assumptions!$B$55)),Assumptions!$D$252,0)</f>
        <v/>
      </c>
      <c r="V54" s="41">
        <f>IF(OR(U54&gt;0,AND(V$3&gt;=Assumptions!$E$252,V$3&gt;=Assumptions!$B$14,Revenue_Build!V10&gt;=Assumptions!$F$252*Assumptions!$B$55)),Assumptions!$D$252,0)</f>
        <v/>
      </c>
      <c r="W54" s="41">
        <f>IF(OR(V54&gt;0,AND(W$3&gt;=Assumptions!$E$252,W$3&gt;=Assumptions!$B$14,Revenue_Build!W10&gt;=Assumptions!$F$252*Assumptions!$B$55)),Assumptions!$D$252,0)</f>
        <v/>
      </c>
      <c r="X54" s="41">
        <f>IF(OR(W54&gt;0,AND(X$3&gt;=Assumptions!$E$252,X$3&gt;=Assumptions!$B$14,Revenue_Build!X10&gt;=Assumptions!$F$252*Assumptions!$B$55)),Assumptions!$D$252,0)</f>
        <v/>
      </c>
      <c r="Y54" s="41">
        <f>IF(OR(X54&gt;0,AND(Y$3&gt;=Assumptions!$E$252,Y$3&gt;=Assumptions!$B$14,Revenue_Build!Y10&gt;=Assumptions!$F$252*Assumptions!$B$55)),Assumptions!$D$252,0)</f>
        <v/>
      </c>
      <c r="Z54" s="41">
        <f>IF(OR(Y54&gt;0,AND(Z$3&gt;=Assumptions!$E$252,Z$3&gt;=Assumptions!$B$14,Revenue_Build!Z10&gt;=Assumptions!$F$252*Assumptions!$B$55)),Assumptions!$D$252,0)</f>
        <v/>
      </c>
      <c r="AA54" s="41">
        <f>IF(OR(Z54&gt;0,AND(AA$3&gt;=Assumptions!$E$252,AA$3&gt;=Assumptions!$B$14,Revenue_Build!AA10&gt;=Assumptions!$F$252*Assumptions!$B$55)),Assumptions!$D$252,0)</f>
        <v/>
      </c>
      <c r="AB54" s="41">
        <f>IF(OR(AA54&gt;0,AND(AB$3&gt;=Assumptions!$E$252,AB$3&gt;=Assumptions!$B$14,Revenue_Build!AB10&gt;=Assumptions!$F$252*Assumptions!$B$55)),Assumptions!$D$252,0)</f>
        <v/>
      </c>
      <c r="AC54" s="41">
        <f>IF(OR(AB54&gt;0,AND(AC$3&gt;=Assumptions!$E$252,AC$3&gt;=Assumptions!$B$14,Revenue_Build!AC10&gt;=Assumptions!$F$252*Assumptions!$B$55)),Assumptions!$D$252,0)</f>
        <v/>
      </c>
      <c r="AD54" s="41">
        <f>IF(OR(AC54&gt;0,AND(AD$3&gt;=Assumptions!$E$252,AD$3&gt;=Assumptions!$B$14,Revenue_Build!AD10&gt;=Assumptions!$F$252*Assumptions!$B$55)),Assumptions!$D$252,0)</f>
        <v/>
      </c>
      <c r="AE54" s="41">
        <f>IF(OR(AD54&gt;0,AND(AE$3&gt;=Assumptions!$E$252,AE$3&gt;=Assumptions!$B$14,Revenue_Build!AE10&gt;=Assumptions!$F$252*Assumptions!$B$55)),Assumptions!$D$252,0)</f>
        <v/>
      </c>
      <c r="AF54" s="41">
        <f>IF(OR(AE54&gt;0,AND(AF$3&gt;=Assumptions!$E$252,AF$3&gt;=Assumptions!$B$14,Revenue_Build!AF10&gt;=Assumptions!$F$252*Assumptions!$B$55)),Assumptions!$D$252,0)</f>
        <v/>
      </c>
      <c r="AG54" s="41">
        <f>IF(OR(AF54&gt;0,AND(AG$3&gt;=Assumptions!$E$252,AG$3&gt;=Assumptions!$B$14,Revenue_Build!AG10&gt;=Assumptions!$F$252*Assumptions!$B$55)),Assumptions!$D$252,0)</f>
        <v/>
      </c>
      <c r="AH54" s="41">
        <f>IF(OR(AG54&gt;0,AND(AH$3&gt;=Assumptions!$E$252,AH$3&gt;=Assumptions!$B$14,Revenue_Build!AH10&gt;=Assumptions!$F$252*Assumptions!$B$55)),Assumptions!$D$252,0)</f>
        <v/>
      </c>
      <c r="AI54" s="41">
        <f>IF(OR(AH54&gt;0,AND(AI$3&gt;=Assumptions!$E$252,AI$3&gt;=Assumptions!$B$14,Revenue_Build!AI10&gt;=Assumptions!$F$252*Assumptions!$B$55)),Assumptions!$D$252,0)</f>
        <v/>
      </c>
      <c r="AJ54" s="41">
        <f>IF(OR(AI54&gt;0,AND(AJ$3&gt;=Assumptions!$E$252,AJ$3&gt;=Assumptions!$B$14,Revenue_Build!AJ10&gt;=Assumptions!$F$252*Assumptions!$B$55)),Assumptions!$D$252,0)</f>
        <v/>
      </c>
      <c r="AK54" s="41">
        <f>IF(OR(AJ54&gt;0,AND(AK$3&gt;=Assumptions!$E$252,AK$3&gt;=Assumptions!$B$14,Revenue_Build!AK10&gt;=Assumptions!$F$252*Assumptions!$B$55)),Assumptions!$D$252,0)</f>
        <v/>
      </c>
      <c r="AL54" s="41">
        <f>IF(OR(AK54&gt;0,AND(AL$3&gt;=Assumptions!$E$252,AL$3&gt;=Assumptions!$B$14,Revenue_Build!AL10&gt;=Assumptions!$F$252*Assumptions!$B$55)),Assumptions!$D$252,0)</f>
        <v/>
      </c>
      <c r="AM54" s="41">
        <f>IF(OR(AL54&gt;0,AND(AM$3&gt;=Assumptions!$E$252,AM$3&gt;=Assumptions!$B$14,Revenue_Build!AM10&gt;=Assumptions!$F$252*Assumptions!$B$55)),Assumptions!$D$252,0)</f>
        <v/>
      </c>
      <c r="AN54" s="41">
        <f>IF(OR(AM54&gt;0,AND(AN$3&gt;=Assumptions!$E$252,AN$3&gt;=Assumptions!$B$14,Revenue_Build!AN10&gt;=Assumptions!$F$252*Assumptions!$B$55)),Assumptions!$D$252,0)</f>
        <v/>
      </c>
      <c r="AO54" s="41">
        <f>IF(OR(AN54&gt;0,AND(AO$3&gt;=Assumptions!$E$252,AO$3&gt;=Assumptions!$B$14,Revenue_Build!AO10&gt;=Assumptions!$F$252*Assumptions!$B$55)),Assumptions!$D$252,0)</f>
        <v/>
      </c>
      <c r="AP54" s="41">
        <f>IF(OR(AO54&gt;0,AND(AP$3&gt;=Assumptions!$E$252,AP$3&gt;=Assumptions!$B$14,Revenue_Build!AP10&gt;=Assumptions!$F$252*Assumptions!$B$55)),Assumptions!$D$252,0)</f>
        <v/>
      </c>
      <c r="AQ54" s="41">
        <f>IF(OR(AP54&gt;0,AND(AQ$3&gt;=Assumptions!$E$252,AQ$3&gt;=Assumptions!$B$14,Revenue_Build!AQ10&gt;=Assumptions!$F$252*Assumptions!$B$55)),Assumptions!$D$252,0)</f>
        <v/>
      </c>
      <c r="AR54" s="41">
        <f>IF(OR(AQ54&gt;0,AND(AR$3&gt;=Assumptions!$E$252,AR$3&gt;=Assumptions!$B$14,Revenue_Build!AR10&gt;=Assumptions!$F$252*Assumptions!$B$55)),Assumptions!$D$252,0)</f>
        <v/>
      </c>
      <c r="AS54" s="41">
        <f>IF(OR(AR54&gt;0,AND(AS$3&gt;=Assumptions!$E$252,AS$3&gt;=Assumptions!$B$14,Revenue_Build!AS10&gt;=Assumptions!$F$252*Assumptions!$B$55)),Assumptions!$D$252,0)</f>
        <v/>
      </c>
      <c r="AT54" s="41">
        <f>IF(OR(AS54&gt;0,AND(AT$3&gt;=Assumptions!$E$252,AT$3&gt;=Assumptions!$B$14,Revenue_Build!AT10&gt;=Assumptions!$F$252*Assumptions!$B$55)),Assumptions!$D$252,0)</f>
        <v/>
      </c>
      <c r="AU54" s="41">
        <f>IF(OR(AT54&gt;0,AND(AU$3&gt;=Assumptions!$E$252,AU$3&gt;=Assumptions!$B$14,Revenue_Build!AU10&gt;=Assumptions!$F$252*Assumptions!$B$55)),Assumptions!$D$252,0)</f>
        <v/>
      </c>
      <c r="AV54" s="41">
        <f>IF(OR(AU54&gt;0,AND(AV$3&gt;=Assumptions!$E$252,AV$3&gt;=Assumptions!$B$14,Revenue_Build!AV10&gt;=Assumptions!$F$252*Assumptions!$B$55)),Assumptions!$D$252,0)</f>
        <v/>
      </c>
      <c r="AW54" s="41">
        <f>IF(OR(AV54&gt;0,AND(AW$3&gt;=Assumptions!$E$252,AW$3&gt;=Assumptions!$B$14,Revenue_Build!AW10&gt;=Assumptions!$F$252*Assumptions!$B$55)),Assumptions!$D$252,0)</f>
        <v/>
      </c>
      <c r="AX54" s="41">
        <f>IF(OR(AW54&gt;0,AND(AX$3&gt;=Assumptions!$E$252,AX$3&gt;=Assumptions!$B$14,Revenue_Build!AX10&gt;=Assumptions!$F$252*Assumptions!$B$55)),Assumptions!$D$252,0)</f>
        <v/>
      </c>
      <c r="AY54" s="41">
        <f>IF(OR(AX54&gt;0,AND(AY$3&gt;=Assumptions!$E$252,AY$3&gt;=Assumptions!$B$14,Revenue_Build!AY10&gt;=Assumptions!$F$252*Assumptions!$B$55)),Assumptions!$D$252,0)</f>
        <v/>
      </c>
      <c r="AZ54" s="41">
        <f>IF(OR(AY54&gt;0,AND(AZ$3&gt;=Assumptions!$E$252,AZ$3&gt;=Assumptions!$B$14,Revenue_Build!AZ10&gt;=Assumptions!$F$252*Assumptions!$B$55)),Assumptions!$D$252,0)</f>
        <v/>
      </c>
      <c r="BA54" s="41">
        <f>IF(OR(AZ54&gt;0,AND(BA$3&gt;=Assumptions!$E$252,BA$3&gt;=Assumptions!$B$14,Revenue_Build!BA10&gt;=Assumptions!$F$252*Assumptions!$B$55)),Assumptions!$D$252,0)</f>
        <v/>
      </c>
      <c r="BB54" s="41">
        <f>IF(OR(BA54&gt;0,AND(BB$3&gt;=Assumptions!$E$252,BB$3&gt;=Assumptions!$B$14,Revenue_Build!BB10&gt;=Assumptions!$F$252*Assumptions!$B$55)),Assumptions!$D$252,0)</f>
        <v/>
      </c>
      <c r="BC54" s="41">
        <f>IF(OR(BB54&gt;0,AND(BC$3&gt;=Assumptions!$E$252,BC$3&gt;=Assumptions!$B$14,Revenue_Build!BC10&gt;=Assumptions!$F$252*Assumptions!$B$55)),Assumptions!$D$252,0)</f>
        <v/>
      </c>
      <c r="BD54" s="41">
        <f>IF(OR(BC54&gt;0,AND(BD$3&gt;=Assumptions!$E$252,BD$3&gt;=Assumptions!$B$14,Revenue_Build!BD10&gt;=Assumptions!$F$252*Assumptions!$B$55)),Assumptions!$D$252,0)</f>
        <v/>
      </c>
      <c r="BE54" s="41">
        <f>IF(OR(BD54&gt;0,AND(BE$3&gt;=Assumptions!$E$252,BE$3&gt;=Assumptions!$B$14,Revenue_Build!BE10&gt;=Assumptions!$F$252*Assumptions!$B$55)),Assumptions!$D$252,0)</f>
        <v/>
      </c>
      <c r="BF54" s="41">
        <f>IF(OR(BE54&gt;0,AND(BF$3&gt;=Assumptions!$E$252,BF$3&gt;=Assumptions!$B$14,Revenue_Build!BF10&gt;=Assumptions!$F$252*Assumptions!$B$55)),Assumptions!$D$252,0)</f>
        <v/>
      </c>
      <c r="BG54" s="41">
        <f>IF(OR(BF54&gt;0,AND(BG$3&gt;=Assumptions!$E$252,BG$3&gt;=Assumptions!$B$14,Revenue_Build!BG10&gt;=Assumptions!$F$252*Assumptions!$B$55)),Assumptions!$D$252,0)</f>
        <v/>
      </c>
      <c r="BH54" s="41">
        <f>IF(OR(BG54&gt;0,AND(BH$3&gt;=Assumptions!$E$252,BH$3&gt;=Assumptions!$B$14,Revenue_Build!BH10&gt;=Assumptions!$F$252*Assumptions!$B$55)),Assumptions!$D$252,0)</f>
        <v/>
      </c>
      <c r="BI54" s="41">
        <f>IF(OR(BH54&gt;0,AND(BI$3&gt;=Assumptions!$E$252,BI$3&gt;=Assumptions!$B$14,Revenue_Build!BI10&gt;=Assumptions!$F$252*Assumptions!$B$55)),Assumptions!$D$252,0)</f>
        <v/>
      </c>
      <c r="BJ54" s="41">
        <f>IF(OR(BI54&gt;0,AND(BJ$3&gt;=Assumptions!$E$252,BJ$3&gt;=Assumptions!$B$14,Revenue_Build!BJ10&gt;=Assumptions!$F$252*Assumptions!$B$55)),Assumptions!$D$252,0)</f>
        <v/>
      </c>
    </row>
    <row r="55">
      <c r="A55" s="4" t="inlineStr">
        <is>
          <t>CS agents VI</t>
        </is>
      </c>
      <c r="B55" s="17" t="inlineStr">
        <is>
          <t>FTE</t>
        </is>
      </c>
      <c r="C55" s="41">
        <f>IF(AND(C$3&gt;=Assumptions!$E$253,C$3&gt;=Assumptions!$B$14,Revenue_Build!C10&gt;=Assumptions!$F$253*Assumptions!$B$55),Assumptions!$D$253,0)</f>
        <v/>
      </c>
      <c r="D55" s="41">
        <f>IF(OR(C55&gt;0,AND(D$3&gt;=Assumptions!$E$253,D$3&gt;=Assumptions!$B$14,Revenue_Build!D10&gt;=Assumptions!$F$253*Assumptions!$B$55)),Assumptions!$D$253,0)</f>
        <v/>
      </c>
      <c r="E55" s="41">
        <f>IF(OR(D55&gt;0,AND(E$3&gt;=Assumptions!$E$253,E$3&gt;=Assumptions!$B$14,Revenue_Build!E10&gt;=Assumptions!$F$253*Assumptions!$B$55)),Assumptions!$D$253,0)</f>
        <v/>
      </c>
      <c r="F55" s="41">
        <f>IF(OR(E55&gt;0,AND(F$3&gt;=Assumptions!$E$253,F$3&gt;=Assumptions!$B$14,Revenue_Build!F10&gt;=Assumptions!$F$253*Assumptions!$B$55)),Assumptions!$D$253,0)</f>
        <v/>
      </c>
      <c r="G55" s="41">
        <f>IF(OR(F55&gt;0,AND(G$3&gt;=Assumptions!$E$253,G$3&gt;=Assumptions!$B$14,Revenue_Build!G10&gt;=Assumptions!$F$253*Assumptions!$B$55)),Assumptions!$D$253,0)</f>
        <v/>
      </c>
      <c r="H55" s="41">
        <f>IF(OR(G55&gt;0,AND(H$3&gt;=Assumptions!$E$253,H$3&gt;=Assumptions!$B$14,Revenue_Build!H10&gt;=Assumptions!$F$253*Assumptions!$B$55)),Assumptions!$D$253,0)</f>
        <v/>
      </c>
      <c r="I55" s="41">
        <f>IF(OR(H55&gt;0,AND(I$3&gt;=Assumptions!$E$253,I$3&gt;=Assumptions!$B$14,Revenue_Build!I10&gt;=Assumptions!$F$253*Assumptions!$B$55)),Assumptions!$D$253,0)</f>
        <v/>
      </c>
      <c r="J55" s="41">
        <f>IF(OR(I55&gt;0,AND(J$3&gt;=Assumptions!$E$253,J$3&gt;=Assumptions!$B$14,Revenue_Build!J10&gt;=Assumptions!$F$253*Assumptions!$B$55)),Assumptions!$D$253,0)</f>
        <v/>
      </c>
      <c r="K55" s="41">
        <f>IF(OR(J55&gt;0,AND(K$3&gt;=Assumptions!$E$253,K$3&gt;=Assumptions!$B$14,Revenue_Build!K10&gt;=Assumptions!$F$253*Assumptions!$B$55)),Assumptions!$D$253,0)</f>
        <v/>
      </c>
      <c r="L55" s="41">
        <f>IF(OR(K55&gt;0,AND(L$3&gt;=Assumptions!$E$253,L$3&gt;=Assumptions!$B$14,Revenue_Build!L10&gt;=Assumptions!$F$253*Assumptions!$B$55)),Assumptions!$D$253,0)</f>
        <v/>
      </c>
      <c r="M55" s="41">
        <f>IF(OR(L55&gt;0,AND(M$3&gt;=Assumptions!$E$253,M$3&gt;=Assumptions!$B$14,Revenue_Build!M10&gt;=Assumptions!$F$253*Assumptions!$B$55)),Assumptions!$D$253,0)</f>
        <v/>
      </c>
      <c r="N55" s="41">
        <f>IF(OR(M55&gt;0,AND(N$3&gt;=Assumptions!$E$253,N$3&gt;=Assumptions!$B$14,Revenue_Build!N10&gt;=Assumptions!$F$253*Assumptions!$B$55)),Assumptions!$D$253,0)</f>
        <v/>
      </c>
      <c r="O55" s="41">
        <f>IF(OR(N55&gt;0,AND(O$3&gt;=Assumptions!$E$253,O$3&gt;=Assumptions!$B$14,Revenue_Build!O10&gt;=Assumptions!$F$253*Assumptions!$B$55)),Assumptions!$D$253,0)</f>
        <v/>
      </c>
      <c r="P55" s="41">
        <f>IF(OR(O55&gt;0,AND(P$3&gt;=Assumptions!$E$253,P$3&gt;=Assumptions!$B$14,Revenue_Build!P10&gt;=Assumptions!$F$253*Assumptions!$B$55)),Assumptions!$D$253,0)</f>
        <v/>
      </c>
      <c r="Q55" s="41">
        <f>IF(OR(P55&gt;0,AND(Q$3&gt;=Assumptions!$E$253,Q$3&gt;=Assumptions!$B$14,Revenue_Build!Q10&gt;=Assumptions!$F$253*Assumptions!$B$55)),Assumptions!$D$253,0)</f>
        <v/>
      </c>
      <c r="R55" s="41">
        <f>IF(OR(Q55&gt;0,AND(R$3&gt;=Assumptions!$E$253,R$3&gt;=Assumptions!$B$14,Revenue_Build!R10&gt;=Assumptions!$F$253*Assumptions!$B$55)),Assumptions!$D$253,0)</f>
        <v/>
      </c>
      <c r="S55" s="41">
        <f>IF(OR(R55&gt;0,AND(S$3&gt;=Assumptions!$E$253,S$3&gt;=Assumptions!$B$14,Revenue_Build!S10&gt;=Assumptions!$F$253*Assumptions!$B$55)),Assumptions!$D$253,0)</f>
        <v/>
      </c>
      <c r="T55" s="41">
        <f>IF(OR(S55&gt;0,AND(T$3&gt;=Assumptions!$E$253,T$3&gt;=Assumptions!$B$14,Revenue_Build!T10&gt;=Assumptions!$F$253*Assumptions!$B$55)),Assumptions!$D$253,0)</f>
        <v/>
      </c>
      <c r="U55" s="41">
        <f>IF(OR(T55&gt;0,AND(U$3&gt;=Assumptions!$E$253,U$3&gt;=Assumptions!$B$14,Revenue_Build!U10&gt;=Assumptions!$F$253*Assumptions!$B$55)),Assumptions!$D$253,0)</f>
        <v/>
      </c>
      <c r="V55" s="41">
        <f>IF(OR(U55&gt;0,AND(V$3&gt;=Assumptions!$E$253,V$3&gt;=Assumptions!$B$14,Revenue_Build!V10&gt;=Assumptions!$F$253*Assumptions!$B$55)),Assumptions!$D$253,0)</f>
        <v/>
      </c>
      <c r="W55" s="41">
        <f>IF(OR(V55&gt;0,AND(W$3&gt;=Assumptions!$E$253,W$3&gt;=Assumptions!$B$14,Revenue_Build!W10&gt;=Assumptions!$F$253*Assumptions!$B$55)),Assumptions!$D$253,0)</f>
        <v/>
      </c>
      <c r="X55" s="41">
        <f>IF(OR(W55&gt;0,AND(X$3&gt;=Assumptions!$E$253,X$3&gt;=Assumptions!$B$14,Revenue_Build!X10&gt;=Assumptions!$F$253*Assumptions!$B$55)),Assumptions!$D$253,0)</f>
        <v/>
      </c>
      <c r="Y55" s="41">
        <f>IF(OR(X55&gt;0,AND(Y$3&gt;=Assumptions!$E$253,Y$3&gt;=Assumptions!$B$14,Revenue_Build!Y10&gt;=Assumptions!$F$253*Assumptions!$B$55)),Assumptions!$D$253,0)</f>
        <v/>
      </c>
      <c r="Z55" s="41">
        <f>IF(OR(Y55&gt;0,AND(Z$3&gt;=Assumptions!$E$253,Z$3&gt;=Assumptions!$B$14,Revenue_Build!Z10&gt;=Assumptions!$F$253*Assumptions!$B$55)),Assumptions!$D$253,0)</f>
        <v/>
      </c>
      <c r="AA55" s="41">
        <f>IF(OR(Z55&gt;0,AND(AA$3&gt;=Assumptions!$E$253,AA$3&gt;=Assumptions!$B$14,Revenue_Build!AA10&gt;=Assumptions!$F$253*Assumptions!$B$55)),Assumptions!$D$253,0)</f>
        <v/>
      </c>
      <c r="AB55" s="41">
        <f>IF(OR(AA55&gt;0,AND(AB$3&gt;=Assumptions!$E$253,AB$3&gt;=Assumptions!$B$14,Revenue_Build!AB10&gt;=Assumptions!$F$253*Assumptions!$B$55)),Assumptions!$D$253,0)</f>
        <v/>
      </c>
      <c r="AC55" s="41">
        <f>IF(OR(AB55&gt;0,AND(AC$3&gt;=Assumptions!$E$253,AC$3&gt;=Assumptions!$B$14,Revenue_Build!AC10&gt;=Assumptions!$F$253*Assumptions!$B$55)),Assumptions!$D$253,0)</f>
        <v/>
      </c>
      <c r="AD55" s="41">
        <f>IF(OR(AC55&gt;0,AND(AD$3&gt;=Assumptions!$E$253,AD$3&gt;=Assumptions!$B$14,Revenue_Build!AD10&gt;=Assumptions!$F$253*Assumptions!$B$55)),Assumptions!$D$253,0)</f>
        <v/>
      </c>
      <c r="AE55" s="41">
        <f>IF(OR(AD55&gt;0,AND(AE$3&gt;=Assumptions!$E$253,AE$3&gt;=Assumptions!$B$14,Revenue_Build!AE10&gt;=Assumptions!$F$253*Assumptions!$B$55)),Assumptions!$D$253,0)</f>
        <v/>
      </c>
      <c r="AF55" s="41">
        <f>IF(OR(AE55&gt;0,AND(AF$3&gt;=Assumptions!$E$253,AF$3&gt;=Assumptions!$B$14,Revenue_Build!AF10&gt;=Assumptions!$F$253*Assumptions!$B$55)),Assumptions!$D$253,0)</f>
        <v/>
      </c>
      <c r="AG55" s="41">
        <f>IF(OR(AF55&gt;0,AND(AG$3&gt;=Assumptions!$E$253,AG$3&gt;=Assumptions!$B$14,Revenue_Build!AG10&gt;=Assumptions!$F$253*Assumptions!$B$55)),Assumptions!$D$253,0)</f>
        <v/>
      </c>
      <c r="AH55" s="41">
        <f>IF(OR(AG55&gt;0,AND(AH$3&gt;=Assumptions!$E$253,AH$3&gt;=Assumptions!$B$14,Revenue_Build!AH10&gt;=Assumptions!$F$253*Assumptions!$B$55)),Assumptions!$D$253,0)</f>
        <v/>
      </c>
      <c r="AI55" s="41">
        <f>IF(OR(AH55&gt;0,AND(AI$3&gt;=Assumptions!$E$253,AI$3&gt;=Assumptions!$B$14,Revenue_Build!AI10&gt;=Assumptions!$F$253*Assumptions!$B$55)),Assumptions!$D$253,0)</f>
        <v/>
      </c>
      <c r="AJ55" s="41">
        <f>IF(OR(AI55&gt;0,AND(AJ$3&gt;=Assumptions!$E$253,AJ$3&gt;=Assumptions!$B$14,Revenue_Build!AJ10&gt;=Assumptions!$F$253*Assumptions!$B$55)),Assumptions!$D$253,0)</f>
        <v/>
      </c>
      <c r="AK55" s="41">
        <f>IF(OR(AJ55&gt;0,AND(AK$3&gt;=Assumptions!$E$253,AK$3&gt;=Assumptions!$B$14,Revenue_Build!AK10&gt;=Assumptions!$F$253*Assumptions!$B$55)),Assumptions!$D$253,0)</f>
        <v/>
      </c>
      <c r="AL55" s="41">
        <f>IF(OR(AK55&gt;0,AND(AL$3&gt;=Assumptions!$E$253,AL$3&gt;=Assumptions!$B$14,Revenue_Build!AL10&gt;=Assumptions!$F$253*Assumptions!$B$55)),Assumptions!$D$253,0)</f>
        <v/>
      </c>
      <c r="AM55" s="41">
        <f>IF(OR(AL55&gt;0,AND(AM$3&gt;=Assumptions!$E$253,AM$3&gt;=Assumptions!$B$14,Revenue_Build!AM10&gt;=Assumptions!$F$253*Assumptions!$B$55)),Assumptions!$D$253,0)</f>
        <v/>
      </c>
      <c r="AN55" s="41">
        <f>IF(OR(AM55&gt;0,AND(AN$3&gt;=Assumptions!$E$253,AN$3&gt;=Assumptions!$B$14,Revenue_Build!AN10&gt;=Assumptions!$F$253*Assumptions!$B$55)),Assumptions!$D$253,0)</f>
        <v/>
      </c>
      <c r="AO55" s="41">
        <f>IF(OR(AN55&gt;0,AND(AO$3&gt;=Assumptions!$E$253,AO$3&gt;=Assumptions!$B$14,Revenue_Build!AO10&gt;=Assumptions!$F$253*Assumptions!$B$55)),Assumptions!$D$253,0)</f>
        <v/>
      </c>
      <c r="AP55" s="41">
        <f>IF(OR(AO55&gt;0,AND(AP$3&gt;=Assumptions!$E$253,AP$3&gt;=Assumptions!$B$14,Revenue_Build!AP10&gt;=Assumptions!$F$253*Assumptions!$B$55)),Assumptions!$D$253,0)</f>
        <v/>
      </c>
      <c r="AQ55" s="41">
        <f>IF(OR(AP55&gt;0,AND(AQ$3&gt;=Assumptions!$E$253,AQ$3&gt;=Assumptions!$B$14,Revenue_Build!AQ10&gt;=Assumptions!$F$253*Assumptions!$B$55)),Assumptions!$D$253,0)</f>
        <v/>
      </c>
      <c r="AR55" s="41">
        <f>IF(OR(AQ55&gt;0,AND(AR$3&gt;=Assumptions!$E$253,AR$3&gt;=Assumptions!$B$14,Revenue_Build!AR10&gt;=Assumptions!$F$253*Assumptions!$B$55)),Assumptions!$D$253,0)</f>
        <v/>
      </c>
      <c r="AS55" s="41">
        <f>IF(OR(AR55&gt;0,AND(AS$3&gt;=Assumptions!$E$253,AS$3&gt;=Assumptions!$B$14,Revenue_Build!AS10&gt;=Assumptions!$F$253*Assumptions!$B$55)),Assumptions!$D$253,0)</f>
        <v/>
      </c>
      <c r="AT55" s="41">
        <f>IF(OR(AS55&gt;0,AND(AT$3&gt;=Assumptions!$E$253,AT$3&gt;=Assumptions!$B$14,Revenue_Build!AT10&gt;=Assumptions!$F$253*Assumptions!$B$55)),Assumptions!$D$253,0)</f>
        <v/>
      </c>
      <c r="AU55" s="41">
        <f>IF(OR(AT55&gt;0,AND(AU$3&gt;=Assumptions!$E$253,AU$3&gt;=Assumptions!$B$14,Revenue_Build!AU10&gt;=Assumptions!$F$253*Assumptions!$B$55)),Assumptions!$D$253,0)</f>
        <v/>
      </c>
      <c r="AV55" s="41">
        <f>IF(OR(AU55&gt;0,AND(AV$3&gt;=Assumptions!$E$253,AV$3&gt;=Assumptions!$B$14,Revenue_Build!AV10&gt;=Assumptions!$F$253*Assumptions!$B$55)),Assumptions!$D$253,0)</f>
        <v/>
      </c>
      <c r="AW55" s="41">
        <f>IF(OR(AV55&gt;0,AND(AW$3&gt;=Assumptions!$E$253,AW$3&gt;=Assumptions!$B$14,Revenue_Build!AW10&gt;=Assumptions!$F$253*Assumptions!$B$55)),Assumptions!$D$253,0)</f>
        <v/>
      </c>
      <c r="AX55" s="41">
        <f>IF(OR(AW55&gt;0,AND(AX$3&gt;=Assumptions!$E$253,AX$3&gt;=Assumptions!$B$14,Revenue_Build!AX10&gt;=Assumptions!$F$253*Assumptions!$B$55)),Assumptions!$D$253,0)</f>
        <v/>
      </c>
      <c r="AY55" s="41">
        <f>IF(OR(AX55&gt;0,AND(AY$3&gt;=Assumptions!$E$253,AY$3&gt;=Assumptions!$B$14,Revenue_Build!AY10&gt;=Assumptions!$F$253*Assumptions!$B$55)),Assumptions!$D$253,0)</f>
        <v/>
      </c>
      <c r="AZ55" s="41">
        <f>IF(OR(AY55&gt;0,AND(AZ$3&gt;=Assumptions!$E$253,AZ$3&gt;=Assumptions!$B$14,Revenue_Build!AZ10&gt;=Assumptions!$F$253*Assumptions!$B$55)),Assumptions!$D$253,0)</f>
        <v/>
      </c>
      <c r="BA55" s="41">
        <f>IF(OR(AZ55&gt;0,AND(BA$3&gt;=Assumptions!$E$253,BA$3&gt;=Assumptions!$B$14,Revenue_Build!BA10&gt;=Assumptions!$F$253*Assumptions!$B$55)),Assumptions!$D$253,0)</f>
        <v/>
      </c>
      <c r="BB55" s="41">
        <f>IF(OR(BA55&gt;0,AND(BB$3&gt;=Assumptions!$E$253,BB$3&gt;=Assumptions!$B$14,Revenue_Build!BB10&gt;=Assumptions!$F$253*Assumptions!$B$55)),Assumptions!$D$253,0)</f>
        <v/>
      </c>
      <c r="BC55" s="41">
        <f>IF(OR(BB55&gt;0,AND(BC$3&gt;=Assumptions!$E$253,BC$3&gt;=Assumptions!$B$14,Revenue_Build!BC10&gt;=Assumptions!$F$253*Assumptions!$B$55)),Assumptions!$D$253,0)</f>
        <v/>
      </c>
      <c r="BD55" s="41">
        <f>IF(OR(BC55&gt;0,AND(BD$3&gt;=Assumptions!$E$253,BD$3&gt;=Assumptions!$B$14,Revenue_Build!BD10&gt;=Assumptions!$F$253*Assumptions!$B$55)),Assumptions!$D$253,0)</f>
        <v/>
      </c>
      <c r="BE55" s="41">
        <f>IF(OR(BD55&gt;0,AND(BE$3&gt;=Assumptions!$E$253,BE$3&gt;=Assumptions!$B$14,Revenue_Build!BE10&gt;=Assumptions!$F$253*Assumptions!$B$55)),Assumptions!$D$253,0)</f>
        <v/>
      </c>
      <c r="BF55" s="41">
        <f>IF(OR(BE55&gt;0,AND(BF$3&gt;=Assumptions!$E$253,BF$3&gt;=Assumptions!$B$14,Revenue_Build!BF10&gt;=Assumptions!$F$253*Assumptions!$B$55)),Assumptions!$D$253,0)</f>
        <v/>
      </c>
      <c r="BG55" s="41">
        <f>IF(OR(BF55&gt;0,AND(BG$3&gt;=Assumptions!$E$253,BG$3&gt;=Assumptions!$B$14,Revenue_Build!BG10&gt;=Assumptions!$F$253*Assumptions!$B$55)),Assumptions!$D$253,0)</f>
        <v/>
      </c>
      <c r="BH55" s="41">
        <f>IF(OR(BG55&gt;0,AND(BH$3&gt;=Assumptions!$E$253,BH$3&gt;=Assumptions!$B$14,Revenue_Build!BH10&gt;=Assumptions!$F$253*Assumptions!$B$55)),Assumptions!$D$253,0)</f>
        <v/>
      </c>
      <c r="BI55" s="41">
        <f>IF(OR(BH55&gt;0,AND(BI$3&gt;=Assumptions!$E$253,BI$3&gt;=Assumptions!$B$14,Revenue_Build!BI10&gt;=Assumptions!$F$253*Assumptions!$B$55)),Assumptions!$D$253,0)</f>
        <v/>
      </c>
      <c r="BJ55" s="41">
        <f>IF(OR(BI55&gt;0,AND(BJ$3&gt;=Assumptions!$E$253,BJ$3&gt;=Assumptions!$B$14,Revenue_Build!BJ10&gt;=Assumptions!$F$253*Assumptions!$B$55)),Assumptions!$D$253,0)</f>
        <v/>
      </c>
    </row>
    <row r="56">
      <c r="A56" s="4" t="inlineStr">
        <is>
          <t>Finance, legal &amp; people team expansion</t>
        </is>
      </c>
      <c r="B56" s="17" t="inlineStr">
        <is>
          <t>FTE</t>
        </is>
      </c>
      <c r="C56" s="41">
        <f>IF(AND(C$3&gt;=Assumptions!$E$254,C$3&gt;=Assumptions!$B$14,Revenue_Build!C10&gt;=Assumptions!$F$254*Assumptions!$B$55),Assumptions!$D$254,0)</f>
        <v/>
      </c>
      <c r="D56" s="41">
        <f>IF(OR(C56&gt;0,AND(D$3&gt;=Assumptions!$E$254,D$3&gt;=Assumptions!$B$14,Revenue_Build!D10&gt;=Assumptions!$F$254*Assumptions!$B$55)),Assumptions!$D$254,0)</f>
        <v/>
      </c>
      <c r="E56" s="41">
        <f>IF(OR(D56&gt;0,AND(E$3&gt;=Assumptions!$E$254,E$3&gt;=Assumptions!$B$14,Revenue_Build!E10&gt;=Assumptions!$F$254*Assumptions!$B$55)),Assumptions!$D$254,0)</f>
        <v/>
      </c>
      <c r="F56" s="41">
        <f>IF(OR(E56&gt;0,AND(F$3&gt;=Assumptions!$E$254,F$3&gt;=Assumptions!$B$14,Revenue_Build!F10&gt;=Assumptions!$F$254*Assumptions!$B$55)),Assumptions!$D$254,0)</f>
        <v/>
      </c>
      <c r="G56" s="41">
        <f>IF(OR(F56&gt;0,AND(G$3&gt;=Assumptions!$E$254,G$3&gt;=Assumptions!$B$14,Revenue_Build!G10&gt;=Assumptions!$F$254*Assumptions!$B$55)),Assumptions!$D$254,0)</f>
        <v/>
      </c>
      <c r="H56" s="41">
        <f>IF(OR(G56&gt;0,AND(H$3&gt;=Assumptions!$E$254,H$3&gt;=Assumptions!$B$14,Revenue_Build!H10&gt;=Assumptions!$F$254*Assumptions!$B$55)),Assumptions!$D$254,0)</f>
        <v/>
      </c>
      <c r="I56" s="41">
        <f>IF(OR(H56&gt;0,AND(I$3&gt;=Assumptions!$E$254,I$3&gt;=Assumptions!$B$14,Revenue_Build!I10&gt;=Assumptions!$F$254*Assumptions!$B$55)),Assumptions!$D$254,0)</f>
        <v/>
      </c>
      <c r="J56" s="41">
        <f>IF(OR(I56&gt;0,AND(J$3&gt;=Assumptions!$E$254,J$3&gt;=Assumptions!$B$14,Revenue_Build!J10&gt;=Assumptions!$F$254*Assumptions!$B$55)),Assumptions!$D$254,0)</f>
        <v/>
      </c>
      <c r="K56" s="41">
        <f>IF(OR(J56&gt;0,AND(K$3&gt;=Assumptions!$E$254,K$3&gt;=Assumptions!$B$14,Revenue_Build!K10&gt;=Assumptions!$F$254*Assumptions!$B$55)),Assumptions!$D$254,0)</f>
        <v/>
      </c>
      <c r="L56" s="41">
        <f>IF(OR(K56&gt;0,AND(L$3&gt;=Assumptions!$E$254,L$3&gt;=Assumptions!$B$14,Revenue_Build!L10&gt;=Assumptions!$F$254*Assumptions!$B$55)),Assumptions!$D$254,0)</f>
        <v/>
      </c>
      <c r="M56" s="41">
        <f>IF(OR(L56&gt;0,AND(M$3&gt;=Assumptions!$E$254,M$3&gt;=Assumptions!$B$14,Revenue_Build!M10&gt;=Assumptions!$F$254*Assumptions!$B$55)),Assumptions!$D$254,0)</f>
        <v/>
      </c>
      <c r="N56" s="41">
        <f>IF(OR(M56&gt;0,AND(N$3&gt;=Assumptions!$E$254,N$3&gt;=Assumptions!$B$14,Revenue_Build!N10&gt;=Assumptions!$F$254*Assumptions!$B$55)),Assumptions!$D$254,0)</f>
        <v/>
      </c>
      <c r="O56" s="41">
        <f>IF(OR(N56&gt;0,AND(O$3&gt;=Assumptions!$E$254,O$3&gt;=Assumptions!$B$14,Revenue_Build!O10&gt;=Assumptions!$F$254*Assumptions!$B$55)),Assumptions!$D$254,0)</f>
        <v/>
      </c>
      <c r="P56" s="41">
        <f>IF(OR(O56&gt;0,AND(P$3&gt;=Assumptions!$E$254,P$3&gt;=Assumptions!$B$14,Revenue_Build!P10&gt;=Assumptions!$F$254*Assumptions!$B$55)),Assumptions!$D$254,0)</f>
        <v/>
      </c>
      <c r="Q56" s="41">
        <f>IF(OR(P56&gt;0,AND(Q$3&gt;=Assumptions!$E$254,Q$3&gt;=Assumptions!$B$14,Revenue_Build!Q10&gt;=Assumptions!$F$254*Assumptions!$B$55)),Assumptions!$D$254,0)</f>
        <v/>
      </c>
      <c r="R56" s="41">
        <f>IF(OR(Q56&gt;0,AND(R$3&gt;=Assumptions!$E$254,R$3&gt;=Assumptions!$B$14,Revenue_Build!R10&gt;=Assumptions!$F$254*Assumptions!$B$55)),Assumptions!$D$254,0)</f>
        <v/>
      </c>
      <c r="S56" s="41">
        <f>IF(OR(R56&gt;0,AND(S$3&gt;=Assumptions!$E$254,S$3&gt;=Assumptions!$B$14,Revenue_Build!S10&gt;=Assumptions!$F$254*Assumptions!$B$55)),Assumptions!$D$254,0)</f>
        <v/>
      </c>
      <c r="T56" s="41">
        <f>IF(OR(S56&gt;0,AND(T$3&gt;=Assumptions!$E$254,T$3&gt;=Assumptions!$B$14,Revenue_Build!T10&gt;=Assumptions!$F$254*Assumptions!$B$55)),Assumptions!$D$254,0)</f>
        <v/>
      </c>
      <c r="U56" s="41">
        <f>IF(OR(T56&gt;0,AND(U$3&gt;=Assumptions!$E$254,U$3&gt;=Assumptions!$B$14,Revenue_Build!U10&gt;=Assumptions!$F$254*Assumptions!$B$55)),Assumptions!$D$254,0)</f>
        <v/>
      </c>
      <c r="V56" s="41">
        <f>IF(OR(U56&gt;0,AND(V$3&gt;=Assumptions!$E$254,V$3&gt;=Assumptions!$B$14,Revenue_Build!V10&gt;=Assumptions!$F$254*Assumptions!$B$55)),Assumptions!$D$254,0)</f>
        <v/>
      </c>
      <c r="W56" s="41">
        <f>IF(OR(V56&gt;0,AND(W$3&gt;=Assumptions!$E$254,W$3&gt;=Assumptions!$B$14,Revenue_Build!W10&gt;=Assumptions!$F$254*Assumptions!$B$55)),Assumptions!$D$254,0)</f>
        <v/>
      </c>
      <c r="X56" s="41">
        <f>IF(OR(W56&gt;0,AND(X$3&gt;=Assumptions!$E$254,X$3&gt;=Assumptions!$B$14,Revenue_Build!X10&gt;=Assumptions!$F$254*Assumptions!$B$55)),Assumptions!$D$254,0)</f>
        <v/>
      </c>
      <c r="Y56" s="41">
        <f>IF(OR(X56&gt;0,AND(Y$3&gt;=Assumptions!$E$254,Y$3&gt;=Assumptions!$B$14,Revenue_Build!Y10&gt;=Assumptions!$F$254*Assumptions!$B$55)),Assumptions!$D$254,0)</f>
        <v/>
      </c>
      <c r="Z56" s="41">
        <f>IF(OR(Y56&gt;0,AND(Z$3&gt;=Assumptions!$E$254,Z$3&gt;=Assumptions!$B$14,Revenue_Build!Z10&gt;=Assumptions!$F$254*Assumptions!$B$55)),Assumptions!$D$254,0)</f>
        <v/>
      </c>
      <c r="AA56" s="41">
        <f>IF(OR(Z56&gt;0,AND(AA$3&gt;=Assumptions!$E$254,AA$3&gt;=Assumptions!$B$14,Revenue_Build!AA10&gt;=Assumptions!$F$254*Assumptions!$B$55)),Assumptions!$D$254,0)</f>
        <v/>
      </c>
      <c r="AB56" s="41">
        <f>IF(OR(AA56&gt;0,AND(AB$3&gt;=Assumptions!$E$254,AB$3&gt;=Assumptions!$B$14,Revenue_Build!AB10&gt;=Assumptions!$F$254*Assumptions!$B$55)),Assumptions!$D$254,0)</f>
        <v/>
      </c>
      <c r="AC56" s="41">
        <f>IF(OR(AB56&gt;0,AND(AC$3&gt;=Assumptions!$E$254,AC$3&gt;=Assumptions!$B$14,Revenue_Build!AC10&gt;=Assumptions!$F$254*Assumptions!$B$55)),Assumptions!$D$254,0)</f>
        <v/>
      </c>
      <c r="AD56" s="41">
        <f>IF(OR(AC56&gt;0,AND(AD$3&gt;=Assumptions!$E$254,AD$3&gt;=Assumptions!$B$14,Revenue_Build!AD10&gt;=Assumptions!$F$254*Assumptions!$B$55)),Assumptions!$D$254,0)</f>
        <v/>
      </c>
      <c r="AE56" s="41">
        <f>IF(OR(AD56&gt;0,AND(AE$3&gt;=Assumptions!$E$254,AE$3&gt;=Assumptions!$B$14,Revenue_Build!AE10&gt;=Assumptions!$F$254*Assumptions!$B$55)),Assumptions!$D$254,0)</f>
        <v/>
      </c>
      <c r="AF56" s="41">
        <f>IF(OR(AE56&gt;0,AND(AF$3&gt;=Assumptions!$E$254,AF$3&gt;=Assumptions!$B$14,Revenue_Build!AF10&gt;=Assumptions!$F$254*Assumptions!$B$55)),Assumptions!$D$254,0)</f>
        <v/>
      </c>
      <c r="AG56" s="41">
        <f>IF(OR(AF56&gt;0,AND(AG$3&gt;=Assumptions!$E$254,AG$3&gt;=Assumptions!$B$14,Revenue_Build!AG10&gt;=Assumptions!$F$254*Assumptions!$B$55)),Assumptions!$D$254,0)</f>
        <v/>
      </c>
      <c r="AH56" s="41">
        <f>IF(OR(AG56&gt;0,AND(AH$3&gt;=Assumptions!$E$254,AH$3&gt;=Assumptions!$B$14,Revenue_Build!AH10&gt;=Assumptions!$F$254*Assumptions!$B$55)),Assumptions!$D$254,0)</f>
        <v/>
      </c>
      <c r="AI56" s="41">
        <f>IF(OR(AH56&gt;0,AND(AI$3&gt;=Assumptions!$E$254,AI$3&gt;=Assumptions!$B$14,Revenue_Build!AI10&gt;=Assumptions!$F$254*Assumptions!$B$55)),Assumptions!$D$254,0)</f>
        <v/>
      </c>
      <c r="AJ56" s="41">
        <f>IF(OR(AI56&gt;0,AND(AJ$3&gt;=Assumptions!$E$254,AJ$3&gt;=Assumptions!$B$14,Revenue_Build!AJ10&gt;=Assumptions!$F$254*Assumptions!$B$55)),Assumptions!$D$254,0)</f>
        <v/>
      </c>
      <c r="AK56" s="41">
        <f>IF(OR(AJ56&gt;0,AND(AK$3&gt;=Assumptions!$E$254,AK$3&gt;=Assumptions!$B$14,Revenue_Build!AK10&gt;=Assumptions!$F$254*Assumptions!$B$55)),Assumptions!$D$254,0)</f>
        <v/>
      </c>
      <c r="AL56" s="41">
        <f>IF(OR(AK56&gt;0,AND(AL$3&gt;=Assumptions!$E$254,AL$3&gt;=Assumptions!$B$14,Revenue_Build!AL10&gt;=Assumptions!$F$254*Assumptions!$B$55)),Assumptions!$D$254,0)</f>
        <v/>
      </c>
      <c r="AM56" s="41">
        <f>IF(OR(AL56&gt;0,AND(AM$3&gt;=Assumptions!$E$254,AM$3&gt;=Assumptions!$B$14,Revenue_Build!AM10&gt;=Assumptions!$F$254*Assumptions!$B$55)),Assumptions!$D$254,0)</f>
        <v/>
      </c>
      <c r="AN56" s="41">
        <f>IF(OR(AM56&gt;0,AND(AN$3&gt;=Assumptions!$E$254,AN$3&gt;=Assumptions!$B$14,Revenue_Build!AN10&gt;=Assumptions!$F$254*Assumptions!$B$55)),Assumptions!$D$254,0)</f>
        <v/>
      </c>
      <c r="AO56" s="41">
        <f>IF(OR(AN56&gt;0,AND(AO$3&gt;=Assumptions!$E$254,AO$3&gt;=Assumptions!$B$14,Revenue_Build!AO10&gt;=Assumptions!$F$254*Assumptions!$B$55)),Assumptions!$D$254,0)</f>
        <v/>
      </c>
      <c r="AP56" s="41">
        <f>IF(OR(AO56&gt;0,AND(AP$3&gt;=Assumptions!$E$254,AP$3&gt;=Assumptions!$B$14,Revenue_Build!AP10&gt;=Assumptions!$F$254*Assumptions!$B$55)),Assumptions!$D$254,0)</f>
        <v/>
      </c>
      <c r="AQ56" s="41">
        <f>IF(OR(AP56&gt;0,AND(AQ$3&gt;=Assumptions!$E$254,AQ$3&gt;=Assumptions!$B$14,Revenue_Build!AQ10&gt;=Assumptions!$F$254*Assumptions!$B$55)),Assumptions!$D$254,0)</f>
        <v/>
      </c>
      <c r="AR56" s="41">
        <f>IF(OR(AQ56&gt;0,AND(AR$3&gt;=Assumptions!$E$254,AR$3&gt;=Assumptions!$B$14,Revenue_Build!AR10&gt;=Assumptions!$F$254*Assumptions!$B$55)),Assumptions!$D$254,0)</f>
        <v/>
      </c>
      <c r="AS56" s="41">
        <f>IF(OR(AR56&gt;0,AND(AS$3&gt;=Assumptions!$E$254,AS$3&gt;=Assumptions!$B$14,Revenue_Build!AS10&gt;=Assumptions!$F$254*Assumptions!$B$55)),Assumptions!$D$254,0)</f>
        <v/>
      </c>
      <c r="AT56" s="41">
        <f>IF(OR(AS56&gt;0,AND(AT$3&gt;=Assumptions!$E$254,AT$3&gt;=Assumptions!$B$14,Revenue_Build!AT10&gt;=Assumptions!$F$254*Assumptions!$B$55)),Assumptions!$D$254,0)</f>
        <v/>
      </c>
      <c r="AU56" s="41">
        <f>IF(OR(AT56&gt;0,AND(AU$3&gt;=Assumptions!$E$254,AU$3&gt;=Assumptions!$B$14,Revenue_Build!AU10&gt;=Assumptions!$F$254*Assumptions!$B$55)),Assumptions!$D$254,0)</f>
        <v/>
      </c>
      <c r="AV56" s="41">
        <f>IF(OR(AU56&gt;0,AND(AV$3&gt;=Assumptions!$E$254,AV$3&gt;=Assumptions!$B$14,Revenue_Build!AV10&gt;=Assumptions!$F$254*Assumptions!$B$55)),Assumptions!$D$254,0)</f>
        <v/>
      </c>
      <c r="AW56" s="41">
        <f>IF(OR(AV56&gt;0,AND(AW$3&gt;=Assumptions!$E$254,AW$3&gt;=Assumptions!$B$14,Revenue_Build!AW10&gt;=Assumptions!$F$254*Assumptions!$B$55)),Assumptions!$D$254,0)</f>
        <v/>
      </c>
      <c r="AX56" s="41">
        <f>IF(OR(AW56&gt;0,AND(AX$3&gt;=Assumptions!$E$254,AX$3&gt;=Assumptions!$B$14,Revenue_Build!AX10&gt;=Assumptions!$F$254*Assumptions!$B$55)),Assumptions!$D$254,0)</f>
        <v/>
      </c>
      <c r="AY56" s="41">
        <f>IF(OR(AX56&gt;0,AND(AY$3&gt;=Assumptions!$E$254,AY$3&gt;=Assumptions!$B$14,Revenue_Build!AY10&gt;=Assumptions!$F$254*Assumptions!$B$55)),Assumptions!$D$254,0)</f>
        <v/>
      </c>
      <c r="AZ56" s="41">
        <f>IF(OR(AY56&gt;0,AND(AZ$3&gt;=Assumptions!$E$254,AZ$3&gt;=Assumptions!$B$14,Revenue_Build!AZ10&gt;=Assumptions!$F$254*Assumptions!$B$55)),Assumptions!$D$254,0)</f>
        <v/>
      </c>
      <c r="BA56" s="41">
        <f>IF(OR(AZ56&gt;0,AND(BA$3&gt;=Assumptions!$E$254,BA$3&gt;=Assumptions!$B$14,Revenue_Build!BA10&gt;=Assumptions!$F$254*Assumptions!$B$55)),Assumptions!$D$254,0)</f>
        <v/>
      </c>
      <c r="BB56" s="41">
        <f>IF(OR(BA56&gt;0,AND(BB$3&gt;=Assumptions!$E$254,BB$3&gt;=Assumptions!$B$14,Revenue_Build!BB10&gt;=Assumptions!$F$254*Assumptions!$B$55)),Assumptions!$D$254,0)</f>
        <v/>
      </c>
      <c r="BC56" s="41">
        <f>IF(OR(BB56&gt;0,AND(BC$3&gt;=Assumptions!$E$254,BC$3&gt;=Assumptions!$B$14,Revenue_Build!BC10&gt;=Assumptions!$F$254*Assumptions!$B$55)),Assumptions!$D$254,0)</f>
        <v/>
      </c>
      <c r="BD56" s="41">
        <f>IF(OR(BC56&gt;0,AND(BD$3&gt;=Assumptions!$E$254,BD$3&gt;=Assumptions!$B$14,Revenue_Build!BD10&gt;=Assumptions!$F$254*Assumptions!$B$55)),Assumptions!$D$254,0)</f>
        <v/>
      </c>
      <c r="BE56" s="41">
        <f>IF(OR(BD56&gt;0,AND(BE$3&gt;=Assumptions!$E$254,BE$3&gt;=Assumptions!$B$14,Revenue_Build!BE10&gt;=Assumptions!$F$254*Assumptions!$B$55)),Assumptions!$D$254,0)</f>
        <v/>
      </c>
      <c r="BF56" s="41">
        <f>IF(OR(BE56&gt;0,AND(BF$3&gt;=Assumptions!$E$254,BF$3&gt;=Assumptions!$B$14,Revenue_Build!BF10&gt;=Assumptions!$F$254*Assumptions!$B$55)),Assumptions!$D$254,0)</f>
        <v/>
      </c>
      <c r="BG56" s="41">
        <f>IF(OR(BF56&gt;0,AND(BG$3&gt;=Assumptions!$E$254,BG$3&gt;=Assumptions!$B$14,Revenue_Build!BG10&gt;=Assumptions!$F$254*Assumptions!$B$55)),Assumptions!$D$254,0)</f>
        <v/>
      </c>
      <c r="BH56" s="41">
        <f>IF(OR(BG56&gt;0,AND(BH$3&gt;=Assumptions!$E$254,BH$3&gt;=Assumptions!$B$14,Revenue_Build!BH10&gt;=Assumptions!$F$254*Assumptions!$B$55)),Assumptions!$D$254,0)</f>
        <v/>
      </c>
      <c r="BI56" s="41">
        <f>IF(OR(BH56&gt;0,AND(BI$3&gt;=Assumptions!$E$254,BI$3&gt;=Assumptions!$B$14,Revenue_Build!BI10&gt;=Assumptions!$F$254*Assumptions!$B$55)),Assumptions!$D$254,0)</f>
        <v/>
      </c>
      <c r="BJ56" s="41">
        <f>IF(OR(BI56&gt;0,AND(BJ$3&gt;=Assumptions!$E$254,BJ$3&gt;=Assumptions!$B$14,Revenue_Build!BJ10&gt;=Assumptions!$F$254*Assumptions!$B$55)),Assumptions!$D$254,0)</f>
        <v/>
      </c>
    </row>
    <row r="57">
      <c r="A57" s="4" t="inlineStr">
        <is>
          <t>Country lead: Nigeria</t>
        </is>
      </c>
      <c r="B57" s="17" t="inlineStr">
        <is>
          <t>FTE</t>
        </is>
      </c>
      <c r="C57" s="41">
        <f>IF(Revenue_Build!C14=1,Assumptions!$D$255,0)</f>
        <v/>
      </c>
      <c r="D57" s="41">
        <f>IF(Revenue_Build!D14=1,Assumptions!$D$255,0)</f>
        <v/>
      </c>
      <c r="E57" s="41">
        <f>IF(Revenue_Build!E14=1,Assumptions!$D$255,0)</f>
        <v/>
      </c>
      <c r="F57" s="41">
        <f>IF(Revenue_Build!F14=1,Assumptions!$D$255,0)</f>
        <v/>
      </c>
      <c r="G57" s="41">
        <f>IF(Revenue_Build!G14=1,Assumptions!$D$255,0)</f>
        <v/>
      </c>
      <c r="H57" s="41">
        <f>IF(Revenue_Build!H14=1,Assumptions!$D$255,0)</f>
        <v/>
      </c>
      <c r="I57" s="41">
        <f>IF(Revenue_Build!I14=1,Assumptions!$D$255,0)</f>
        <v/>
      </c>
      <c r="J57" s="41">
        <f>IF(Revenue_Build!J14=1,Assumptions!$D$255,0)</f>
        <v/>
      </c>
      <c r="K57" s="41">
        <f>IF(Revenue_Build!K14=1,Assumptions!$D$255,0)</f>
        <v/>
      </c>
      <c r="L57" s="41">
        <f>IF(Revenue_Build!L14=1,Assumptions!$D$255,0)</f>
        <v/>
      </c>
      <c r="M57" s="41">
        <f>IF(Revenue_Build!M14=1,Assumptions!$D$255,0)</f>
        <v/>
      </c>
      <c r="N57" s="41">
        <f>IF(Revenue_Build!N14=1,Assumptions!$D$255,0)</f>
        <v/>
      </c>
      <c r="O57" s="41">
        <f>IF(Revenue_Build!O14=1,Assumptions!$D$255,0)</f>
        <v/>
      </c>
      <c r="P57" s="41">
        <f>IF(Revenue_Build!P14=1,Assumptions!$D$255,0)</f>
        <v/>
      </c>
      <c r="Q57" s="41">
        <f>IF(Revenue_Build!Q14=1,Assumptions!$D$255,0)</f>
        <v/>
      </c>
      <c r="R57" s="41">
        <f>IF(Revenue_Build!R14=1,Assumptions!$D$255,0)</f>
        <v/>
      </c>
      <c r="S57" s="41">
        <f>IF(Revenue_Build!S14=1,Assumptions!$D$255,0)</f>
        <v/>
      </c>
      <c r="T57" s="41">
        <f>IF(Revenue_Build!T14=1,Assumptions!$D$255,0)</f>
        <v/>
      </c>
      <c r="U57" s="41">
        <f>IF(Revenue_Build!U14=1,Assumptions!$D$255,0)</f>
        <v/>
      </c>
      <c r="V57" s="41">
        <f>IF(Revenue_Build!V14=1,Assumptions!$D$255,0)</f>
        <v/>
      </c>
      <c r="W57" s="41">
        <f>IF(Revenue_Build!W14=1,Assumptions!$D$255,0)</f>
        <v/>
      </c>
      <c r="X57" s="41">
        <f>IF(Revenue_Build!X14=1,Assumptions!$D$255,0)</f>
        <v/>
      </c>
      <c r="Y57" s="41">
        <f>IF(Revenue_Build!Y14=1,Assumptions!$D$255,0)</f>
        <v/>
      </c>
      <c r="Z57" s="41">
        <f>IF(Revenue_Build!Z14=1,Assumptions!$D$255,0)</f>
        <v/>
      </c>
      <c r="AA57" s="41">
        <f>IF(Revenue_Build!AA14=1,Assumptions!$D$255,0)</f>
        <v/>
      </c>
      <c r="AB57" s="41">
        <f>IF(Revenue_Build!AB14=1,Assumptions!$D$255,0)</f>
        <v/>
      </c>
      <c r="AC57" s="41">
        <f>IF(Revenue_Build!AC14=1,Assumptions!$D$255,0)</f>
        <v/>
      </c>
      <c r="AD57" s="41">
        <f>IF(Revenue_Build!AD14=1,Assumptions!$D$255,0)</f>
        <v/>
      </c>
      <c r="AE57" s="41">
        <f>IF(Revenue_Build!AE14=1,Assumptions!$D$255,0)</f>
        <v/>
      </c>
      <c r="AF57" s="41">
        <f>IF(Revenue_Build!AF14=1,Assumptions!$D$255,0)</f>
        <v/>
      </c>
      <c r="AG57" s="41">
        <f>IF(Revenue_Build!AG14=1,Assumptions!$D$255,0)</f>
        <v/>
      </c>
      <c r="AH57" s="41">
        <f>IF(Revenue_Build!AH14=1,Assumptions!$D$255,0)</f>
        <v/>
      </c>
      <c r="AI57" s="41">
        <f>IF(Revenue_Build!AI14=1,Assumptions!$D$255,0)</f>
        <v/>
      </c>
      <c r="AJ57" s="41">
        <f>IF(Revenue_Build!AJ14=1,Assumptions!$D$255,0)</f>
        <v/>
      </c>
      <c r="AK57" s="41">
        <f>IF(Revenue_Build!AK14=1,Assumptions!$D$255,0)</f>
        <v/>
      </c>
      <c r="AL57" s="41">
        <f>IF(Revenue_Build!AL14=1,Assumptions!$D$255,0)</f>
        <v/>
      </c>
      <c r="AM57" s="41">
        <f>IF(Revenue_Build!AM14=1,Assumptions!$D$255,0)</f>
        <v/>
      </c>
      <c r="AN57" s="41">
        <f>IF(Revenue_Build!AN14=1,Assumptions!$D$255,0)</f>
        <v/>
      </c>
      <c r="AO57" s="41">
        <f>IF(Revenue_Build!AO14=1,Assumptions!$D$255,0)</f>
        <v/>
      </c>
      <c r="AP57" s="41">
        <f>IF(Revenue_Build!AP14=1,Assumptions!$D$255,0)</f>
        <v/>
      </c>
      <c r="AQ57" s="41">
        <f>IF(Revenue_Build!AQ14=1,Assumptions!$D$255,0)</f>
        <v/>
      </c>
      <c r="AR57" s="41">
        <f>IF(Revenue_Build!AR14=1,Assumptions!$D$255,0)</f>
        <v/>
      </c>
      <c r="AS57" s="41">
        <f>IF(Revenue_Build!AS14=1,Assumptions!$D$255,0)</f>
        <v/>
      </c>
      <c r="AT57" s="41">
        <f>IF(Revenue_Build!AT14=1,Assumptions!$D$255,0)</f>
        <v/>
      </c>
      <c r="AU57" s="41">
        <f>IF(Revenue_Build!AU14=1,Assumptions!$D$255,0)</f>
        <v/>
      </c>
      <c r="AV57" s="41">
        <f>IF(Revenue_Build!AV14=1,Assumptions!$D$255,0)</f>
        <v/>
      </c>
      <c r="AW57" s="41">
        <f>IF(Revenue_Build!AW14=1,Assumptions!$D$255,0)</f>
        <v/>
      </c>
      <c r="AX57" s="41">
        <f>IF(Revenue_Build!AX14=1,Assumptions!$D$255,0)</f>
        <v/>
      </c>
      <c r="AY57" s="41">
        <f>IF(Revenue_Build!AY14=1,Assumptions!$D$255,0)</f>
        <v/>
      </c>
      <c r="AZ57" s="41">
        <f>IF(Revenue_Build!AZ14=1,Assumptions!$D$255,0)</f>
        <v/>
      </c>
      <c r="BA57" s="41">
        <f>IF(Revenue_Build!BA14=1,Assumptions!$D$255,0)</f>
        <v/>
      </c>
      <c r="BB57" s="41">
        <f>IF(Revenue_Build!BB14=1,Assumptions!$D$255,0)</f>
        <v/>
      </c>
      <c r="BC57" s="41">
        <f>IF(Revenue_Build!BC14=1,Assumptions!$D$255,0)</f>
        <v/>
      </c>
      <c r="BD57" s="41">
        <f>IF(Revenue_Build!BD14=1,Assumptions!$D$255,0)</f>
        <v/>
      </c>
      <c r="BE57" s="41">
        <f>IF(Revenue_Build!BE14=1,Assumptions!$D$255,0)</f>
        <v/>
      </c>
      <c r="BF57" s="41">
        <f>IF(Revenue_Build!BF14=1,Assumptions!$D$255,0)</f>
        <v/>
      </c>
      <c r="BG57" s="41">
        <f>IF(Revenue_Build!BG14=1,Assumptions!$D$255,0)</f>
        <v/>
      </c>
      <c r="BH57" s="41">
        <f>IF(Revenue_Build!BH14=1,Assumptions!$D$255,0)</f>
        <v/>
      </c>
      <c r="BI57" s="41">
        <f>IF(Revenue_Build!BI14=1,Assumptions!$D$255,0)</f>
        <v/>
      </c>
      <c r="BJ57" s="41">
        <f>IF(Revenue_Build!BJ14=1,Assumptions!$D$255,0)</f>
        <v/>
      </c>
    </row>
    <row r="58">
      <c r="A58" s="4" t="inlineStr">
        <is>
          <t>Nigeria sales &amp; CS</t>
        </is>
      </c>
      <c r="B58" s="17" t="inlineStr">
        <is>
          <t>FTE</t>
        </is>
      </c>
      <c r="C58" s="41">
        <f>IF(Revenue_Build!C15=1,Assumptions!$D$256,0)</f>
        <v/>
      </c>
      <c r="D58" s="41">
        <f>IF(Revenue_Build!D15=1,Assumptions!$D$256,0)</f>
        <v/>
      </c>
      <c r="E58" s="41">
        <f>IF(Revenue_Build!E15=1,Assumptions!$D$256,0)</f>
        <v/>
      </c>
      <c r="F58" s="41">
        <f>IF(Revenue_Build!F15=1,Assumptions!$D$256,0)</f>
        <v/>
      </c>
      <c r="G58" s="41">
        <f>IF(Revenue_Build!G15=1,Assumptions!$D$256,0)</f>
        <v/>
      </c>
      <c r="H58" s="41">
        <f>IF(Revenue_Build!H15=1,Assumptions!$D$256,0)</f>
        <v/>
      </c>
      <c r="I58" s="41">
        <f>IF(Revenue_Build!I15=1,Assumptions!$D$256,0)</f>
        <v/>
      </c>
      <c r="J58" s="41">
        <f>IF(Revenue_Build!J15=1,Assumptions!$D$256,0)</f>
        <v/>
      </c>
      <c r="K58" s="41">
        <f>IF(Revenue_Build!K15=1,Assumptions!$D$256,0)</f>
        <v/>
      </c>
      <c r="L58" s="41">
        <f>IF(Revenue_Build!L15=1,Assumptions!$D$256,0)</f>
        <v/>
      </c>
      <c r="M58" s="41">
        <f>IF(Revenue_Build!M15=1,Assumptions!$D$256,0)</f>
        <v/>
      </c>
      <c r="N58" s="41">
        <f>IF(Revenue_Build!N15=1,Assumptions!$D$256,0)</f>
        <v/>
      </c>
      <c r="O58" s="41">
        <f>IF(Revenue_Build!O15=1,Assumptions!$D$256,0)</f>
        <v/>
      </c>
      <c r="P58" s="41">
        <f>IF(Revenue_Build!P15=1,Assumptions!$D$256,0)</f>
        <v/>
      </c>
      <c r="Q58" s="41">
        <f>IF(Revenue_Build!Q15=1,Assumptions!$D$256,0)</f>
        <v/>
      </c>
      <c r="R58" s="41">
        <f>IF(Revenue_Build!R15=1,Assumptions!$D$256,0)</f>
        <v/>
      </c>
      <c r="S58" s="41">
        <f>IF(Revenue_Build!S15=1,Assumptions!$D$256,0)</f>
        <v/>
      </c>
      <c r="T58" s="41">
        <f>IF(Revenue_Build!T15=1,Assumptions!$D$256,0)</f>
        <v/>
      </c>
      <c r="U58" s="41">
        <f>IF(Revenue_Build!U15=1,Assumptions!$D$256,0)</f>
        <v/>
      </c>
      <c r="V58" s="41">
        <f>IF(Revenue_Build!V15=1,Assumptions!$D$256,0)</f>
        <v/>
      </c>
      <c r="W58" s="41">
        <f>IF(Revenue_Build!W15=1,Assumptions!$D$256,0)</f>
        <v/>
      </c>
      <c r="X58" s="41">
        <f>IF(Revenue_Build!X15=1,Assumptions!$D$256,0)</f>
        <v/>
      </c>
      <c r="Y58" s="41">
        <f>IF(Revenue_Build!Y15=1,Assumptions!$D$256,0)</f>
        <v/>
      </c>
      <c r="Z58" s="41">
        <f>IF(Revenue_Build!Z15=1,Assumptions!$D$256,0)</f>
        <v/>
      </c>
      <c r="AA58" s="41">
        <f>IF(Revenue_Build!AA15=1,Assumptions!$D$256,0)</f>
        <v/>
      </c>
      <c r="AB58" s="41">
        <f>IF(Revenue_Build!AB15=1,Assumptions!$D$256,0)</f>
        <v/>
      </c>
      <c r="AC58" s="41">
        <f>IF(Revenue_Build!AC15=1,Assumptions!$D$256,0)</f>
        <v/>
      </c>
      <c r="AD58" s="41">
        <f>IF(Revenue_Build!AD15=1,Assumptions!$D$256,0)</f>
        <v/>
      </c>
      <c r="AE58" s="41">
        <f>IF(Revenue_Build!AE15=1,Assumptions!$D$256,0)</f>
        <v/>
      </c>
      <c r="AF58" s="41">
        <f>IF(Revenue_Build!AF15=1,Assumptions!$D$256,0)</f>
        <v/>
      </c>
      <c r="AG58" s="41">
        <f>IF(Revenue_Build!AG15=1,Assumptions!$D$256,0)</f>
        <v/>
      </c>
      <c r="AH58" s="41">
        <f>IF(Revenue_Build!AH15=1,Assumptions!$D$256,0)</f>
        <v/>
      </c>
      <c r="AI58" s="41">
        <f>IF(Revenue_Build!AI15=1,Assumptions!$D$256,0)</f>
        <v/>
      </c>
      <c r="AJ58" s="41">
        <f>IF(Revenue_Build!AJ15=1,Assumptions!$D$256,0)</f>
        <v/>
      </c>
      <c r="AK58" s="41">
        <f>IF(Revenue_Build!AK15=1,Assumptions!$D$256,0)</f>
        <v/>
      </c>
      <c r="AL58" s="41">
        <f>IF(Revenue_Build!AL15=1,Assumptions!$D$256,0)</f>
        <v/>
      </c>
      <c r="AM58" s="41">
        <f>IF(Revenue_Build!AM15=1,Assumptions!$D$256,0)</f>
        <v/>
      </c>
      <c r="AN58" s="41">
        <f>IF(Revenue_Build!AN15=1,Assumptions!$D$256,0)</f>
        <v/>
      </c>
      <c r="AO58" s="41">
        <f>IF(Revenue_Build!AO15=1,Assumptions!$D$256,0)</f>
        <v/>
      </c>
      <c r="AP58" s="41">
        <f>IF(Revenue_Build!AP15=1,Assumptions!$D$256,0)</f>
        <v/>
      </c>
      <c r="AQ58" s="41">
        <f>IF(Revenue_Build!AQ15=1,Assumptions!$D$256,0)</f>
        <v/>
      </c>
      <c r="AR58" s="41">
        <f>IF(Revenue_Build!AR15=1,Assumptions!$D$256,0)</f>
        <v/>
      </c>
      <c r="AS58" s="41">
        <f>IF(Revenue_Build!AS15=1,Assumptions!$D$256,0)</f>
        <v/>
      </c>
      <c r="AT58" s="41">
        <f>IF(Revenue_Build!AT15=1,Assumptions!$D$256,0)</f>
        <v/>
      </c>
      <c r="AU58" s="41">
        <f>IF(Revenue_Build!AU15=1,Assumptions!$D$256,0)</f>
        <v/>
      </c>
      <c r="AV58" s="41">
        <f>IF(Revenue_Build!AV15=1,Assumptions!$D$256,0)</f>
        <v/>
      </c>
      <c r="AW58" s="41">
        <f>IF(Revenue_Build!AW15=1,Assumptions!$D$256,0)</f>
        <v/>
      </c>
      <c r="AX58" s="41">
        <f>IF(Revenue_Build!AX15=1,Assumptions!$D$256,0)</f>
        <v/>
      </c>
      <c r="AY58" s="41">
        <f>IF(Revenue_Build!AY15=1,Assumptions!$D$256,0)</f>
        <v/>
      </c>
      <c r="AZ58" s="41">
        <f>IF(Revenue_Build!AZ15=1,Assumptions!$D$256,0)</f>
        <v/>
      </c>
      <c r="BA58" s="41">
        <f>IF(Revenue_Build!BA15=1,Assumptions!$D$256,0)</f>
        <v/>
      </c>
      <c r="BB58" s="41">
        <f>IF(Revenue_Build!BB15=1,Assumptions!$D$256,0)</f>
        <v/>
      </c>
      <c r="BC58" s="41">
        <f>IF(Revenue_Build!BC15=1,Assumptions!$D$256,0)</f>
        <v/>
      </c>
      <c r="BD58" s="41">
        <f>IF(Revenue_Build!BD15=1,Assumptions!$D$256,0)</f>
        <v/>
      </c>
      <c r="BE58" s="41">
        <f>IF(Revenue_Build!BE15=1,Assumptions!$D$256,0)</f>
        <v/>
      </c>
      <c r="BF58" s="41">
        <f>IF(Revenue_Build!BF15=1,Assumptions!$D$256,0)</f>
        <v/>
      </c>
      <c r="BG58" s="41">
        <f>IF(Revenue_Build!BG15=1,Assumptions!$D$256,0)</f>
        <v/>
      </c>
      <c r="BH58" s="41">
        <f>IF(Revenue_Build!BH15=1,Assumptions!$D$256,0)</f>
        <v/>
      </c>
      <c r="BI58" s="41">
        <f>IF(Revenue_Build!BI15=1,Assumptions!$D$256,0)</f>
        <v/>
      </c>
      <c r="BJ58" s="41">
        <f>IF(Revenue_Build!BJ15=1,Assumptions!$D$256,0)</f>
        <v/>
      </c>
    </row>
    <row r="59">
      <c r="A59" s="4" t="inlineStr">
        <is>
          <t>Nigeria team expansion</t>
        </is>
      </c>
      <c r="B59" s="17" t="inlineStr">
        <is>
          <t>FTE</t>
        </is>
      </c>
      <c r="C59" s="41">
        <f>0</f>
        <v/>
      </c>
      <c r="D59" s="41">
        <f>0</f>
        <v/>
      </c>
      <c r="E59" s="41">
        <f>0</f>
        <v/>
      </c>
      <c r="F59" s="41">
        <f>0</f>
        <v/>
      </c>
      <c r="G59" s="41">
        <f>0</f>
        <v/>
      </c>
      <c r="H59" s="41">
        <f>0</f>
        <v/>
      </c>
      <c r="I59" s="41">
        <f>0</f>
        <v/>
      </c>
      <c r="J59" s="41">
        <f>0</f>
        <v/>
      </c>
      <c r="K59" s="41">
        <f>0</f>
        <v/>
      </c>
      <c r="L59" s="41">
        <f>0</f>
        <v/>
      </c>
      <c r="M59" s="41">
        <f>0</f>
        <v/>
      </c>
      <c r="N59" s="41">
        <f>0</f>
        <v/>
      </c>
      <c r="O59" s="41">
        <f>IF(Revenue_Build!C15=1,Assumptions!$D$257,0)</f>
        <v/>
      </c>
      <c r="P59" s="41">
        <f>IF(Revenue_Build!D15=1,Assumptions!$D$257,0)</f>
        <v/>
      </c>
      <c r="Q59" s="41">
        <f>IF(Revenue_Build!E15=1,Assumptions!$D$257,0)</f>
        <v/>
      </c>
      <c r="R59" s="41">
        <f>IF(Revenue_Build!F15=1,Assumptions!$D$257,0)</f>
        <v/>
      </c>
      <c r="S59" s="41">
        <f>IF(Revenue_Build!G15=1,Assumptions!$D$257,0)</f>
        <v/>
      </c>
      <c r="T59" s="41">
        <f>IF(Revenue_Build!H15=1,Assumptions!$D$257,0)</f>
        <v/>
      </c>
      <c r="U59" s="41">
        <f>IF(Revenue_Build!I15=1,Assumptions!$D$257,0)</f>
        <v/>
      </c>
      <c r="V59" s="41">
        <f>IF(Revenue_Build!J15=1,Assumptions!$D$257,0)</f>
        <v/>
      </c>
      <c r="W59" s="41">
        <f>IF(Revenue_Build!K15=1,Assumptions!$D$257,0)</f>
        <v/>
      </c>
      <c r="X59" s="41">
        <f>IF(Revenue_Build!L15=1,Assumptions!$D$257,0)</f>
        <v/>
      </c>
      <c r="Y59" s="41">
        <f>IF(Revenue_Build!M15=1,Assumptions!$D$257,0)</f>
        <v/>
      </c>
      <c r="Z59" s="41">
        <f>IF(Revenue_Build!N15=1,Assumptions!$D$257,0)</f>
        <v/>
      </c>
      <c r="AA59" s="41">
        <f>IF(Revenue_Build!O15=1,Assumptions!$D$257,0)</f>
        <v/>
      </c>
      <c r="AB59" s="41">
        <f>IF(Revenue_Build!P15=1,Assumptions!$D$257,0)</f>
        <v/>
      </c>
      <c r="AC59" s="41">
        <f>IF(Revenue_Build!Q15=1,Assumptions!$D$257,0)</f>
        <v/>
      </c>
      <c r="AD59" s="41">
        <f>IF(Revenue_Build!R15=1,Assumptions!$D$257,0)</f>
        <v/>
      </c>
      <c r="AE59" s="41">
        <f>IF(Revenue_Build!S15=1,Assumptions!$D$257,0)</f>
        <v/>
      </c>
      <c r="AF59" s="41">
        <f>IF(Revenue_Build!T15=1,Assumptions!$D$257,0)</f>
        <v/>
      </c>
      <c r="AG59" s="41">
        <f>IF(Revenue_Build!U15=1,Assumptions!$D$257,0)</f>
        <v/>
      </c>
      <c r="AH59" s="41">
        <f>IF(Revenue_Build!V15=1,Assumptions!$D$257,0)</f>
        <v/>
      </c>
      <c r="AI59" s="41">
        <f>IF(Revenue_Build!W15=1,Assumptions!$D$257,0)</f>
        <v/>
      </c>
      <c r="AJ59" s="41">
        <f>IF(Revenue_Build!X15=1,Assumptions!$D$257,0)</f>
        <v/>
      </c>
      <c r="AK59" s="41">
        <f>IF(Revenue_Build!Y15=1,Assumptions!$D$257,0)</f>
        <v/>
      </c>
      <c r="AL59" s="41">
        <f>IF(Revenue_Build!Z15=1,Assumptions!$D$257,0)</f>
        <v/>
      </c>
      <c r="AM59" s="41">
        <f>IF(Revenue_Build!AA15=1,Assumptions!$D$257,0)</f>
        <v/>
      </c>
      <c r="AN59" s="41">
        <f>IF(Revenue_Build!AB15=1,Assumptions!$D$257,0)</f>
        <v/>
      </c>
      <c r="AO59" s="41">
        <f>IF(Revenue_Build!AC15=1,Assumptions!$D$257,0)</f>
        <v/>
      </c>
      <c r="AP59" s="41">
        <f>IF(Revenue_Build!AD15=1,Assumptions!$D$257,0)</f>
        <v/>
      </c>
      <c r="AQ59" s="41">
        <f>IF(Revenue_Build!AE15=1,Assumptions!$D$257,0)</f>
        <v/>
      </c>
      <c r="AR59" s="41">
        <f>IF(Revenue_Build!AF15=1,Assumptions!$D$257,0)</f>
        <v/>
      </c>
      <c r="AS59" s="41">
        <f>IF(Revenue_Build!AG15=1,Assumptions!$D$257,0)</f>
        <v/>
      </c>
      <c r="AT59" s="41">
        <f>IF(Revenue_Build!AH15=1,Assumptions!$D$257,0)</f>
        <v/>
      </c>
      <c r="AU59" s="41">
        <f>IF(Revenue_Build!AI15=1,Assumptions!$D$257,0)</f>
        <v/>
      </c>
      <c r="AV59" s="41">
        <f>IF(Revenue_Build!AJ15=1,Assumptions!$D$257,0)</f>
        <v/>
      </c>
      <c r="AW59" s="41">
        <f>IF(Revenue_Build!AK15=1,Assumptions!$D$257,0)</f>
        <v/>
      </c>
      <c r="AX59" s="41">
        <f>IF(Revenue_Build!AL15=1,Assumptions!$D$257,0)</f>
        <v/>
      </c>
      <c r="AY59" s="41">
        <f>IF(Revenue_Build!AM15=1,Assumptions!$D$257,0)</f>
        <v/>
      </c>
      <c r="AZ59" s="41">
        <f>IF(Revenue_Build!AN15=1,Assumptions!$D$257,0)</f>
        <v/>
      </c>
      <c r="BA59" s="41">
        <f>IF(Revenue_Build!AO15=1,Assumptions!$D$257,0)</f>
        <v/>
      </c>
      <c r="BB59" s="41">
        <f>IF(Revenue_Build!AP15=1,Assumptions!$D$257,0)</f>
        <v/>
      </c>
      <c r="BC59" s="41">
        <f>IF(Revenue_Build!AQ15=1,Assumptions!$D$257,0)</f>
        <v/>
      </c>
      <c r="BD59" s="41">
        <f>IF(Revenue_Build!AR15=1,Assumptions!$D$257,0)</f>
        <v/>
      </c>
      <c r="BE59" s="41">
        <f>IF(Revenue_Build!AS15=1,Assumptions!$D$257,0)</f>
        <v/>
      </c>
      <c r="BF59" s="41">
        <f>IF(Revenue_Build!AT15=1,Assumptions!$D$257,0)</f>
        <v/>
      </c>
      <c r="BG59" s="41">
        <f>IF(Revenue_Build!AU15=1,Assumptions!$D$257,0)</f>
        <v/>
      </c>
      <c r="BH59" s="41">
        <f>IF(Revenue_Build!AV15=1,Assumptions!$D$257,0)</f>
        <v/>
      </c>
      <c r="BI59" s="41">
        <f>IF(Revenue_Build!AW15=1,Assumptions!$D$257,0)</f>
        <v/>
      </c>
      <c r="BJ59" s="41">
        <f>IF(Revenue_Build!AX15=1,Assumptions!$D$257,0)</f>
        <v/>
      </c>
    </row>
    <row r="60">
      <c r="A60" s="4" t="inlineStr">
        <is>
          <t>Country lead: Kenya</t>
        </is>
      </c>
      <c r="B60" s="17" t="inlineStr">
        <is>
          <t>FTE</t>
        </is>
      </c>
      <c r="C60" s="41">
        <f>IF(Revenue_Build!C16=1,Assumptions!$D$258,0)</f>
        <v/>
      </c>
      <c r="D60" s="41">
        <f>IF(Revenue_Build!D16=1,Assumptions!$D$258,0)</f>
        <v/>
      </c>
      <c r="E60" s="41">
        <f>IF(Revenue_Build!E16=1,Assumptions!$D$258,0)</f>
        <v/>
      </c>
      <c r="F60" s="41">
        <f>IF(Revenue_Build!F16=1,Assumptions!$D$258,0)</f>
        <v/>
      </c>
      <c r="G60" s="41">
        <f>IF(Revenue_Build!G16=1,Assumptions!$D$258,0)</f>
        <v/>
      </c>
      <c r="H60" s="41">
        <f>IF(Revenue_Build!H16=1,Assumptions!$D$258,0)</f>
        <v/>
      </c>
      <c r="I60" s="41">
        <f>IF(Revenue_Build!I16=1,Assumptions!$D$258,0)</f>
        <v/>
      </c>
      <c r="J60" s="41">
        <f>IF(Revenue_Build!J16=1,Assumptions!$D$258,0)</f>
        <v/>
      </c>
      <c r="K60" s="41">
        <f>IF(Revenue_Build!K16=1,Assumptions!$D$258,0)</f>
        <v/>
      </c>
      <c r="L60" s="41">
        <f>IF(Revenue_Build!L16=1,Assumptions!$D$258,0)</f>
        <v/>
      </c>
      <c r="M60" s="41">
        <f>IF(Revenue_Build!M16=1,Assumptions!$D$258,0)</f>
        <v/>
      </c>
      <c r="N60" s="41">
        <f>IF(Revenue_Build!N16=1,Assumptions!$D$258,0)</f>
        <v/>
      </c>
      <c r="O60" s="41">
        <f>IF(Revenue_Build!O16=1,Assumptions!$D$258,0)</f>
        <v/>
      </c>
      <c r="P60" s="41">
        <f>IF(Revenue_Build!P16=1,Assumptions!$D$258,0)</f>
        <v/>
      </c>
      <c r="Q60" s="41">
        <f>IF(Revenue_Build!Q16=1,Assumptions!$D$258,0)</f>
        <v/>
      </c>
      <c r="R60" s="41">
        <f>IF(Revenue_Build!R16=1,Assumptions!$D$258,0)</f>
        <v/>
      </c>
      <c r="S60" s="41">
        <f>IF(Revenue_Build!S16=1,Assumptions!$D$258,0)</f>
        <v/>
      </c>
      <c r="T60" s="41">
        <f>IF(Revenue_Build!T16=1,Assumptions!$D$258,0)</f>
        <v/>
      </c>
      <c r="U60" s="41">
        <f>IF(Revenue_Build!U16=1,Assumptions!$D$258,0)</f>
        <v/>
      </c>
      <c r="V60" s="41">
        <f>IF(Revenue_Build!V16=1,Assumptions!$D$258,0)</f>
        <v/>
      </c>
      <c r="W60" s="41">
        <f>IF(Revenue_Build!W16=1,Assumptions!$D$258,0)</f>
        <v/>
      </c>
      <c r="X60" s="41">
        <f>IF(Revenue_Build!X16=1,Assumptions!$D$258,0)</f>
        <v/>
      </c>
      <c r="Y60" s="41">
        <f>IF(Revenue_Build!Y16=1,Assumptions!$D$258,0)</f>
        <v/>
      </c>
      <c r="Z60" s="41">
        <f>IF(Revenue_Build!Z16=1,Assumptions!$D$258,0)</f>
        <v/>
      </c>
      <c r="AA60" s="41">
        <f>IF(Revenue_Build!AA16=1,Assumptions!$D$258,0)</f>
        <v/>
      </c>
      <c r="AB60" s="41">
        <f>IF(Revenue_Build!AB16=1,Assumptions!$D$258,0)</f>
        <v/>
      </c>
      <c r="AC60" s="41">
        <f>IF(Revenue_Build!AC16=1,Assumptions!$D$258,0)</f>
        <v/>
      </c>
      <c r="AD60" s="41">
        <f>IF(Revenue_Build!AD16=1,Assumptions!$D$258,0)</f>
        <v/>
      </c>
      <c r="AE60" s="41">
        <f>IF(Revenue_Build!AE16=1,Assumptions!$D$258,0)</f>
        <v/>
      </c>
      <c r="AF60" s="41">
        <f>IF(Revenue_Build!AF16=1,Assumptions!$D$258,0)</f>
        <v/>
      </c>
      <c r="AG60" s="41">
        <f>IF(Revenue_Build!AG16=1,Assumptions!$D$258,0)</f>
        <v/>
      </c>
      <c r="AH60" s="41">
        <f>IF(Revenue_Build!AH16=1,Assumptions!$D$258,0)</f>
        <v/>
      </c>
      <c r="AI60" s="41">
        <f>IF(Revenue_Build!AI16=1,Assumptions!$D$258,0)</f>
        <v/>
      </c>
      <c r="AJ60" s="41">
        <f>IF(Revenue_Build!AJ16=1,Assumptions!$D$258,0)</f>
        <v/>
      </c>
      <c r="AK60" s="41">
        <f>IF(Revenue_Build!AK16=1,Assumptions!$D$258,0)</f>
        <v/>
      </c>
      <c r="AL60" s="41">
        <f>IF(Revenue_Build!AL16=1,Assumptions!$D$258,0)</f>
        <v/>
      </c>
      <c r="AM60" s="41">
        <f>IF(Revenue_Build!AM16=1,Assumptions!$D$258,0)</f>
        <v/>
      </c>
      <c r="AN60" s="41">
        <f>IF(Revenue_Build!AN16=1,Assumptions!$D$258,0)</f>
        <v/>
      </c>
      <c r="AO60" s="41">
        <f>IF(Revenue_Build!AO16=1,Assumptions!$D$258,0)</f>
        <v/>
      </c>
      <c r="AP60" s="41">
        <f>IF(Revenue_Build!AP16=1,Assumptions!$D$258,0)</f>
        <v/>
      </c>
      <c r="AQ60" s="41">
        <f>IF(Revenue_Build!AQ16=1,Assumptions!$D$258,0)</f>
        <v/>
      </c>
      <c r="AR60" s="41">
        <f>IF(Revenue_Build!AR16=1,Assumptions!$D$258,0)</f>
        <v/>
      </c>
      <c r="AS60" s="41">
        <f>IF(Revenue_Build!AS16=1,Assumptions!$D$258,0)</f>
        <v/>
      </c>
      <c r="AT60" s="41">
        <f>IF(Revenue_Build!AT16=1,Assumptions!$D$258,0)</f>
        <v/>
      </c>
      <c r="AU60" s="41">
        <f>IF(Revenue_Build!AU16=1,Assumptions!$D$258,0)</f>
        <v/>
      </c>
      <c r="AV60" s="41">
        <f>IF(Revenue_Build!AV16=1,Assumptions!$D$258,0)</f>
        <v/>
      </c>
      <c r="AW60" s="41">
        <f>IF(Revenue_Build!AW16=1,Assumptions!$D$258,0)</f>
        <v/>
      </c>
      <c r="AX60" s="41">
        <f>IF(Revenue_Build!AX16=1,Assumptions!$D$258,0)</f>
        <v/>
      </c>
      <c r="AY60" s="41">
        <f>IF(Revenue_Build!AY16=1,Assumptions!$D$258,0)</f>
        <v/>
      </c>
      <c r="AZ60" s="41">
        <f>IF(Revenue_Build!AZ16=1,Assumptions!$D$258,0)</f>
        <v/>
      </c>
      <c r="BA60" s="41">
        <f>IF(Revenue_Build!BA16=1,Assumptions!$D$258,0)</f>
        <v/>
      </c>
      <c r="BB60" s="41">
        <f>IF(Revenue_Build!BB16=1,Assumptions!$D$258,0)</f>
        <v/>
      </c>
      <c r="BC60" s="41">
        <f>IF(Revenue_Build!BC16=1,Assumptions!$D$258,0)</f>
        <v/>
      </c>
      <c r="BD60" s="41">
        <f>IF(Revenue_Build!BD16=1,Assumptions!$D$258,0)</f>
        <v/>
      </c>
      <c r="BE60" s="41">
        <f>IF(Revenue_Build!BE16=1,Assumptions!$D$258,0)</f>
        <v/>
      </c>
      <c r="BF60" s="41">
        <f>IF(Revenue_Build!BF16=1,Assumptions!$D$258,0)</f>
        <v/>
      </c>
      <c r="BG60" s="41">
        <f>IF(Revenue_Build!BG16=1,Assumptions!$D$258,0)</f>
        <v/>
      </c>
      <c r="BH60" s="41">
        <f>IF(Revenue_Build!BH16=1,Assumptions!$D$258,0)</f>
        <v/>
      </c>
      <c r="BI60" s="41">
        <f>IF(Revenue_Build!BI16=1,Assumptions!$D$258,0)</f>
        <v/>
      </c>
      <c r="BJ60" s="41">
        <f>IF(Revenue_Build!BJ16=1,Assumptions!$D$258,0)</f>
        <v/>
      </c>
    </row>
    <row r="61">
      <c r="A61" s="4" t="inlineStr">
        <is>
          <t>Kenya sales &amp; CS</t>
        </is>
      </c>
      <c r="B61" s="17" t="inlineStr">
        <is>
          <t>FTE</t>
        </is>
      </c>
      <c r="C61" s="41">
        <f>IF(Revenue_Build!C17=1,Assumptions!$D$259,0)</f>
        <v/>
      </c>
      <c r="D61" s="41">
        <f>IF(Revenue_Build!D17=1,Assumptions!$D$259,0)</f>
        <v/>
      </c>
      <c r="E61" s="41">
        <f>IF(Revenue_Build!E17=1,Assumptions!$D$259,0)</f>
        <v/>
      </c>
      <c r="F61" s="41">
        <f>IF(Revenue_Build!F17=1,Assumptions!$D$259,0)</f>
        <v/>
      </c>
      <c r="G61" s="41">
        <f>IF(Revenue_Build!G17=1,Assumptions!$D$259,0)</f>
        <v/>
      </c>
      <c r="H61" s="41">
        <f>IF(Revenue_Build!H17=1,Assumptions!$D$259,0)</f>
        <v/>
      </c>
      <c r="I61" s="41">
        <f>IF(Revenue_Build!I17=1,Assumptions!$D$259,0)</f>
        <v/>
      </c>
      <c r="J61" s="41">
        <f>IF(Revenue_Build!J17=1,Assumptions!$D$259,0)</f>
        <v/>
      </c>
      <c r="K61" s="41">
        <f>IF(Revenue_Build!K17=1,Assumptions!$D$259,0)</f>
        <v/>
      </c>
      <c r="L61" s="41">
        <f>IF(Revenue_Build!L17=1,Assumptions!$D$259,0)</f>
        <v/>
      </c>
      <c r="M61" s="41">
        <f>IF(Revenue_Build!M17=1,Assumptions!$D$259,0)</f>
        <v/>
      </c>
      <c r="N61" s="41">
        <f>IF(Revenue_Build!N17=1,Assumptions!$D$259,0)</f>
        <v/>
      </c>
      <c r="O61" s="41">
        <f>IF(Revenue_Build!O17=1,Assumptions!$D$259,0)</f>
        <v/>
      </c>
      <c r="P61" s="41">
        <f>IF(Revenue_Build!P17=1,Assumptions!$D$259,0)</f>
        <v/>
      </c>
      <c r="Q61" s="41">
        <f>IF(Revenue_Build!Q17=1,Assumptions!$D$259,0)</f>
        <v/>
      </c>
      <c r="R61" s="41">
        <f>IF(Revenue_Build!R17=1,Assumptions!$D$259,0)</f>
        <v/>
      </c>
      <c r="S61" s="41">
        <f>IF(Revenue_Build!S17=1,Assumptions!$D$259,0)</f>
        <v/>
      </c>
      <c r="T61" s="41">
        <f>IF(Revenue_Build!T17=1,Assumptions!$D$259,0)</f>
        <v/>
      </c>
      <c r="U61" s="41">
        <f>IF(Revenue_Build!U17=1,Assumptions!$D$259,0)</f>
        <v/>
      </c>
      <c r="V61" s="41">
        <f>IF(Revenue_Build!V17=1,Assumptions!$D$259,0)</f>
        <v/>
      </c>
      <c r="W61" s="41">
        <f>IF(Revenue_Build!W17=1,Assumptions!$D$259,0)</f>
        <v/>
      </c>
      <c r="X61" s="41">
        <f>IF(Revenue_Build!X17=1,Assumptions!$D$259,0)</f>
        <v/>
      </c>
      <c r="Y61" s="41">
        <f>IF(Revenue_Build!Y17=1,Assumptions!$D$259,0)</f>
        <v/>
      </c>
      <c r="Z61" s="41">
        <f>IF(Revenue_Build!Z17=1,Assumptions!$D$259,0)</f>
        <v/>
      </c>
      <c r="AA61" s="41">
        <f>IF(Revenue_Build!AA17=1,Assumptions!$D$259,0)</f>
        <v/>
      </c>
      <c r="AB61" s="41">
        <f>IF(Revenue_Build!AB17=1,Assumptions!$D$259,0)</f>
        <v/>
      </c>
      <c r="AC61" s="41">
        <f>IF(Revenue_Build!AC17=1,Assumptions!$D$259,0)</f>
        <v/>
      </c>
      <c r="AD61" s="41">
        <f>IF(Revenue_Build!AD17=1,Assumptions!$D$259,0)</f>
        <v/>
      </c>
      <c r="AE61" s="41">
        <f>IF(Revenue_Build!AE17=1,Assumptions!$D$259,0)</f>
        <v/>
      </c>
      <c r="AF61" s="41">
        <f>IF(Revenue_Build!AF17=1,Assumptions!$D$259,0)</f>
        <v/>
      </c>
      <c r="AG61" s="41">
        <f>IF(Revenue_Build!AG17=1,Assumptions!$D$259,0)</f>
        <v/>
      </c>
      <c r="AH61" s="41">
        <f>IF(Revenue_Build!AH17=1,Assumptions!$D$259,0)</f>
        <v/>
      </c>
      <c r="AI61" s="41">
        <f>IF(Revenue_Build!AI17=1,Assumptions!$D$259,0)</f>
        <v/>
      </c>
      <c r="AJ61" s="41">
        <f>IF(Revenue_Build!AJ17=1,Assumptions!$D$259,0)</f>
        <v/>
      </c>
      <c r="AK61" s="41">
        <f>IF(Revenue_Build!AK17=1,Assumptions!$D$259,0)</f>
        <v/>
      </c>
      <c r="AL61" s="41">
        <f>IF(Revenue_Build!AL17=1,Assumptions!$D$259,0)</f>
        <v/>
      </c>
      <c r="AM61" s="41">
        <f>IF(Revenue_Build!AM17=1,Assumptions!$D$259,0)</f>
        <v/>
      </c>
      <c r="AN61" s="41">
        <f>IF(Revenue_Build!AN17=1,Assumptions!$D$259,0)</f>
        <v/>
      </c>
      <c r="AO61" s="41">
        <f>IF(Revenue_Build!AO17=1,Assumptions!$D$259,0)</f>
        <v/>
      </c>
      <c r="AP61" s="41">
        <f>IF(Revenue_Build!AP17=1,Assumptions!$D$259,0)</f>
        <v/>
      </c>
      <c r="AQ61" s="41">
        <f>IF(Revenue_Build!AQ17=1,Assumptions!$D$259,0)</f>
        <v/>
      </c>
      <c r="AR61" s="41">
        <f>IF(Revenue_Build!AR17=1,Assumptions!$D$259,0)</f>
        <v/>
      </c>
      <c r="AS61" s="41">
        <f>IF(Revenue_Build!AS17=1,Assumptions!$D$259,0)</f>
        <v/>
      </c>
      <c r="AT61" s="41">
        <f>IF(Revenue_Build!AT17=1,Assumptions!$D$259,0)</f>
        <v/>
      </c>
      <c r="AU61" s="41">
        <f>IF(Revenue_Build!AU17=1,Assumptions!$D$259,0)</f>
        <v/>
      </c>
      <c r="AV61" s="41">
        <f>IF(Revenue_Build!AV17=1,Assumptions!$D$259,0)</f>
        <v/>
      </c>
      <c r="AW61" s="41">
        <f>IF(Revenue_Build!AW17=1,Assumptions!$D$259,0)</f>
        <v/>
      </c>
      <c r="AX61" s="41">
        <f>IF(Revenue_Build!AX17=1,Assumptions!$D$259,0)</f>
        <v/>
      </c>
      <c r="AY61" s="41">
        <f>IF(Revenue_Build!AY17=1,Assumptions!$D$259,0)</f>
        <v/>
      </c>
      <c r="AZ61" s="41">
        <f>IF(Revenue_Build!AZ17=1,Assumptions!$D$259,0)</f>
        <v/>
      </c>
      <c r="BA61" s="41">
        <f>IF(Revenue_Build!BA17=1,Assumptions!$D$259,0)</f>
        <v/>
      </c>
      <c r="BB61" s="41">
        <f>IF(Revenue_Build!BB17=1,Assumptions!$D$259,0)</f>
        <v/>
      </c>
      <c r="BC61" s="41">
        <f>IF(Revenue_Build!BC17=1,Assumptions!$D$259,0)</f>
        <v/>
      </c>
      <c r="BD61" s="41">
        <f>IF(Revenue_Build!BD17=1,Assumptions!$D$259,0)</f>
        <v/>
      </c>
      <c r="BE61" s="41">
        <f>IF(Revenue_Build!BE17=1,Assumptions!$D$259,0)</f>
        <v/>
      </c>
      <c r="BF61" s="41">
        <f>IF(Revenue_Build!BF17=1,Assumptions!$D$259,0)</f>
        <v/>
      </c>
      <c r="BG61" s="41">
        <f>IF(Revenue_Build!BG17=1,Assumptions!$D$259,0)</f>
        <v/>
      </c>
      <c r="BH61" s="41">
        <f>IF(Revenue_Build!BH17=1,Assumptions!$D$259,0)</f>
        <v/>
      </c>
      <c r="BI61" s="41">
        <f>IF(Revenue_Build!BI17=1,Assumptions!$D$259,0)</f>
        <v/>
      </c>
      <c r="BJ61" s="41">
        <f>IF(Revenue_Build!BJ17=1,Assumptions!$D$259,0)</f>
        <v/>
      </c>
    </row>
    <row r="62">
      <c r="A62" s="4" t="inlineStr">
        <is>
          <t>Kenya team expansion</t>
        </is>
      </c>
      <c r="B62" s="17" t="inlineStr">
        <is>
          <t>FTE</t>
        </is>
      </c>
      <c r="C62" s="41">
        <f>0</f>
        <v/>
      </c>
      <c r="D62" s="41">
        <f>0</f>
        <v/>
      </c>
      <c r="E62" s="41">
        <f>0</f>
        <v/>
      </c>
      <c r="F62" s="41">
        <f>0</f>
        <v/>
      </c>
      <c r="G62" s="41">
        <f>0</f>
        <v/>
      </c>
      <c r="H62" s="41">
        <f>0</f>
        <v/>
      </c>
      <c r="I62" s="41">
        <f>0</f>
        <v/>
      </c>
      <c r="J62" s="41">
        <f>0</f>
        <v/>
      </c>
      <c r="K62" s="41">
        <f>0</f>
        <v/>
      </c>
      <c r="L62" s="41">
        <f>0</f>
        <v/>
      </c>
      <c r="M62" s="41">
        <f>0</f>
        <v/>
      </c>
      <c r="N62" s="41">
        <f>0</f>
        <v/>
      </c>
      <c r="O62" s="41">
        <f>IF(Revenue_Build!C17=1,Assumptions!$D$260,0)</f>
        <v/>
      </c>
      <c r="P62" s="41">
        <f>IF(Revenue_Build!D17=1,Assumptions!$D$260,0)</f>
        <v/>
      </c>
      <c r="Q62" s="41">
        <f>IF(Revenue_Build!E17=1,Assumptions!$D$260,0)</f>
        <v/>
      </c>
      <c r="R62" s="41">
        <f>IF(Revenue_Build!F17=1,Assumptions!$D$260,0)</f>
        <v/>
      </c>
      <c r="S62" s="41">
        <f>IF(Revenue_Build!G17=1,Assumptions!$D$260,0)</f>
        <v/>
      </c>
      <c r="T62" s="41">
        <f>IF(Revenue_Build!H17=1,Assumptions!$D$260,0)</f>
        <v/>
      </c>
      <c r="U62" s="41">
        <f>IF(Revenue_Build!I17=1,Assumptions!$D$260,0)</f>
        <v/>
      </c>
      <c r="V62" s="41">
        <f>IF(Revenue_Build!J17=1,Assumptions!$D$260,0)</f>
        <v/>
      </c>
      <c r="W62" s="41">
        <f>IF(Revenue_Build!K17=1,Assumptions!$D$260,0)</f>
        <v/>
      </c>
      <c r="X62" s="41">
        <f>IF(Revenue_Build!L17=1,Assumptions!$D$260,0)</f>
        <v/>
      </c>
      <c r="Y62" s="41">
        <f>IF(Revenue_Build!M17=1,Assumptions!$D$260,0)</f>
        <v/>
      </c>
      <c r="Z62" s="41">
        <f>IF(Revenue_Build!N17=1,Assumptions!$D$260,0)</f>
        <v/>
      </c>
      <c r="AA62" s="41">
        <f>IF(Revenue_Build!O17=1,Assumptions!$D$260,0)</f>
        <v/>
      </c>
      <c r="AB62" s="41">
        <f>IF(Revenue_Build!P17=1,Assumptions!$D$260,0)</f>
        <v/>
      </c>
      <c r="AC62" s="41">
        <f>IF(Revenue_Build!Q17=1,Assumptions!$D$260,0)</f>
        <v/>
      </c>
      <c r="AD62" s="41">
        <f>IF(Revenue_Build!R17=1,Assumptions!$D$260,0)</f>
        <v/>
      </c>
      <c r="AE62" s="41">
        <f>IF(Revenue_Build!S17=1,Assumptions!$D$260,0)</f>
        <v/>
      </c>
      <c r="AF62" s="41">
        <f>IF(Revenue_Build!T17=1,Assumptions!$D$260,0)</f>
        <v/>
      </c>
      <c r="AG62" s="41">
        <f>IF(Revenue_Build!U17=1,Assumptions!$D$260,0)</f>
        <v/>
      </c>
      <c r="AH62" s="41">
        <f>IF(Revenue_Build!V17=1,Assumptions!$D$260,0)</f>
        <v/>
      </c>
      <c r="AI62" s="41">
        <f>IF(Revenue_Build!W17=1,Assumptions!$D$260,0)</f>
        <v/>
      </c>
      <c r="AJ62" s="41">
        <f>IF(Revenue_Build!X17=1,Assumptions!$D$260,0)</f>
        <v/>
      </c>
      <c r="AK62" s="41">
        <f>IF(Revenue_Build!Y17=1,Assumptions!$D$260,0)</f>
        <v/>
      </c>
      <c r="AL62" s="41">
        <f>IF(Revenue_Build!Z17=1,Assumptions!$D$260,0)</f>
        <v/>
      </c>
      <c r="AM62" s="41">
        <f>IF(Revenue_Build!AA17=1,Assumptions!$D$260,0)</f>
        <v/>
      </c>
      <c r="AN62" s="41">
        <f>IF(Revenue_Build!AB17=1,Assumptions!$D$260,0)</f>
        <v/>
      </c>
      <c r="AO62" s="41">
        <f>IF(Revenue_Build!AC17=1,Assumptions!$D$260,0)</f>
        <v/>
      </c>
      <c r="AP62" s="41">
        <f>IF(Revenue_Build!AD17=1,Assumptions!$D$260,0)</f>
        <v/>
      </c>
      <c r="AQ62" s="41">
        <f>IF(Revenue_Build!AE17=1,Assumptions!$D$260,0)</f>
        <v/>
      </c>
      <c r="AR62" s="41">
        <f>IF(Revenue_Build!AF17=1,Assumptions!$D$260,0)</f>
        <v/>
      </c>
      <c r="AS62" s="41">
        <f>IF(Revenue_Build!AG17=1,Assumptions!$D$260,0)</f>
        <v/>
      </c>
      <c r="AT62" s="41">
        <f>IF(Revenue_Build!AH17=1,Assumptions!$D$260,0)</f>
        <v/>
      </c>
      <c r="AU62" s="41">
        <f>IF(Revenue_Build!AI17=1,Assumptions!$D$260,0)</f>
        <v/>
      </c>
      <c r="AV62" s="41">
        <f>IF(Revenue_Build!AJ17=1,Assumptions!$D$260,0)</f>
        <v/>
      </c>
      <c r="AW62" s="41">
        <f>IF(Revenue_Build!AK17=1,Assumptions!$D$260,0)</f>
        <v/>
      </c>
      <c r="AX62" s="41">
        <f>IF(Revenue_Build!AL17=1,Assumptions!$D$260,0)</f>
        <v/>
      </c>
      <c r="AY62" s="41">
        <f>IF(Revenue_Build!AM17=1,Assumptions!$D$260,0)</f>
        <v/>
      </c>
      <c r="AZ62" s="41">
        <f>IF(Revenue_Build!AN17=1,Assumptions!$D$260,0)</f>
        <v/>
      </c>
      <c r="BA62" s="41">
        <f>IF(Revenue_Build!AO17=1,Assumptions!$D$260,0)</f>
        <v/>
      </c>
      <c r="BB62" s="41">
        <f>IF(Revenue_Build!AP17=1,Assumptions!$D$260,0)</f>
        <v/>
      </c>
      <c r="BC62" s="41">
        <f>IF(Revenue_Build!AQ17=1,Assumptions!$D$260,0)</f>
        <v/>
      </c>
      <c r="BD62" s="41">
        <f>IF(Revenue_Build!AR17=1,Assumptions!$D$260,0)</f>
        <v/>
      </c>
      <c r="BE62" s="41">
        <f>IF(Revenue_Build!AS17=1,Assumptions!$D$260,0)</f>
        <v/>
      </c>
      <c r="BF62" s="41">
        <f>IF(Revenue_Build!AT17=1,Assumptions!$D$260,0)</f>
        <v/>
      </c>
      <c r="BG62" s="41">
        <f>IF(Revenue_Build!AU17=1,Assumptions!$D$260,0)</f>
        <v/>
      </c>
      <c r="BH62" s="41">
        <f>IF(Revenue_Build!AV17=1,Assumptions!$D$260,0)</f>
        <v/>
      </c>
      <c r="BI62" s="41">
        <f>IF(Revenue_Build!AW17=1,Assumptions!$D$260,0)</f>
        <v/>
      </c>
      <c r="BJ62" s="41">
        <f>IF(Revenue_Build!AX17=1,Assumptions!$D$260,0)</f>
        <v/>
      </c>
    </row>
    <row r="63">
      <c r="A63" s="4" t="inlineStr">
        <is>
          <t>Country lead: Ghana</t>
        </is>
      </c>
      <c r="B63" s="17" t="inlineStr">
        <is>
          <t>FTE</t>
        </is>
      </c>
      <c r="C63" s="41">
        <f>IF(Revenue_Build!C18=1,Assumptions!$D$261,0)</f>
        <v/>
      </c>
      <c r="D63" s="41">
        <f>IF(Revenue_Build!D18=1,Assumptions!$D$261,0)</f>
        <v/>
      </c>
      <c r="E63" s="41">
        <f>IF(Revenue_Build!E18=1,Assumptions!$D$261,0)</f>
        <v/>
      </c>
      <c r="F63" s="41">
        <f>IF(Revenue_Build!F18=1,Assumptions!$D$261,0)</f>
        <v/>
      </c>
      <c r="G63" s="41">
        <f>IF(Revenue_Build!G18=1,Assumptions!$D$261,0)</f>
        <v/>
      </c>
      <c r="H63" s="41">
        <f>IF(Revenue_Build!H18=1,Assumptions!$D$261,0)</f>
        <v/>
      </c>
      <c r="I63" s="41">
        <f>IF(Revenue_Build!I18=1,Assumptions!$D$261,0)</f>
        <v/>
      </c>
      <c r="J63" s="41">
        <f>IF(Revenue_Build!J18=1,Assumptions!$D$261,0)</f>
        <v/>
      </c>
      <c r="K63" s="41">
        <f>IF(Revenue_Build!K18=1,Assumptions!$D$261,0)</f>
        <v/>
      </c>
      <c r="L63" s="41">
        <f>IF(Revenue_Build!L18=1,Assumptions!$D$261,0)</f>
        <v/>
      </c>
      <c r="M63" s="41">
        <f>IF(Revenue_Build!M18=1,Assumptions!$D$261,0)</f>
        <v/>
      </c>
      <c r="N63" s="41">
        <f>IF(Revenue_Build!N18=1,Assumptions!$D$261,0)</f>
        <v/>
      </c>
      <c r="O63" s="41">
        <f>IF(Revenue_Build!O18=1,Assumptions!$D$261,0)</f>
        <v/>
      </c>
      <c r="P63" s="41">
        <f>IF(Revenue_Build!P18=1,Assumptions!$D$261,0)</f>
        <v/>
      </c>
      <c r="Q63" s="41">
        <f>IF(Revenue_Build!Q18=1,Assumptions!$D$261,0)</f>
        <v/>
      </c>
      <c r="R63" s="41">
        <f>IF(Revenue_Build!R18=1,Assumptions!$D$261,0)</f>
        <v/>
      </c>
      <c r="S63" s="41">
        <f>IF(Revenue_Build!S18=1,Assumptions!$D$261,0)</f>
        <v/>
      </c>
      <c r="T63" s="41">
        <f>IF(Revenue_Build!T18=1,Assumptions!$D$261,0)</f>
        <v/>
      </c>
      <c r="U63" s="41">
        <f>IF(Revenue_Build!U18=1,Assumptions!$D$261,0)</f>
        <v/>
      </c>
      <c r="V63" s="41">
        <f>IF(Revenue_Build!V18=1,Assumptions!$D$261,0)</f>
        <v/>
      </c>
      <c r="W63" s="41">
        <f>IF(Revenue_Build!W18=1,Assumptions!$D$261,0)</f>
        <v/>
      </c>
      <c r="X63" s="41">
        <f>IF(Revenue_Build!X18=1,Assumptions!$D$261,0)</f>
        <v/>
      </c>
      <c r="Y63" s="41">
        <f>IF(Revenue_Build!Y18=1,Assumptions!$D$261,0)</f>
        <v/>
      </c>
      <c r="Z63" s="41">
        <f>IF(Revenue_Build!Z18=1,Assumptions!$D$261,0)</f>
        <v/>
      </c>
      <c r="AA63" s="41">
        <f>IF(Revenue_Build!AA18=1,Assumptions!$D$261,0)</f>
        <v/>
      </c>
      <c r="AB63" s="41">
        <f>IF(Revenue_Build!AB18=1,Assumptions!$D$261,0)</f>
        <v/>
      </c>
      <c r="AC63" s="41">
        <f>IF(Revenue_Build!AC18=1,Assumptions!$D$261,0)</f>
        <v/>
      </c>
      <c r="AD63" s="41">
        <f>IF(Revenue_Build!AD18=1,Assumptions!$D$261,0)</f>
        <v/>
      </c>
      <c r="AE63" s="41">
        <f>IF(Revenue_Build!AE18=1,Assumptions!$D$261,0)</f>
        <v/>
      </c>
      <c r="AF63" s="41">
        <f>IF(Revenue_Build!AF18=1,Assumptions!$D$261,0)</f>
        <v/>
      </c>
      <c r="AG63" s="41">
        <f>IF(Revenue_Build!AG18=1,Assumptions!$D$261,0)</f>
        <v/>
      </c>
      <c r="AH63" s="41">
        <f>IF(Revenue_Build!AH18=1,Assumptions!$D$261,0)</f>
        <v/>
      </c>
      <c r="AI63" s="41">
        <f>IF(Revenue_Build!AI18=1,Assumptions!$D$261,0)</f>
        <v/>
      </c>
      <c r="AJ63" s="41">
        <f>IF(Revenue_Build!AJ18=1,Assumptions!$D$261,0)</f>
        <v/>
      </c>
      <c r="AK63" s="41">
        <f>IF(Revenue_Build!AK18=1,Assumptions!$D$261,0)</f>
        <v/>
      </c>
      <c r="AL63" s="41">
        <f>IF(Revenue_Build!AL18=1,Assumptions!$D$261,0)</f>
        <v/>
      </c>
      <c r="AM63" s="41">
        <f>IF(Revenue_Build!AM18=1,Assumptions!$D$261,0)</f>
        <v/>
      </c>
      <c r="AN63" s="41">
        <f>IF(Revenue_Build!AN18=1,Assumptions!$D$261,0)</f>
        <v/>
      </c>
      <c r="AO63" s="41">
        <f>IF(Revenue_Build!AO18=1,Assumptions!$D$261,0)</f>
        <v/>
      </c>
      <c r="AP63" s="41">
        <f>IF(Revenue_Build!AP18=1,Assumptions!$D$261,0)</f>
        <v/>
      </c>
      <c r="AQ63" s="41">
        <f>IF(Revenue_Build!AQ18=1,Assumptions!$D$261,0)</f>
        <v/>
      </c>
      <c r="AR63" s="41">
        <f>IF(Revenue_Build!AR18=1,Assumptions!$D$261,0)</f>
        <v/>
      </c>
      <c r="AS63" s="41">
        <f>IF(Revenue_Build!AS18=1,Assumptions!$D$261,0)</f>
        <v/>
      </c>
      <c r="AT63" s="41">
        <f>IF(Revenue_Build!AT18=1,Assumptions!$D$261,0)</f>
        <v/>
      </c>
      <c r="AU63" s="41">
        <f>IF(Revenue_Build!AU18=1,Assumptions!$D$261,0)</f>
        <v/>
      </c>
      <c r="AV63" s="41">
        <f>IF(Revenue_Build!AV18=1,Assumptions!$D$261,0)</f>
        <v/>
      </c>
      <c r="AW63" s="41">
        <f>IF(Revenue_Build!AW18=1,Assumptions!$D$261,0)</f>
        <v/>
      </c>
      <c r="AX63" s="41">
        <f>IF(Revenue_Build!AX18=1,Assumptions!$D$261,0)</f>
        <v/>
      </c>
      <c r="AY63" s="41">
        <f>IF(Revenue_Build!AY18=1,Assumptions!$D$261,0)</f>
        <v/>
      </c>
      <c r="AZ63" s="41">
        <f>IF(Revenue_Build!AZ18=1,Assumptions!$D$261,0)</f>
        <v/>
      </c>
      <c r="BA63" s="41">
        <f>IF(Revenue_Build!BA18=1,Assumptions!$D$261,0)</f>
        <v/>
      </c>
      <c r="BB63" s="41">
        <f>IF(Revenue_Build!BB18=1,Assumptions!$D$261,0)</f>
        <v/>
      </c>
      <c r="BC63" s="41">
        <f>IF(Revenue_Build!BC18=1,Assumptions!$D$261,0)</f>
        <v/>
      </c>
      <c r="BD63" s="41">
        <f>IF(Revenue_Build!BD18=1,Assumptions!$D$261,0)</f>
        <v/>
      </c>
      <c r="BE63" s="41">
        <f>IF(Revenue_Build!BE18=1,Assumptions!$D$261,0)</f>
        <v/>
      </c>
      <c r="BF63" s="41">
        <f>IF(Revenue_Build!BF18=1,Assumptions!$D$261,0)</f>
        <v/>
      </c>
      <c r="BG63" s="41">
        <f>IF(Revenue_Build!BG18=1,Assumptions!$D$261,0)</f>
        <v/>
      </c>
      <c r="BH63" s="41">
        <f>IF(Revenue_Build!BH18=1,Assumptions!$D$261,0)</f>
        <v/>
      </c>
      <c r="BI63" s="41">
        <f>IF(Revenue_Build!BI18=1,Assumptions!$D$261,0)</f>
        <v/>
      </c>
      <c r="BJ63" s="41">
        <f>IF(Revenue_Build!BJ18=1,Assumptions!$D$261,0)</f>
        <v/>
      </c>
    </row>
    <row r="64">
      <c r="A64" s="4" t="inlineStr">
        <is>
          <t>Ghana sales &amp; CS</t>
        </is>
      </c>
      <c r="B64" s="17" t="inlineStr">
        <is>
          <t>FTE</t>
        </is>
      </c>
      <c r="C64" s="41">
        <f>IF(Revenue_Build!C19=1,Assumptions!$D$262,0)</f>
        <v/>
      </c>
      <c r="D64" s="41">
        <f>IF(Revenue_Build!D19=1,Assumptions!$D$262,0)</f>
        <v/>
      </c>
      <c r="E64" s="41">
        <f>IF(Revenue_Build!E19=1,Assumptions!$D$262,0)</f>
        <v/>
      </c>
      <c r="F64" s="41">
        <f>IF(Revenue_Build!F19=1,Assumptions!$D$262,0)</f>
        <v/>
      </c>
      <c r="G64" s="41">
        <f>IF(Revenue_Build!G19=1,Assumptions!$D$262,0)</f>
        <v/>
      </c>
      <c r="H64" s="41">
        <f>IF(Revenue_Build!H19=1,Assumptions!$D$262,0)</f>
        <v/>
      </c>
      <c r="I64" s="41">
        <f>IF(Revenue_Build!I19=1,Assumptions!$D$262,0)</f>
        <v/>
      </c>
      <c r="J64" s="41">
        <f>IF(Revenue_Build!J19=1,Assumptions!$D$262,0)</f>
        <v/>
      </c>
      <c r="K64" s="41">
        <f>IF(Revenue_Build!K19=1,Assumptions!$D$262,0)</f>
        <v/>
      </c>
      <c r="L64" s="41">
        <f>IF(Revenue_Build!L19=1,Assumptions!$D$262,0)</f>
        <v/>
      </c>
      <c r="M64" s="41">
        <f>IF(Revenue_Build!M19=1,Assumptions!$D$262,0)</f>
        <v/>
      </c>
      <c r="N64" s="41">
        <f>IF(Revenue_Build!N19=1,Assumptions!$D$262,0)</f>
        <v/>
      </c>
      <c r="O64" s="41">
        <f>IF(Revenue_Build!O19=1,Assumptions!$D$262,0)</f>
        <v/>
      </c>
      <c r="P64" s="41">
        <f>IF(Revenue_Build!P19=1,Assumptions!$D$262,0)</f>
        <v/>
      </c>
      <c r="Q64" s="41">
        <f>IF(Revenue_Build!Q19=1,Assumptions!$D$262,0)</f>
        <v/>
      </c>
      <c r="R64" s="41">
        <f>IF(Revenue_Build!R19=1,Assumptions!$D$262,0)</f>
        <v/>
      </c>
      <c r="S64" s="41">
        <f>IF(Revenue_Build!S19=1,Assumptions!$D$262,0)</f>
        <v/>
      </c>
      <c r="T64" s="41">
        <f>IF(Revenue_Build!T19=1,Assumptions!$D$262,0)</f>
        <v/>
      </c>
      <c r="U64" s="41">
        <f>IF(Revenue_Build!U19=1,Assumptions!$D$262,0)</f>
        <v/>
      </c>
      <c r="V64" s="41">
        <f>IF(Revenue_Build!V19=1,Assumptions!$D$262,0)</f>
        <v/>
      </c>
      <c r="W64" s="41">
        <f>IF(Revenue_Build!W19=1,Assumptions!$D$262,0)</f>
        <v/>
      </c>
      <c r="X64" s="41">
        <f>IF(Revenue_Build!X19=1,Assumptions!$D$262,0)</f>
        <v/>
      </c>
      <c r="Y64" s="41">
        <f>IF(Revenue_Build!Y19=1,Assumptions!$D$262,0)</f>
        <v/>
      </c>
      <c r="Z64" s="41">
        <f>IF(Revenue_Build!Z19=1,Assumptions!$D$262,0)</f>
        <v/>
      </c>
      <c r="AA64" s="41">
        <f>IF(Revenue_Build!AA19=1,Assumptions!$D$262,0)</f>
        <v/>
      </c>
      <c r="AB64" s="41">
        <f>IF(Revenue_Build!AB19=1,Assumptions!$D$262,0)</f>
        <v/>
      </c>
      <c r="AC64" s="41">
        <f>IF(Revenue_Build!AC19=1,Assumptions!$D$262,0)</f>
        <v/>
      </c>
      <c r="AD64" s="41">
        <f>IF(Revenue_Build!AD19=1,Assumptions!$D$262,0)</f>
        <v/>
      </c>
      <c r="AE64" s="41">
        <f>IF(Revenue_Build!AE19=1,Assumptions!$D$262,0)</f>
        <v/>
      </c>
      <c r="AF64" s="41">
        <f>IF(Revenue_Build!AF19=1,Assumptions!$D$262,0)</f>
        <v/>
      </c>
      <c r="AG64" s="41">
        <f>IF(Revenue_Build!AG19=1,Assumptions!$D$262,0)</f>
        <v/>
      </c>
      <c r="AH64" s="41">
        <f>IF(Revenue_Build!AH19=1,Assumptions!$D$262,0)</f>
        <v/>
      </c>
      <c r="AI64" s="41">
        <f>IF(Revenue_Build!AI19=1,Assumptions!$D$262,0)</f>
        <v/>
      </c>
      <c r="AJ64" s="41">
        <f>IF(Revenue_Build!AJ19=1,Assumptions!$D$262,0)</f>
        <v/>
      </c>
      <c r="AK64" s="41">
        <f>IF(Revenue_Build!AK19=1,Assumptions!$D$262,0)</f>
        <v/>
      </c>
      <c r="AL64" s="41">
        <f>IF(Revenue_Build!AL19=1,Assumptions!$D$262,0)</f>
        <v/>
      </c>
      <c r="AM64" s="41">
        <f>IF(Revenue_Build!AM19=1,Assumptions!$D$262,0)</f>
        <v/>
      </c>
      <c r="AN64" s="41">
        <f>IF(Revenue_Build!AN19=1,Assumptions!$D$262,0)</f>
        <v/>
      </c>
      <c r="AO64" s="41">
        <f>IF(Revenue_Build!AO19=1,Assumptions!$D$262,0)</f>
        <v/>
      </c>
      <c r="AP64" s="41">
        <f>IF(Revenue_Build!AP19=1,Assumptions!$D$262,0)</f>
        <v/>
      </c>
      <c r="AQ64" s="41">
        <f>IF(Revenue_Build!AQ19=1,Assumptions!$D$262,0)</f>
        <v/>
      </c>
      <c r="AR64" s="41">
        <f>IF(Revenue_Build!AR19=1,Assumptions!$D$262,0)</f>
        <v/>
      </c>
      <c r="AS64" s="41">
        <f>IF(Revenue_Build!AS19=1,Assumptions!$D$262,0)</f>
        <v/>
      </c>
      <c r="AT64" s="41">
        <f>IF(Revenue_Build!AT19=1,Assumptions!$D$262,0)</f>
        <v/>
      </c>
      <c r="AU64" s="41">
        <f>IF(Revenue_Build!AU19=1,Assumptions!$D$262,0)</f>
        <v/>
      </c>
      <c r="AV64" s="41">
        <f>IF(Revenue_Build!AV19=1,Assumptions!$D$262,0)</f>
        <v/>
      </c>
      <c r="AW64" s="41">
        <f>IF(Revenue_Build!AW19=1,Assumptions!$D$262,0)</f>
        <v/>
      </c>
      <c r="AX64" s="41">
        <f>IF(Revenue_Build!AX19=1,Assumptions!$D$262,0)</f>
        <v/>
      </c>
      <c r="AY64" s="41">
        <f>IF(Revenue_Build!AY19=1,Assumptions!$D$262,0)</f>
        <v/>
      </c>
      <c r="AZ64" s="41">
        <f>IF(Revenue_Build!AZ19=1,Assumptions!$D$262,0)</f>
        <v/>
      </c>
      <c r="BA64" s="41">
        <f>IF(Revenue_Build!BA19=1,Assumptions!$D$262,0)</f>
        <v/>
      </c>
      <c r="BB64" s="41">
        <f>IF(Revenue_Build!BB19=1,Assumptions!$D$262,0)</f>
        <v/>
      </c>
      <c r="BC64" s="41">
        <f>IF(Revenue_Build!BC19=1,Assumptions!$D$262,0)</f>
        <v/>
      </c>
      <c r="BD64" s="41">
        <f>IF(Revenue_Build!BD19=1,Assumptions!$D$262,0)</f>
        <v/>
      </c>
      <c r="BE64" s="41">
        <f>IF(Revenue_Build!BE19=1,Assumptions!$D$262,0)</f>
        <v/>
      </c>
      <c r="BF64" s="41">
        <f>IF(Revenue_Build!BF19=1,Assumptions!$D$262,0)</f>
        <v/>
      </c>
      <c r="BG64" s="41">
        <f>IF(Revenue_Build!BG19=1,Assumptions!$D$262,0)</f>
        <v/>
      </c>
      <c r="BH64" s="41">
        <f>IF(Revenue_Build!BH19=1,Assumptions!$D$262,0)</f>
        <v/>
      </c>
      <c r="BI64" s="41">
        <f>IF(Revenue_Build!BI19=1,Assumptions!$D$262,0)</f>
        <v/>
      </c>
      <c r="BJ64" s="41">
        <f>IF(Revenue_Build!BJ19=1,Assumptions!$D$262,0)</f>
        <v/>
      </c>
    </row>
    <row r="65">
      <c r="A65" s="4" t="inlineStr">
        <is>
          <t>Ghana team expansion</t>
        </is>
      </c>
      <c r="B65" s="17" t="inlineStr">
        <is>
          <t>FTE</t>
        </is>
      </c>
      <c r="C65" s="41">
        <f>0</f>
        <v/>
      </c>
      <c r="D65" s="41">
        <f>0</f>
        <v/>
      </c>
      <c r="E65" s="41">
        <f>0</f>
        <v/>
      </c>
      <c r="F65" s="41">
        <f>0</f>
        <v/>
      </c>
      <c r="G65" s="41">
        <f>0</f>
        <v/>
      </c>
      <c r="H65" s="41">
        <f>0</f>
        <v/>
      </c>
      <c r="I65" s="41">
        <f>0</f>
        <v/>
      </c>
      <c r="J65" s="41">
        <f>0</f>
        <v/>
      </c>
      <c r="K65" s="41">
        <f>0</f>
        <v/>
      </c>
      <c r="L65" s="41">
        <f>0</f>
        <v/>
      </c>
      <c r="M65" s="41">
        <f>0</f>
        <v/>
      </c>
      <c r="N65" s="41">
        <f>0</f>
        <v/>
      </c>
      <c r="O65" s="41">
        <f>IF(Revenue_Build!C19=1,Assumptions!$D$263,0)</f>
        <v/>
      </c>
      <c r="P65" s="41">
        <f>IF(Revenue_Build!D19=1,Assumptions!$D$263,0)</f>
        <v/>
      </c>
      <c r="Q65" s="41">
        <f>IF(Revenue_Build!E19=1,Assumptions!$D$263,0)</f>
        <v/>
      </c>
      <c r="R65" s="41">
        <f>IF(Revenue_Build!F19=1,Assumptions!$D$263,0)</f>
        <v/>
      </c>
      <c r="S65" s="41">
        <f>IF(Revenue_Build!G19=1,Assumptions!$D$263,0)</f>
        <v/>
      </c>
      <c r="T65" s="41">
        <f>IF(Revenue_Build!H19=1,Assumptions!$D$263,0)</f>
        <v/>
      </c>
      <c r="U65" s="41">
        <f>IF(Revenue_Build!I19=1,Assumptions!$D$263,0)</f>
        <v/>
      </c>
      <c r="V65" s="41">
        <f>IF(Revenue_Build!J19=1,Assumptions!$D$263,0)</f>
        <v/>
      </c>
      <c r="W65" s="41">
        <f>IF(Revenue_Build!K19=1,Assumptions!$D$263,0)</f>
        <v/>
      </c>
      <c r="X65" s="41">
        <f>IF(Revenue_Build!L19=1,Assumptions!$D$263,0)</f>
        <v/>
      </c>
      <c r="Y65" s="41">
        <f>IF(Revenue_Build!M19=1,Assumptions!$D$263,0)</f>
        <v/>
      </c>
      <c r="Z65" s="41">
        <f>IF(Revenue_Build!N19=1,Assumptions!$D$263,0)</f>
        <v/>
      </c>
      <c r="AA65" s="41">
        <f>IF(Revenue_Build!O19=1,Assumptions!$D$263,0)</f>
        <v/>
      </c>
      <c r="AB65" s="41">
        <f>IF(Revenue_Build!P19=1,Assumptions!$D$263,0)</f>
        <v/>
      </c>
      <c r="AC65" s="41">
        <f>IF(Revenue_Build!Q19=1,Assumptions!$D$263,0)</f>
        <v/>
      </c>
      <c r="AD65" s="41">
        <f>IF(Revenue_Build!R19=1,Assumptions!$D$263,0)</f>
        <v/>
      </c>
      <c r="AE65" s="41">
        <f>IF(Revenue_Build!S19=1,Assumptions!$D$263,0)</f>
        <v/>
      </c>
      <c r="AF65" s="41">
        <f>IF(Revenue_Build!T19=1,Assumptions!$D$263,0)</f>
        <v/>
      </c>
      <c r="AG65" s="41">
        <f>IF(Revenue_Build!U19=1,Assumptions!$D$263,0)</f>
        <v/>
      </c>
      <c r="AH65" s="41">
        <f>IF(Revenue_Build!V19=1,Assumptions!$D$263,0)</f>
        <v/>
      </c>
      <c r="AI65" s="41">
        <f>IF(Revenue_Build!W19=1,Assumptions!$D$263,0)</f>
        <v/>
      </c>
      <c r="AJ65" s="41">
        <f>IF(Revenue_Build!X19=1,Assumptions!$D$263,0)</f>
        <v/>
      </c>
      <c r="AK65" s="41">
        <f>IF(Revenue_Build!Y19=1,Assumptions!$D$263,0)</f>
        <v/>
      </c>
      <c r="AL65" s="41">
        <f>IF(Revenue_Build!Z19=1,Assumptions!$D$263,0)</f>
        <v/>
      </c>
      <c r="AM65" s="41">
        <f>IF(Revenue_Build!AA19=1,Assumptions!$D$263,0)</f>
        <v/>
      </c>
      <c r="AN65" s="41">
        <f>IF(Revenue_Build!AB19=1,Assumptions!$D$263,0)</f>
        <v/>
      </c>
      <c r="AO65" s="41">
        <f>IF(Revenue_Build!AC19=1,Assumptions!$D$263,0)</f>
        <v/>
      </c>
      <c r="AP65" s="41">
        <f>IF(Revenue_Build!AD19=1,Assumptions!$D$263,0)</f>
        <v/>
      </c>
      <c r="AQ65" s="41">
        <f>IF(Revenue_Build!AE19=1,Assumptions!$D$263,0)</f>
        <v/>
      </c>
      <c r="AR65" s="41">
        <f>IF(Revenue_Build!AF19=1,Assumptions!$D$263,0)</f>
        <v/>
      </c>
      <c r="AS65" s="41">
        <f>IF(Revenue_Build!AG19=1,Assumptions!$D$263,0)</f>
        <v/>
      </c>
      <c r="AT65" s="41">
        <f>IF(Revenue_Build!AH19=1,Assumptions!$D$263,0)</f>
        <v/>
      </c>
      <c r="AU65" s="41">
        <f>IF(Revenue_Build!AI19=1,Assumptions!$D$263,0)</f>
        <v/>
      </c>
      <c r="AV65" s="41">
        <f>IF(Revenue_Build!AJ19=1,Assumptions!$D$263,0)</f>
        <v/>
      </c>
      <c r="AW65" s="41">
        <f>IF(Revenue_Build!AK19=1,Assumptions!$D$263,0)</f>
        <v/>
      </c>
      <c r="AX65" s="41">
        <f>IF(Revenue_Build!AL19=1,Assumptions!$D$263,0)</f>
        <v/>
      </c>
      <c r="AY65" s="41">
        <f>IF(Revenue_Build!AM19=1,Assumptions!$D$263,0)</f>
        <v/>
      </c>
      <c r="AZ65" s="41">
        <f>IF(Revenue_Build!AN19=1,Assumptions!$D$263,0)</f>
        <v/>
      </c>
      <c r="BA65" s="41">
        <f>IF(Revenue_Build!AO19=1,Assumptions!$D$263,0)</f>
        <v/>
      </c>
      <c r="BB65" s="41">
        <f>IF(Revenue_Build!AP19=1,Assumptions!$D$263,0)</f>
        <v/>
      </c>
      <c r="BC65" s="41">
        <f>IF(Revenue_Build!AQ19=1,Assumptions!$D$263,0)</f>
        <v/>
      </c>
      <c r="BD65" s="41">
        <f>IF(Revenue_Build!AR19=1,Assumptions!$D$263,0)</f>
        <v/>
      </c>
      <c r="BE65" s="41">
        <f>IF(Revenue_Build!AS19=1,Assumptions!$D$263,0)</f>
        <v/>
      </c>
      <c r="BF65" s="41">
        <f>IF(Revenue_Build!AT19=1,Assumptions!$D$263,0)</f>
        <v/>
      </c>
      <c r="BG65" s="41">
        <f>IF(Revenue_Build!AU19=1,Assumptions!$D$263,0)</f>
        <v/>
      </c>
      <c r="BH65" s="41">
        <f>IF(Revenue_Build!AV19=1,Assumptions!$D$263,0)</f>
        <v/>
      </c>
      <c r="BI65" s="41">
        <f>IF(Revenue_Build!AW19=1,Assumptions!$D$263,0)</f>
        <v/>
      </c>
      <c r="BJ65" s="41">
        <f>IF(Revenue_Build!AX19=1,Assumptions!$D$263,0)</f>
        <v/>
      </c>
    </row>
    <row r="66"/>
    <row r="67">
      <c r="A67" s="19" t="inlineStr">
        <is>
          <t>FTEs by department</t>
        </is>
      </c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19" t="n"/>
      <c r="AQ67" s="19" t="n"/>
      <c r="AR67" s="19" t="n"/>
      <c r="AS67" s="19" t="n"/>
      <c r="AT67" s="19" t="n"/>
      <c r="AU67" s="19" t="n"/>
      <c r="AV67" s="19" t="n"/>
      <c r="AW67" s="19" t="n"/>
      <c r="AX67" s="19" t="n"/>
      <c r="AY67" s="19" t="n"/>
      <c r="AZ67" s="19" t="n"/>
      <c r="BA67" s="19" t="n"/>
      <c r="BB67" s="19" t="n"/>
      <c r="BC67" s="19" t="n"/>
      <c r="BD67" s="19" t="n"/>
      <c r="BE67" s="19" t="n"/>
      <c r="BF67" s="19" t="n"/>
      <c r="BG67" s="19" t="n"/>
      <c r="BH67" s="19" t="n"/>
      <c r="BI67" s="19" t="n"/>
      <c r="BJ67" s="19" t="n"/>
    </row>
    <row r="68">
      <c r="A68" s="4" t="inlineStr">
        <is>
          <t>Leadership</t>
        </is>
      </c>
      <c r="B68" s="17" t="inlineStr">
        <is>
          <t>FTE</t>
        </is>
      </c>
      <c r="C68" s="41">
        <f>C8+C9</f>
        <v/>
      </c>
      <c r="D68" s="41">
        <f>D8+D9</f>
        <v/>
      </c>
      <c r="E68" s="41">
        <f>E8+E9</f>
        <v/>
      </c>
      <c r="F68" s="41">
        <f>F8+F9</f>
        <v/>
      </c>
      <c r="G68" s="41">
        <f>G8+G9</f>
        <v/>
      </c>
      <c r="H68" s="41">
        <f>H8+H9</f>
        <v/>
      </c>
      <c r="I68" s="41">
        <f>I8+I9</f>
        <v/>
      </c>
      <c r="J68" s="41">
        <f>J8+J9</f>
        <v/>
      </c>
      <c r="K68" s="41">
        <f>K8+K9</f>
        <v/>
      </c>
      <c r="L68" s="41">
        <f>L8+L9</f>
        <v/>
      </c>
      <c r="M68" s="41">
        <f>M8+M9</f>
        <v/>
      </c>
      <c r="N68" s="41">
        <f>N8+N9</f>
        <v/>
      </c>
      <c r="O68" s="41">
        <f>O8+O9</f>
        <v/>
      </c>
      <c r="P68" s="41">
        <f>P8+P9</f>
        <v/>
      </c>
      <c r="Q68" s="41">
        <f>Q8+Q9</f>
        <v/>
      </c>
      <c r="R68" s="41">
        <f>R8+R9</f>
        <v/>
      </c>
      <c r="S68" s="41">
        <f>S8+S9</f>
        <v/>
      </c>
      <c r="T68" s="41">
        <f>T8+T9</f>
        <v/>
      </c>
      <c r="U68" s="41">
        <f>U8+U9</f>
        <v/>
      </c>
      <c r="V68" s="41">
        <f>V8+V9</f>
        <v/>
      </c>
      <c r="W68" s="41">
        <f>W8+W9</f>
        <v/>
      </c>
      <c r="X68" s="41">
        <f>X8+X9</f>
        <v/>
      </c>
      <c r="Y68" s="41">
        <f>Y8+Y9</f>
        <v/>
      </c>
      <c r="Z68" s="41">
        <f>Z8+Z9</f>
        <v/>
      </c>
      <c r="AA68" s="41">
        <f>AA8+AA9</f>
        <v/>
      </c>
      <c r="AB68" s="41">
        <f>AB8+AB9</f>
        <v/>
      </c>
      <c r="AC68" s="41">
        <f>AC8+AC9</f>
        <v/>
      </c>
      <c r="AD68" s="41">
        <f>AD8+AD9</f>
        <v/>
      </c>
      <c r="AE68" s="41">
        <f>AE8+AE9</f>
        <v/>
      </c>
      <c r="AF68" s="41">
        <f>AF8+AF9</f>
        <v/>
      </c>
      <c r="AG68" s="41">
        <f>AG8+AG9</f>
        <v/>
      </c>
      <c r="AH68" s="41">
        <f>AH8+AH9</f>
        <v/>
      </c>
      <c r="AI68" s="41">
        <f>AI8+AI9</f>
        <v/>
      </c>
      <c r="AJ68" s="41">
        <f>AJ8+AJ9</f>
        <v/>
      </c>
      <c r="AK68" s="41">
        <f>AK8+AK9</f>
        <v/>
      </c>
      <c r="AL68" s="41">
        <f>AL8+AL9</f>
        <v/>
      </c>
      <c r="AM68" s="41">
        <f>AM8+AM9</f>
        <v/>
      </c>
      <c r="AN68" s="41">
        <f>AN8+AN9</f>
        <v/>
      </c>
      <c r="AO68" s="41">
        <f>AO8+AO9</f>
        <v/>
      </c>
      <c r="AP68" s="41">
        <f>AP8+AP9</f>
        <v/>
      </c>
      <c r="AQ68" s="41">
        <f>AQ8+AQ9</f>
        <v/>
      </c>
      <c r="AR68" s="41">
        <f>AR8+AR9</f>
        <v/>
      </c>
      <c r="AS68" s="41">
        <f>AS8+AS9</f>
        <v/>
      </c>
      <c r="AT68" s="41">
        <f>AT8+AT9</f>
        <v/>
      </c>
      <c r="AU68" s="41">
        <f>AU8+AU9</f>
        <v/>
      </c>
      <c r="AV68" s="41">
        <f>AV8+AV9</f>
        <v/>
      </c>
      <c r="AW68" s="41">
        <f>AW8+AW9</f>
        <v/>
      </c>
      <c r="AX68" s="41">
        <f>AX8+AX9</f>
        <v/>
      </c>
      <c r="AY68" s="41">
        <f>AY8+AY9</f>
        <v/>
      </c>
      <c r="AZ68" s="41">
        <f>AZ8+AZ9</f>
        <v/>
      </c>
      <c r="BA68" s="41">
        <f>BA8+BA9</f>
        <v/>
      </c>
      <c r="BB68" s="41">
        <f>BB8+BB9</f>
        <v/>
      </c>
      <c r="BC68" s="41">
        <f>BC8+BC9</f>
        <v/>
      </c>
      <c r="BD68" s="41">
        <f>BD8+BD9</f>
        <v/>
      </c>
      <c r="BE68" s="41">
        <f>BE8+BE9</f>
        <v/>
      </c>
      <c r="BF68" s="41">
        <f>BF8+BF9</f>
        <v/>
      </c>
      <c r="BG68" s="41">
        <f>BG8+BG9</f>
        <v/>
      </c>
      <c r="BH68" s="41">
        <f>BH8+BH9</f>
        <v/>
      </c>
      <c r="BI68" s="41">
        <f>BI8+BI9</f>
        <v/>
      </c>
      <c r="BJ68" s="41">
        <f>BJ8+BJ9</f>
        <v/>
      </c>
    </row>
    <row r="69">
      <c r="A69" s="4" t="inlineStr">
        <is>
          <t>Engineering &amp; product</t>
        </is>
      </c>
      <c r="B69" s="17" t="inlineStr">
        <is>
          <t>FTE</t>
        </is>
      </c>
      <c r="C69" s="41">
        <f>C10+C11+C12+C13+C14+C15+C16+C17+C18+C19+C20+C21+C22+C23+C24+C25+C26</f>
        <v/>
      </c>
      <c r="D69" s="41">
        <f>D10+D11+D12+D13+D14+D15+D16+D17+D18+D19+D20+D21+D22+D23+D24+D25+D26</f>
        <v/>
      </c>
      <c r="E69" s="41">
        <f>E10+E11+E12+E13+E14+E15+E16+E17+E18+E19+E20+E21+E22+E23+E24+E25+E26</f>
        <v/>
      </c>
      <c r="F69" s="41">
        <f>F10+F11+F12+F13+F14+F15+F16+F17+F18+F19+F20+F21+F22+F23+F24+F25+F26</f>
        <v/>
      </c>
      <c r="G69" s="41">
        <f>G10+G11+G12+G13+G14+G15+G16+G17+G18+G19+G20+G21+G22+G23+G24+G25+G26</f>
        <v/>
      </c>
      <c r="H69" s="41">
        <f>H10+H11+H12+H13+H14+H15+H16+H17+H18+H19+H20+H21+H22+H23+H24+H25+H26</f>
        <v/>
      </c>
      <c r="I69" s="41">
        <f>I10+I11+I12+I13+I14+I15+I16+I17+I18+I19+I20+I21+I22+I23+I24+I25+I26</f>
        <v/>
      </c>
      <c r="J69" s="41">
        <f>J10+J11+J12+J13+J14+J15+J16+J17+J18+J19+J20+J21+J22+J23+J24+J25+J26</f>
        <v/>
      </c>
      <c r="K69" s="41">
        <f>K10+K11+K12+K13+K14+K15+K16+K17+K18+K19+K20+K21+K22+K23+K24+K25+K26</f>
        <v/>
      </c>
      <c r="L69" s="41">
        <f>L10+L11+L12+L13+L14+L15+L16+L17+L18+L19+L20+L21+L22+L23+L24+L25+L26</f>
        <v/>
      </c>
      <c r="M69" s="41">
        <f>M10+M11+M12+M13+M14+M15+M16+M17+M18+M19+M20+M21+M22+M23+M24+M25+M26</f>
        <v/>
      </c>
      <c r="N69" s="41">
        <f>N10+N11+N12+N13+N14+N15+N16+N17+N18+N19+N20+N21+N22+N23+N24+N25+N26</f>
        <v/>
      </c>
      <c r="O69" s="41">
        <f>O10+O11+O12+O13+O14+O15+O16+O17+O18+O19+O20+O21+O22+O23+O24+O25+O26</f>
        <v/>
      </c>
      <c r="P69" s="41">
        <f>P10+P11+P12+P13+P14+P15+P16+P17+P18+P19+P20+P21+P22+P23+P24+P25+P26</f>
        <v/>
      </c>
      <c r="Q69" s="41">
        <f>Q10+Q11+Q12+Q13+Q14+Q15+Q16+Q17+Q18+Q19+Q20+Q21+Q22+Q23+Q24+Q25+Q26</f>
        <v/>
      </c>
      <c r="R69" s="41">
        <f>R10+R11+R12+R13+R14+R15+R16+R17+R18+R19+R20+R21+R22+R23+R24+R25+R26</f>
        <v/>
      </c>
      <c r="S69" s="41">
        <f>S10+S11+S12+S13+S14+S15+S16+S17+S18+S19+S20+S21+S22+S23+S24+S25+S26</f>
        <v/>
      </c>
      <c r="T69" s="41">
        <f>T10+T11+T12+T13+T14+T15+T16+T17+T18+T19+T20+T21+T22+T23+T24+T25+T26</f>
        <v/>
      </c>
      <c r="U69" s="41">
        <f>U10+U11+U12+U13+U14+U15+U16+U17+U18+U19+U20+U21+U22+U23+U24+U25+U26</f>
        <v/>
      </c>
      <c r="V69" s="41">
        <f>V10+V11+V12+V13+V14+V15+V16+V17+V18+V19+V20+V21+V22+V23+V24+V25+V26</f>
        <v/>
      </c>
      <c r="W69" s="41">
        <f>W10+W11+W12+W13+W14+W15+W16+W17+W18+W19+W20+W21+W22+W23+W24+W25+W26</f>
        <v/>
      </c>
      <c r="X69" s="41">
        <f>X10+X11+X12+X13+X14+X15+X16+X17+X18+X19+X20+X21+X22+X23+X24+X25+X26</f>
        <v/>
      </c>
      <c r="Y69" s="41">
        <f>Y10+Y11+Y12+Y13+Y14+Y15+Y16+Y17+Y18+Y19+Y20+Y21+Y22+Y23+Y24+Y25+Y26</f>
        <v/>
      </c>
      <c r="Z69" s="41">
        <f>Z10+Z11+Z12+Z13+Z14+Z15+Z16+Z17+Z18+Z19+Z20+Z21+Z22+Z23+Z24+Z25+Z26</f>
        <v/>
      </c>
      <c r="AA69" s="41">
        <f>AA10+AA11+AA12+AA13+AA14+AA15+AA16+AA17+AA18+AA19+AA20+AA21+AA22+AA23+AA24+AA25+AA26</f>
        <v/>
      </c>
      <c r="AB69" s="41">
        <f>AB10+AB11+AB12+AB13+AB14+AB15+AB16+AB17+AB18+AB19+AB20+AB21+AB22+AB23+AB24+AB25+AB26</f>
        <v/>
      </c>
      <c r="AC69" s="41">
        <f>AC10+AC11+AC12+AC13+AC14+AC15+AC16+AC17+AC18+AC19+AC20+AC21+AC22+AC23+AC24+AC25+AC26</f>
        <v/>
      </c>
      <c r="AD69" s="41">
        <f>AD10+AD11+AD12+AD13+AD14+AD15+AD16+AD17+AD18+AD19+AD20+AD21+AD22+AD23+AD24+AD25+AD26</f>
        <v/>
      </c>
      <c r="AE69" s="41">
        <f>AE10+AE11+AE12+AE13+AE14+AE15+AE16+AE17+AE18+AE19+AE20+AE21+AE22+AE23+AE24+AE25+AE26</f>
        <v/>
      </c>
      <c r="AF69" s="41">
        <f>AF10+AF11+AF12+AF13+AF14+AF15+AF16+AF17+AF18+AF19+AF20+AF21+AF22+AF23+AF24+AF25+AF26</f>
        <v/>
      </c>
      <c r="AG69" s="41">
        <f>AG10+AG11+AG12+AG13+AG14+AG15+AG16+AG17+AG18+AG19+AG20+AG21+AG22+AG23+AG24+AG25+AG26</f>
        <v/>
      </c>
      <c r="AH69" s="41">
        <f>AH10+AH11+AH12+AH13+AH14+AH15+AH16+AH17+AH18+AH19+AH20+AH21+AH22+AH23+AH24+AH25+AH26</f>
        <v/>
      </c>
      <c r="AI69" s="41">
        <f>AI10+AI11+AI12+AI13+AI14+AI15+AI16+AI17+AI18+AI19+AI20+AI21+AI22+AI23+AI24+AI25+AI26</f>
        <v/>
      </c>
      <c r="AJ69" s="41">
        <f>AJ10+AJ11+AJ12+AJ13+AJ14+AJ15+AJ16+AJ17+AJ18+AJ19+AJ20+AJ21+AJ22+AJ23+AJ24+AJ25+AJ26</f>
        <v/>
      </c>
      <c r="AK69" s="41">
        <f>AK10+AK11+AK12+AK13+AK14+AK15+AK16+AK17+AK18+AK19+AK20+AK21+AK22+AK23+AK24+AK25+AK26</f>
        <v/>
      </c>
      <c r="AL69" s="41">
        <f>AL10+AL11+AL12+AL13+AL14+AL15+AL16+AL17+AL18+AL19+AL20+AL21+AL22+AL23+AL24+AL25+AL26</f>
        <v/>
      </c>
      <c r="AM69" s="41">
        <f>AM10+AM11+AM12+AM13+AM14+AM15+AM16+AM17+AM18+AM19+AM20+AM21+AM22+AM23+AM24+AM25+AM26</f>
        <v/>
      </c>
      <c r="AN69" s="41">
        <f>AN10+AN11+AN12+AN13+AN14+AN15+AN16+AN17+AN18+AN19+AN20+AN21+AN22+AN23+AN24+AN25+AN26</f>
        <v/>
      </c>
      <c r="AO69" s="41">
        <f>AO10+AO11+AO12+AO13+AO14+AO15+AO16+AO17+AO18+AO19+AO20+AO21+AO22+AO23+AO24+AO25+AO26</f>
        <v/>
      </c>
      <c r="AP69" s="41">
        <f>AP10+AP11+AP12+AP13+AP14+AP15+AP16+AP17+AP18+AP19+AP20+AP21+AP22+AP23+AP24+AP25+AP26</f>
        <v/>
      </c>
      <c r="AQ69" s="41">
        <f>AQ10+AQ11+AQ12+AQ13+AQ14+AQ15+AQ16+AQ17+AQ18+AQ19+AQ20+AQ21+AQ22+AQ23+AQ24+AQ25+AQ26</f>
        <v/>
      </c>
      <c r="AR69" s="41">
        <f>AR10+AR11+AR12+AR13+AR14+AR15+AR16+AR17+AR18+AR19+AR20+AR21+AR22+AR23+AR24+AR25+AR26</f>
        <v/>
      </c>
      <c r="AS69" s="41">
        <f>AS10+AS11+AS12+AS13+AS14+AS15+AS16+AS17+AS18+AS19+AS20+AS21+AS22+AS23+AS24+AS25+AS26</f>
        <v/>
      </c>
      <c r="AT69" s="41">
        <f>AT10+AT11+AT12+AT13+AT14+AT15+AT16+AT17+AT18+AT19+AT20+AT21+AT22+AT23+AT24+AT25+AT26</f>
        <v/>
      </c>
      <c r="AU69" s="41">
        <f>AU10+AU11+AU12+AU13+AU14+AU15+AU16+AU17+AU18+AU19+AU20+AU21+AU22+AU23+AU24+AU25+AU26</f>
        <v/>
      </c>
      <c r="AV69" s="41">
        <f>AV10+AV11+AV12+AV13+AV14+AV15+AV16+AV17+AV18+AV19+AV20+AV21+AV22+AV23+AV24+AV25+AV26</f>
        <v/>
      </c>
      <c r="AW69" s="41">
        <f>AW10+AW11+AW12+AW13+AW14+AW15+AW16+AW17+AW18+AW19+AW20+AW21+AW22+AW23+AW24+AW25+AW26</f>
        <v/>
      </c>
      <c r="AX69" s="41">
        <f>AX10+AX11+AX12+AX13+AX14+AX15+AX16+AX17+AX18+AX19+AX20+AX21+AX22+AX23+AX24+AX25+AX26</f>
        <v/>
      </c>
      <c r="AY69" s="41">
        <f>AY10+AY11+AY12+AY13+AY14+AY15+AY16+AY17+AY18+AY19+AY20+AY21+AY22+AY23+AY24+AY25+AY26</f>
        <v/>
      </c>
      <c r="AZ69" s="41">
        <f>AZ10+AZ11+AZ12+AZ13+AZ14+AZ15+AZ16+AZ17+AZ18+AZ19+AZ20+AZ21+AZ22+AZ23+AZ24+AZ25+AZ26</f>
        <v/>
      </c>
      <c r="BA69" s="41">
        <f>BA10+BA11+BA12+BA13+BA14+BA15+BA16+BA17+BA18+BA19+BA20+BA21+BA22+BA23+BA24+BA25+BA26</f>
        <v/>
      </c>
      <c r="BB69" s="41">
        <f>BB10+BB11+BB12+BB13+BB14+BB15+BB16+BB17+BB18+BB19+BB20+BB21+BB22+BB23+BB24+BB25+BB26</f>
        <v/>
      </c>
      <c r="BC69" s="41">
        <f>BC10+BC11+BC12+BC13+BC14+BC15+BC16+BC17+BC18+BC19+BC20+BC21+BC22+BC23+BC24+BC25+BC26</f>
        <v/>
      </c>
      <c r="BD69" s="41">
        <f>BD10+BD11+BD12+BD13+BD14+BD15+BD16+BD17+BD18+BD19+BD20+BD21+BD22+BD23+BD24+BD25+BD26</f>
        <v/>
      </c>
      <c r="BE69" s="41">
        <f>BE10+BE11+BE12+BE13+BE14+BE15+BE16+BE17+BE18+BE19+BE20+BE21+BE22+BE23+BE24+BE25+BE26</f>
        <v/>
      </c>
      <c r="BF69" s="41">
        <f>BF10+BF11+BF12+BF13+BF14+BF15+BF16+BF17+BF18+BF19+BF20+BF21+BF22+BF23+BF24+BF25+BF26</f>
        <v/>
      </c>
      <c r="BG69" s="41">
        <f>BG10+BG11+BG12+BG13+BG14+BG15+BG16+BG17+BG18+BG19+BG20+BG21+BG22+BG23+BG24+BG25+BG26</f>
        <v/>
      </c>
      <c r="BH69" s="41">
        <f>BH10+BH11+BH12+BH13+BH14+BH15+BH16+BH17+BH18+BH19+BH20+BH21+BH22+BH23+BH24+BH25+BH26</f>
        <v/>
      </c>
      <c r="BI69" s="41">
        <f>BI10+BI11+BI12+BI13+BI14+BI15+BI16+BI17+BI18+BI19+BI20+BI21+BI22+BI23+BI24+BI25+BI26</f>
        <v/>
      </c>
      <c r="BJ69" s="41">
        <f>BJ10+BJ11+BJ12+BJ13+BJ14+BJ15+BJ16+BJ17+BJ18+BJ19+BJ20+BJ21+BJ22+BJ23+BJ24+BJ25+BJ26</f>
        <v/>
      </c>
    </row>
    <row r="70">
      <c r="A70" s="4" t="inlineStr">
        <is>
          <t>Marketing</t>
        </is>
      </c>
      <c r="B70" s="17" t="inlineStr">
        <is>
          <t>FTE</t>
        </is>
      </c>
      <c r="C70" s="41">
        <f>C27+C28+C29+C30+C31+C32+C33</f>
        <v/>
      </c>
      <c r="D70" s="41">
        <f>D27+D28+D29+D30+D31+D32+D33</f>
        <v/>
      </c>
      <c r="E70" s="41">
        <f>E27+E28+E29+E30+E31+E32+E33</f>
        <v/>
      </c>
      <c r="F70" s="41">
        <f>F27+F28+F29+F30+F31+F32+F33</f>
        <v/>
      </c>
      <c r="G70" s="41">
        <f>G27+G28+G29+G30+G31+G32+G33</f>
        <v/>
      </c>
      <c r="H70" s="41">
        <f>H27+H28+H29+H30+H31+H32+H33</f>
        <v/>
      </c>
      <c r="I70" s="41">
        <f>I27+I28+I29+I30+I31+I32+I33</f>
        <v/>
      </c>
      <c r="J70" s="41">
        <f>J27+J28+J29+J30+J31+J32+J33</f>
        <v/>
      </c>
      <c r="K70" s="41">
        <f>K27+K28+K29+K30+K31+K32+K33</f>
        <v/>
      </c>
      <c r="L70" s="41">
        <f>L27+L28+L29+L30+L31+L32+L33</f>
        <v/>
      </c>
      <c r="M70" s="41">
        <f>M27+M28+M29+M30+M31+M32+M33</f>
        <v/>
      </c>
      <c r="N70" s="41">
        <f>N27+N28+N29+N30+N31+N32+N33</f>
        <v/>
      </c>
      <c r="O70" s="41">
        <f>O27+O28+O29+O30+O31+O32+O33</f>
        <v/>
      </c>
      <c r="P70" s="41">
        <f>P27+P28+P29+P30+P31+P32+P33</f>
        <v/>
      </c>
      <c r="Q70" s="41">
        <f>Q27+Q28+Q29+Q30+Q31+Q32+Q33</f>
        <v/>
      </c>
      <c r="R70" s="41">
        <f>R27+R28+R29+R30+R31+R32+R33</f>
        <v/>
      </c>
      <c r="S70" s="41">
        <f>S27+S28+S29+S30+S31+S32+S33</f>
        <v/>
      </c>
      <c r="T70" s="41">
        <f>T27+T28+T29+T30+T31+T32+T33</f>
        <v/>
      </c>
      <c r="U70" s="41">
        <f>U27+U28+U29+U30+U31+U32+U33</f>
        <v/>
      </c>
      <c r="V70" s="41">
        <f>V27+V28+V29+V30+V31+V32+V33</f>
        <v/>
      </c>
      <c r="W70" s="41">
        <f>W27+W28+W29+W30+W31+W32+W33</f>
        <v/>
      </c>
      <c r="X70" s="41">
        <f>X27+X28+X29+X30+X31+X32+X33</f>
        <v/>
      </c>
      <c r="Y70" s="41">
        <f>Y27+Y28+Y29+Y30+Y31+Y32+Y33</f>
        <v/>
      </c>
      <c r="Z70" s="41">
        <f>Z27+Z28+Z29+Z30+Z31+Z32+Z33</f>
        <v/>
      </c>
      <c r="AA70" s="41">
        <f>AA27+AA28+AA29+AA30+AA31+AA32+AA33</f>
        <v/>
      </c>
      <c r="AB70" s="41">
        <f>AB27+AB28+AB29+AB30+AB31+AB32+AB33</f>
        <v/>
      </c>
      <c r="AC70" s="41">
        <f>AC27+AC28+AC29+AC30+AC31+AC32+AC33</f>
        <v/>
      </c>
      <c r="AD70" s="41">
        <f>AD27+AD28+AD29+AD30+AD31+AD32+AD33</f>
        <v/>
      </c>
      <c r="AE70" s="41">
        <f>AE27+AE28+AE29+AE30+AE31+AE32+AE33</f>
        <v/>
      </c>
      <c r="AF70" s="41">
        <f>AF27+AF28+AF29+AF30+AF31+AF32+AF33</f>
        <v/>
      </c>
      <c r="AG70" s="41">
        <f>AG27+AG28+AG29+AG30+AG31+AG32+AG33</f>
        <v/>
      </c>
      <c r="AH70" s="41">
        <f>AH27+AH28+AH29+AH30+AH31+AH32+AH33</f>
        <v/>
      </c>
      <c r="AI70" s="41">
        <f>AI27+AI28+AI29+AI30+AI31+AI32+AI33</f>
        <v/>
      </c>
      <c r="AJ70" s="41">
        <f>AJ27+AJ28+AJ29+AJ30+AJ31+AJ32+AJ33</f>
        <v/>
      </c>
      <c r="AK70" s="41">
        <f>AK27+AK28+AK29+AK30+AK31+AK32+AK33</f>
        <v/>
      </c>
      <c r="AL70" s="41">
        <f>AL27+AL28+AL29+AL30+AL31+AL32+AL33</f>
        <v/>
      </c>
      <c r="AM70" s="41">
        <f>AM27+AM28+AM29+AM30+AM31+AM32+AM33</f>
        <v/>
      </c>
      <c r="AN70" s="41">
        <f>AN27+AN28+AN29+AN30+AN31+AN32+AN33</f>
        <v/>
      </c>
      <c r="AO70" s="41">
        <f>AO27+AO28+AO29+AO30+AO31+AO32+AO33</f>
        <v/>
      </c>
      <c r="AP70" s="41">
        <f>AP27+AP28+AP29+AP30+AP31+AP32+AP33</f>
        <v/>
      </c>
      <c r="AQ70" s="41">
        <f>AQ27+AQ28+AQ29+AQ30+AQ31+AQ32+AQ33</f>
        <v/>
      </c>
      <c r="AR70" s="41">
        <f>AR27+AR28+AR29+AR30+AR31+AR32+AR33</f>
        <v/>
      </c>
      <c r="AS70" s="41">
        <f>AS27+AS28+AS29+AS30+AS31+AS32+AS33</f>
        <v/>
      </c>
      <c r="AT70" s="41">
        <f>AT27+AT28+AT29+AT30+AT31+AT32+AT33</f>
        <v/>
      </c>
      <c r="AU70" s="41">
        <f>AU27+AU28+AU29+AU30+AU31+AU32+AU33</f>
        <v/>
      </c>
      <c r="AV70" s="41">
        <f>AV27+AV28+AV29+AV30+AV31+AV32+AV33</f>
        <v/>
      </c>
      <c r="AW70" s="41">
        <f>AW27+AW28+AW29+AW30+AW31+AW32+AW33</f>
        <v/>
      </c>
      <c r="AX70" s="41">
        <f>AX27+AX28+AX29+AX30+AX31+AX32+AX33</f>
        <v/>
      </c>
      <c r="AY70" s="41">
        <f>AY27+AY28+AY29+AY30+AY31+AY32+AY33</f>
        <v/>
      </c>
      <c r="AZ70" s="41">
        <f>AZ27+AZ28+AZ29+AZ30+AZ31+AZ32+AZ33</f>
        <v/>
      </c>
      <c r="BA70" s="41">
        <f>BA27+BA28+BA29+BA30+BA31+BA32+BA33</f>
        <v/>
      </c>
      <c r="BB70" s="41">
        <f>BB27+BB28+BB29+BB30+BB31+BB32+BB33</f>
        <v/>
      </c>
      <c r="BC70" s="41">
        <f>BC27+BC28+BC29+BC30+BC31+BC32+BC33</f>
        <v/>
      </c>
      <c r="BD70" s="41">
        <f>BD27+BD28+BD29+BD30+BD31+BD32+BD33</f>
        <v/>
      </c>
      <c r="BE70" s="41">
        <f>BE27+BE28+BE29+BE30+BE31+BE32+BE33</f>
        <v/>
      </c>
      <c r="BF70" s="41">
        <f>BF27+BF28+BF29+BF30+BF31+BF32+BF33</f>
        <v/>
      </c>
      <c r="BG70" s="41">
        <f>BG27+BG28+BG29+BG30+BG31+BG32+BG33</f>
        <v/>
      </c>
      <c r="BH70" s="41">
        <f>BH27+BH28+BH29+BH30+BH31+BH32+BH33</f>
        <v/>
      </c>
      <c r="BI70" s="41">
        <f>BI27+BI28+BI29+BI30+BI31+BI32+BI33</f>
        <v/>
      </c>
      <c r="BJ70" s="41">
        <f>BJ27+BJ28+BJ29+BJ30+BJ31+BJ32+BJ33</f>
        <v/>
      </c>
    </row>
    <row r="71">
      <c r="A71" s="4" t="inlineStr">
        <is>
          <t>Sales &amp; partnerships</t>
        </is>
      </c>
      <c r="B71" s="17" t="inlineStr">
        <is>
          <t>FTE</t>
        </is>
      </c>
      <c r="C71" s="41">
        <f>C34+C35+C36+C37+C38+C39+C40+C41+C42</f>
        <v/>
      </c>
      <c r="D71" s="41">
        <f>D34+D35+D36+D37+D38+D39+D40+D41+D42</f>
        <v/>
      </c>
      <c r="E71" s="41">
        <f>E34+E35+E36+E37+E38+E39+E40+E41+E42</f>
        <v/>
      </c>
      <c r="F71" s="41">
        <f>F34+F35+F36+F37+F38+F39+F40+F41+F42</f>
        <v/>
      </c>
      <c r="G71" s="41">
        <f>G34+G35+G36+G37+G38+G39+G40+G41+G42</f>
        <v/>
      </c>
      <c r="H71" s="41">
        <f>H34+H35+H36+H37+H38+H39+H40+H41+H42</f>
        <v/>
      </c>
      <c r="I71" s="41">
        <f>I34+I35+I36+I37+I38+I39+I40+I41+I42</f>
        <v/>
      </c>
      <c r="J71" s="41">
        <f>J34+J35+J36+J37+J38+J39+J40+J41+J42</f>
        <v/>
      </c>
      <c r="K71" s="41">
        <f>K34+K35+K36+K37+K38+K39+K40+K41+K42</f>
        <v/>
      </c>
      <c r="L71" s="41">
        <f>L34+L35+L36+L37+L38+L39+L40+L41+L42</f>
        <v/>
      </c>
      <c r="M71" s="41">
        <f>M34+M35+M36+M37+M38+M39+M40+M41+M42</f>
        <v/>
      </c>
      <c r="N71" s="41">
        <f>N34+N35+N36+N37+N38+N39+N40+N41+N42</f>
        <v/>
      </c>
      <c r="O71" s="41">
        <f>O34+O35+O36+O37+O38+O39+O40+O41+O42</f>
        <v/>
      </c>
      <c r="P71" s="41">
        <f>P34+P35+P36+P37+P38+P39+P40+P41+P42</f>
        <v/>
      </c>
      <c r="Q71" s="41">
        <f>Q34+Q35+Q36+Q37+Q38+Q39+Q40+Q41+Q42</f>
        <v/>
      </c>
      <c r="R71" s="41">
        <f>R34+R35+R36+R37+R38+R39+R40+R41+R42</f>
        <v/>
      </c>
      <c r="S71" s="41">
        <f>S34+S35+S36+S37+S38+S39+S40+S41+S42</f>
        <v/>
      </c>
      <c r="T71" s="41">
        <f>T34+T35+T36+T37+T38+T39+T40+T41+T42</f>
        <v/>
      </c>
      <c r="U71" s="41">
        <f>U34+U35+U36+U37+U38+U39+U40+U41+U42</f>
        <v/>
      </c>
      <c r="V71" s="41">
        <f>V34+V35+V36+V37+V38+V39+V40+V41+V42</f>
        <v/>
      </c>
      <c r="W71" s="41">
        <f>W34+W35+W36+W37+W38+W39+W40+W41+W42</f>
        <v/>
      </c>
      <c r="X71" s="41">
        <f>X34+X35+X36+X37+X38+X39+X40+X41+X42</f>
        <v/>
      </c>
      <c r="Y71" s="41">
        <f>Y34+Y35+Y36+Y37+Y38+Y39+Y40+Y41+Y42</f>
        <v/>
      </c>
      <c r="Z71" s="41">
        <f>Z34+Z35+Z36+Z37+Z38+Z39+Z40+Z41+Z42</f>
        <v/>
      </c>
      <c r="AA71" s="41">
        <f>AA34+AA35+AA36+AA37+AA38+AA39+AA40+AA41+AA42</f>
        <v/>
      </c>
      <c r="AB71" s="41">
        <f>AB34+AB35+AB36+AB37+AB38+AB39+AB40+AB41+AB42</f>
        <v/>
      </c>
      <c r="AC71" s="41">
        <f>AC34+AC35+AC36+AC37+AC38+AC39+AC40+AC41+AC42</f>
        <v/>
      </c>
      <c r="AD71" s="41">
        <f>AD34+AD35+AD36+AD37+AD38+AD39+AD40+AD41+AD42</f>
        <v/>
      </c>
      <c r="AE71" s="41">
        <f>AE34+AE35+AE36+AE37+AE38+AE39+AE40+AE41+AE42</f>
        <v/>
      </c>
      <c r="AF71" s="41">
        <f>AF34+AF35+AF36+AF37+AF38+AF39+AF40+AF41+AF42</f>
        <v/>
      </c>
      <c r="AG71" s="41">
        <f>AG34+AG35+AG36+AG37+AG38+AG39+AG40+AG41+AG42</f>
        <v/>
      </c>
      <c r="AH71" s="41">
        <f>AH34+AH35+AH36+AH37+AH38+AH39+AH40+AH41+AH42</f>
        <v/>
      </c>
      <c r="AI71" s="41">
        <f>AI34+AI35+AI36+AI37+AI38+AI39+AI40+AI41+AI42</f>
        <v/>
      </c>
      <c r="AJ71" s="41">
        <f>AJ34+AJ35+AJ36+AJ37+AJ38+AJ39+AJ40+AJ41+AJ42</f>
        <v/>
      </c>
      <c r="AK71" s="41">
        <f>AK34+AK35+AK36+AK37+AK38+AK39+AK40+AK41+AK42</f>
        <v/>
      </c>
      <c r="AL71" s="41">
        <f>AL34+AL35+AL36+AL37+AL38+AL39+AL40+AL41+AL42</f>
        <v/>
      </c>
      <c r="AM71" s="41">
        <f>AM34+AM35+AM36+AM37+AM38+AM39+AM40+AM41+AM42</f>
        <v/>
      </c>
      <c r="AN71" s="41">
        <f>AN34+AN35+AN36+AN37+AN38+AN39+AN40+AN41+AN42</f>
        <v/>
      </c>
      <c r="AO71" s="41">
        <f>AO34+AO35+AO36+AO37+AO38+AO39+AO40+AO41+AO42</f>
        <v/>
      </c>
      <c r="AP71" s="41">
        <f>AP34+AP35+AP36+AP37+AP38+AP39+AP40+AP41+AP42</f>
        <v/>
      </c>
      <c r="AQ71" s="41">
        <f>AQ34+AQ35+AQ36+AQ37+AQ38+AQ39+AQ40+AQ41+AQ42</f>
        <v/>
      </c>
      <c r="AR71" s="41">
        <f>AR34+AR35+AR36+AR37+AR38+AR39+AR40+AR41+AR42</f>
        <v/>
      </c>
      <c r="AS71" s="41">
        <f>AS34+AS35+AS36+AS37+AS38+AS39+AS40+AS41+AS42</f>
        <v/>
      </c>
      <c r="AT71" s="41">
        <f>AT34+AT35+AT36+AT37+AT38+AT39+AT40+AT41+AT42</f>
        <v/>
      </c>
      <c r="AU71" s="41">
        <f>AU34+AU35+AU36+AU37+AU38+AU39+AU40+AU41+AU42</f>
        <v/>
      </c>
      <c r="AV71" s="41">
        <f>AV34+AV35+AV36+AV37+AV38+AV39+AV40+AV41+AV42</f>
        <v/>
      </c>
      <c r="AW71" s="41">
        <f>AW34+AW35+AW36+AW37+AW38+AW39+AW40+AW41+AW42</f>
        <v/>
      </c>
      <c r="AX71" s="41">
        <f>AX34+AX35+AX36+AX37+AX38+AX39+AX40+AX41+AX42</f>
        <v/>
      </c>
      <c r="AY71" s="41">
        <f>AY34+AY35+AY36+AY37+AY38+AY39+AY40+AY41+AY42</f>
        <v/>
      </c>
      <c r="AZ71" s="41">
        <f>AZ34+AZ35+AZ36+AZ37+AZ38+AZ39+AZ40+AZ41+AZ42</f>
        <v/>
      </c>
      <c r="BA71" s="41">
        <f>BA34+BA35+BA36+BA37+BA38+BA39+BA40+BA41+BA42</f>
        <v/>
      </c>
      <c r="BB71" s="41">
        <f>BB34+BB35+BB36+BB37+BB38+BB39+BB40+BB41+BB42</f>
        <v/>
      </c>
      <c r="BC71" s="41">
        <f>BC34+BC35+BC36+BC37+BC38+BC39+BC40+BC41+BC42</f>
        <v/>
      </c>
      <c r="BD71" s="41">
        <f>BD34+BD35+BD36+BD37+BD38+BD39+BD40+BD41+BD42</f>
        <v/>
      </c>
      <c r="BE71" s="41">
        <f>BE34+BE35+BE36+BE37+BE38+BE39+BE40+BE41+BE42</f>
        <v/>
      </c>
      <c r="BF71" s="41">
        <f>BF34+BF35+BF36+BF37+BF38+BF39+BF40+BF41+BF42</f>
        <v/>
      </c>
      <c r="BG71" s="41">
        <f>BG34+BG35+BG36+BG37+BG38+BG39+BG40+BG41+BG42</f>
        <v/>
      </c>
      <c r="BH71" s="41">
        <f>BH34+BH35+BH36+BH37+BH38+BH39+BH40+BH41+BH42</f>
        <v/>
      </c>
      <c r="BI71" s="41">
        <f>BI34+BI35+BI36+BI37+BI38+BI39+BI40+BI41+BI42</f>
        <v/>
      </c>
      <c r="BJ71" s="41">
        <f>BJ34+BJ35+BJ36+BJ37+BJ38+BJ39+BJ40+BJ41+BJ42</f>
        <v/>
      </c>
    </row>
    <row r="72">
      <c r="A72" s="4" t="inlineStr">
        <is>
          <t>Customer success</t>
        </is>
      </c>
      <c r="B72" s="17" t="inlineStr">
        <is>
          <t>FTE</t>
        </is>
      </c>
      <c r="C72" s="41">
        <f>C43+C44+C45+C46+C47+C48+C55</f>
        <v/>
      </c>
      <c r="D72" s="41">
        <f>D43+D44+D45+D46+D47+D48+D55</f>
        <v/>
      </c>
      <c r="E72" s="41">
        <f>E43+E44+E45+E46+E47+E48+E55</f>
        <v/>
      </c>
      <c r="F72" s="41">
        <f>F43+F44+F45+F46+F47+F48+F55</f>
        <v/>
      </c>
      <c r="G72" s="41">
        <f>G43+G44+G45+G46+G47+G48+G55</f>
        <v/>
      </c>
      <c r="H72" s="41">
        <f>H43+H44+H45+H46+H47+H48+H55</f>
        <v/>
      </c>
      <c r="I72" s="41">
        <f>I43+I44+I45+I46+I47+I48+I55</f>
        <v/>
      </c>
      <c r="J72" s="41">
        <f>J43+J44+J45+J46+J47+J48+J55</f>
        <v/>
      </c>
      <c r="K72" s="41">
        <f>K43+K44+K45+K46+K47+K48+K55</f>
        <v/>
      </c>
      <c r="L72" s="41">
        <f>L43+L44+L45+L46+L47+L48+L55</f>
        <v/>
      </c>
      <c r="M72" s="41">
        <f>M43+M44+M45+M46+M47+M48+M55</f>
        <v/>
      </c>
      <c r="N72" s="41">
        <f>N43+N44+N45+N46+N47+N48+N55</f>
        <v/>
      </c>
      <c r="O72" s="41">
        <f>O43+O44+O45+O46+O47+O48+O55</f>
        <v/>
      </c>
      <c r="P72" s="41">
        <f>P43+P44+P45+P46+P47+P48+P55</f>
        <v/>
      </c>
      <c r="Q72" s="41">
        <f>Q43+Q44+Q45+Q46+Q47+Q48+Q55</f>
        <v/>
      </c>
      <c r="R72" s="41">
        <f>R43+R44+R45+R46+R47+R48+R55</f>
        <v/>
      </c>
      <c r="S72" s="41">
        <f>S43+S44+S45+S46+S47+S48+S55</f>
        <v/>
      </c>
      <c r="T72" s="41">
        <f>T43+T44+T45+T46+T47+T48+T55</f>
        <v/>
      </c>
      <c r="U72" s="41">
        <f>U43+U44+U45+U46+U47+U48+U55</f>
        <v/>
      </c>
      <c r="V72" s="41">
        <f>V43+V44+V45+V46+V47+V48+V55</f>
        <v/>
      </c>
      <c r="W72" s="41">
        <f>W43+W44+W45+W46+W47+W48+W55</f>
        <v/>
      </c>
      <c r="X72" s="41">
        <f>X43+X44+X45+X46+X47+X48+X55</f>
        <v/>
      </c>
      <c r="Y72" s="41">
        <f>Y43+Y44+Y45+Y46+Y47+Y48+Y55</f>
        <v/>
      </c>
      <c r="Z72" s="41">
        <f>Z43+Z44+Z45+Z46+Z47+Z48+Z55</f>
        <v/>
      </c>
      <c r="AA72" s="41">
        <f>AA43+AA44+AA45+AA46+AA47+AA48+AA55</f>
        <v/>
      </c>
      <c r="AB72" s="41">
        <f>AB43+AB44+AB45+AB46+AB47+AB48+AB55</f>
        <v/>
      </c>
      <c r="AC72" s="41">
        <f>AC43+AC44+AC45+AC46+AC47+AC48+AC55</f>
        <v/>
      </c>
      <c r="AD72" s="41">
        <f>AD43+AD44+AD45+AD46+AD47+AD48+AD55</f>
        <v/>
      </c>
      <c r="AE72" s="41">
        <f>AE43+AE44+AE45+AE46+AE47+AE48+AE55</f>
        <v/>
      </c>
      <c r="AF72" s="41">
        <f>AF43+AF44+AF45+AF46+AF47+AF48+AF55</f>
        <v/>
      </c>
      <c r="AG72" s="41">
        <f>AG43+AG44+AG45+AG46+AG47+AG48+AG55</f>
        <v/>
      </c>
      <c r="AH72" s="41">
        <f>AH43+AH44+AH45+AH46+AH47+AH48+AH55</f>
        <v/>
      </c>
      <c r="AI72" s="41">
        <f>AI43+AI44+AI45+AI46+AI47+AI48+AI55</f>
        <v/>
      </c>
      <c r="AJ72" s="41">
        <f>AJ43+AJ44+AJ45+AJ46+AJ47+AJ48+AJ55</f>
        <v/>
      </c>
      <c r="AK72" s="41">
        <f>AK43+AK44+AK45+AK46+AK47+AK48+AK55</f>
        <v/>
      </c>
      <c r="AL72" s="41">
        <f>AL43+AL44+AL45+AL46+AL47+AL48+AL55</f>
        <v/>
      </c>
      <c r="AM72" s="41">
        <f>AM43+AM44+AM45+AM46+AM47+AM48+AM55</f>
        <v/>
      </c>
      <c r="AN72" s="41">
        <f>AN43+AN44+AN45+AN46+AN47+AN48+AN55</f>
        <v/>
      </c>
      <c r="AO72" s="41">
        <f>AO43+AO44+AO45+AO46+AO47+AO48+AO55</f>
        <v/>
      </c>
      <c r="AP72" s="41">
        <f>AP43+AP44+AP45+AP46+AP47+AP48+AP55</f>
        <v/>
      </c>
      <c r="AQ72" s="41">
        <f>AQ43+AQ44+AQ45+AQ46+AQ47+AQ48+AQ55</f>
        <v/>
      </c>
      <c r="AR72" s="41">
        <f>AR43+AR44+AR45+AR46+AR47+AR48+AR55</f>
        <v/>
      </c>
      <c r="AS72" s="41">
        <f>AS43+AS44+AS45+AS46+AS47+AS48+AS55</f>
        <v/>
      </c>
      <c r="AT72" s="41">
        <f>AT43+AT44+AT45+AT46+AT47+AT48+AT55</f>
        <v/>
      </c>
      <c r="AU72" s="41">
        <f>AU43+AU44+AU45+AU46+AU47+AU48+AU55</f>
        <v/>
      </c>
      <c r="AV72" s="41">
        <f>AV43+AV44+AV45+AV46+AV47+AV48+AV55</f>
        <v/>
      </c>
      <c r="AW72" s="41">
        <f>AW43+AW44+AW45+AW46+AW47+AW48+AW55</f>
        <v/>
      </c>
      <c r="AX72" s="41">
        <f>AX43+AX44+AX45+AX46+AX47+AX48+AX55</f>
        <v/>
      </c>
      <c r="AY72" s="41">
        <f>AY43+AY44+AY45+AY46+AY47+AY48+AY55</f>
        <v/>
      </c>
      <c r="AZ72" s="41">
        <f>AZ43+AZ44+AZ45+AZ46+AZ47+AZ48+AZ55</f>
        <v/>
      </c>
      <c r="BA72" s="41">
        <f>BA43+BA44+BA45+BA46+BA47+BA48+BA55</f>
        <v/>
      </c>
      <c r="BB72" s="41">
        <f>BB43+BB44+BB45+BB46+BB47+BB48+BB55</f>
        <v/>
      </c>
      <c r="BC72" s="41">
        <f>BC43+BC44+BC45+BC46+BC47+BC48+BC55</f>
        <v/>
      </c>
      <c r="BD72" s="41">
        <f>BD43+BD44+BD45+BD46+BD47+BD48+BD55</f>
        <v/>
      </c>
      <c r="BE72" s="41">
        <f>BE43+BE44+BE45+BE46+BE47+BE48+BE55</f>
        <v/>
      </c>
      <c r="BF72" s="41">
        <f>BF43+BF44+BF45+BF46+BF47+BF48+BF55</f>
        <v/>
      </c>
      <c r="BG72" s="41">
        <f>BG43+BG44+BG45+BG46+BG47+BG48+BG55</f>
        <v/>
      </c>
      <c r="BH72" s="41">
        <f>BH43+BH44+BH45+BH46+BH47+BH48+BH55</f>
        <v/>
      </c>
      <c r="BI72" s="41">
        <f>BI43+BI44+BI45+BI46+BI47+BI48+BI55</f>
        <v/>
      </c>
      <c r="BJ72" s="41">
        <f>BJ43+BJ44+BJ45+BJ46+BJ47+BJ48+BJ55</f>
        <v/>
      </c>
    </row>
    <row r="73">
      <c r="A73" s="4" t="inlineStr">
        <is>
          <t>G&amp;A &amp; compliance</t>
        </is>
      </c>
      <c r="B73" s="17" t="inlineStr">
        <is>
          <t>FTE</t>
        </is>
      </c>
      <c r="C73" s="41">
        <f>C49+C50+C51+C52+C53+C54+C56</f>
        <v/>
      </c>
      <c r="D73" s="41">
        <f>D49+D50+D51+D52+D53+D54+D56</f>
        <v/>
      </c>
      <c r="E73" s="41">
        <f>E49+E50+E51+E52+E53+E54+E56</f>
        <v/>
      </c>
      <c r="F73" s="41">
        <f>F49+F50+F51+F52+F53+F54+F56</f>
        <v/>
      </c>
      <c r="G73" s="41">
        <f>G49+G50+G51+G52+G53+G54+G56</f>
        <v/>
      </c>
      <c r="H73" s="41">
        <f>H49+H50+H51+H52+H53+H54+H56</f>
        <v/>
      </c>
      <c r="I73" s="41">
        <f>I49+I50+I51+I52+I53+I54+I56</f>
        <v/>
      </c>
      <c r="J73" s="41">
        <f>J49+J50+J51+J52+J53+J54+J56</f>
        <v/>
      </c>
      <c r="K73" s="41">
        <f>K49+K50+K51+K52+K53+K54+K56</f>
        <v/>
      </c>
      <c r="L73" s="41">
        <f>L49+L50+L51+L52+L53+L54+L56</f>
        <v/>
      </c>
      <c r="M73" s="41">
        <f>M49+M50+M51+M52+M53+M54+M56</f>
        <v/>
      </c>
      <c r="N73" s="41">
        <f>N49+N50+N51+N52+N53+N54+N56</f>
        <v/>
      </c>
      <c r="O73" s="41">
        <f>O49+O50+O51+O52+O53+O54+O56</f>
        <v/>
      </c>
      <c r="P73" s="41">
        <f>P49+P50+P51+P52+P53+P54+P56</f>
        <v/>
      </c>
      <c r="Q73" s="41">
        <f>Q49+Q50+Q51+Q52+Q53+Q54+Q56</f>
        <v/>
      </c>
      <c r="R73" s="41">
        <f>R49+R50+R51+R52+R53+R54+R56</f>
        <v/>
      </c>
      <c r="S73" s="41">
        <f>S49+S50+S51+S52+S53+S54+S56</f>
        <v/>
      </c>
      <c r="T73" s="41">
        <f>T49+T50+T51+T52+T53+T54+T56</f>
        <v/>
      </c>
      <c r="U73" s="41">
        <f>U49+U50+U51+U52+U53+U54+U56</f>
        <v/>
      </c>
      <c r="V73" s="41">
        <f>V49+V50+V51+V52+V53+V54+V56</f>
        <v/>
      </c>
      <c r="W73" s="41">
        <f>W49+W50+W51+W52+W53+W54+W56</f>
        <v/>
      </c>
      <c r="X73" s="41">
        <f>X49+X50+X51+X52+X53+X54+X56</f>
        <v/>
      </c>
      <c r="Y73" s="41">
        <f>Y49+Y50+Y51+Y52+Y53+Y54+Y56</f>
        <v/>
      </c>
      <c r="Z73" s="41">
        <f>Z49+Z50+Z51+Z52+Z53+Z54+Z56</f>
        <v/>
      </c>
      <c r="AA73" s="41">
        <f>AA49+AA50+AA51+AA52+AA53+AA54+AA56</f>
        <v/>
      </c>
      <c r="AB73" s="41">
        <f>AB49+AB50+AB51+AB52+AB53+AB54+AB56</f>
        <v/>
      </c>
      <c r="AC73" s="41">
        <f>AC49+AC50+AC51+AC52+AC53+AC54+AC56</f>
        <v/>
      </c>
      <c r="AD73" s="41">
        <f>AD49+AD50+AD51+AD52+AD53+AD54+AD56</f>
        <v/>
      </c>
      <c r="AE73" s="41">
        <f>AE49+AE50+AE51+AE52+AE53+AE54+AE56</f>
        <v/>
      </c>
      <c r="AF73" s="41">
        <f>AF49+AF50+AF51+AF52+AF53+AF54+AF56</f>
        <v/>
      </c>
      <c r="AG73" s="41">
        <f>AG49+AG50+AG51+AG52+AG53+AG54+AG56</f>
        <v/>
      </c>
      <c r="AH73" s="41">
        <f>AH49+AH50+AH51+AH52+AH53+AH54+AH56</f>
        <v/>
      </c>
      <c r="AI73" s="41">
        <f>AI49+AI50+AI51+AI52+AI53+AI54+AI56</f>
        <v/>
      </c>
      <c r="AJ73" s="41">
        <f>AJ49+AJ50+AJ51+AJ52+AJ53+AJ54+AJ56</f>
        <v/>
      </c>
      <c r="AK73" s="41">
        <f>AK49+AK50+AK51+AK52+AK53+AK54+AK56</f>
        <v/>
      </c>
      <c r="AL73" s="41">
        <f>AL49+AL50+AL51+AL52+AL53+AL54+AL56</f>
        <v/>
      </c>
      <c r="AM73" s="41">
        <f>AM49+AM50+AM51+AM52+AM53+AM54+AM56</f>
        <v/>
      </c>
      <c r="AN73" s="41">
        <f>AN49+AN50+AN51+AN52+AN53+AN54+AN56</f>
        <v/>
      </c>
      <c r="AO73" s="41">
        <f>AO49+AO50+AO51+AO52+AO53+AO54+AO56</f>
        <v/>
      </c>
      <c r="AP73" s="41">
        <f>AP49+AP50+AP51+AP52+AP53+AP54+AP56</f>
        <v/>
      </c>
      <c r="AQ73" s="41">
        <f>AQ49+AQ50+AQ51+AQ52+AQ53+AQ54+AQ56</f>
        <v/>
      </c>
      <c r="AR73" s="41">
        <f>AR49+AR50+AR51+AR52+AR53+AR54+AR56</f>
        <v/>
      </c>
      <c r="AS73" s="41">
        <f>AS49+AS50+AS51+AS52+AS53+AS54+AS56</f>
        <v/>
      </c>
      <c r="AT73" s="41">
        <f>AT49+AT50+AT51+AT52+AT53+AT54+AT56</f>
        <v/>
      </c>
      <c r="AU73" s="41">
        <f>AU49+AU50+AU51+AU52+AU53+AU54+AU56</f>
        <v/>
      </c>
      <c r="AV73" s="41">
        <f>AV49+AV50+AV51+AV52+AV53+AV54+AV56</f>
        <v/>
      </c>
      <c r="AW73" s="41">
        <f>AW49+AW50+AW51+AW52+AW53+AW54+AW56</f>
        <v/>
      </c>
      <c r="AX73" s="41">
        <f>AX49+AX50+AX51+AX52+AX53+AX54+AX56</f>
        <v/>
      </c>
      <c r="AY73" s="41">
        <f>AY49+AY50+AY51+AY52+AY53+AY54+AY56</f>
        <v/>
      </c>
      <c r="AZ73" s="41">
        <f>AZ49+AZ50+AZ51+AZ52+AZ53+AZ54+AZ56</f>
        <v/>
      </c>
      <c r="BA73" s="41">
        <f>BA49+BA50+BA51+BA52+BA53+BA54+BA56</f>
        <v/>
      </c>
      <c r="BB73" s="41">
        <f>BB49+BB50+BB51+BB52+BB53+BB54+BB56</f>
        <v/>
      </c>
      <c r="BC73" s="41">
        <f>BC49+BC50+BC51+BC52+BC53+BC54+BC56</f>
        <v/>
      </c>
      <c r="BD73" s="41">
        <f>BD49+BD50+BD51+BD52+BD53+BD54+BD56</f>
        <v/>
      </c>
      <c r="BE73" s="41">
        <f>BE49+BE50+BE51+BE52+BE53+BE54+BE56</f>
        <v/>
      </c>
      <c r="BF73" s="41">
        <f>BF49+BF50+BF51+BF52+BF53+BF54+BF56</f>
        <v/>
      </c>
      <c r="BG73" s="41">
        <f>BG49+BG50+BG51+BG52+BG53+BG54+BG56</f>
        <v/>
      </c>
      <c r="BH73" s="41">
        <f>BH49+BH50+BH51+BH52+BH53+BH54+BH56</f>
        <v/>
      </c>
      <c r="BI73" s="41">
        <f>BI49+BI50+BI51+BI52+BI53+BI54+BI56</f>
        <v/>
      </c>
      <c r="BJ73" s="41">
        <f>BJ49+BJ50+BJ51+BJ52+BJ53+BJ54+BJ56</f>
        <v/>
      </c>
    </row>
    <row r="74">
      <c r="A74" s="4" t="inlineStr">
        <is>
          <t>Country teams</t>
        </is>
      </c>
      <c r="B74" s="17" t="inlineStr">
        <is>
          <t>FTE</t>
        </is>
      </c>
      <c r="C74" s="41">
        <f>C57+C58+C59+C60+C61+C62+C63+C64+C65</f>
        <v/>
      </c>
      <c r="D74" s="41">
        <f>D57+D58+D59+D60+D61+D62+D63+D64+D65</f>
        <v/>
      </c>
      <c r="E74" s="41">
        <f>E57+E58+E59+E60+E61+E62+E63+E64+E65</f>
        <v/>
      </c>
      <c r="F74" s="41">
        <f>F57+F58+F59+F60+F61+F62+F63+F64+F65</f>
        <v/>
      </c>
      <c r="G74" s="41">
        <f>G57+G58+G59+G60+G61+G62+G63+G64+G65</f>
        <v/>
      </c>
      <c r="H74" s="41">
        <f>H57+H58+H59+H60+H61+H62+H63+H64+H65</f>
        <v/>
      </c>
      <c r="I74" s="41">
        <f>I57+I58+I59+I60+I61+I62+I63+I64+I65</f>
        <v/>
      </c>
      <c r="J74" s="41">
        <f>J57+J58+J59+J60+J61+J62+J63+J64+J65</f>
        <v/>
      </c>
      <c r="K74" s="41">
        <f>K57+K58+K59+K60+K61+K62+K63+K64+K65</f>
        <v/>
      </c>
      <c r="L74" s="41">
        <f>L57+L58+L59+L60+L61+L62+L63+L64+L65</f>
        <v/>
      </c>
      <c r="M74" s="41">
        <f>M57+M58+M59+M60+M61+M62+M63+M64+M65</f>
        <v/>
      </c>
      <c r="N74" s="41">
        <f>N57+N58+N59+N60+N61+N62+N63+N64+N65</f>
        <v/>
      </c>
      <c r="O74" s="41">
        <f>O57+O58+O59+O60+O61+O62+O63+O64+O65</f>
        <v/>
      </c>
      <c r="P74" s="41">
        <f>P57+P58+P59+P60+P61+P62+P63+P64+P65</f>
        <v/>
      </c>
      <c r="Q74" s="41">
        <f>Q57+Q58+Q59+Q60+Q61+Q62+Q63+Q64+Q65</f>
        <v/>
      </c>
      <c r="R74" s="41">
        <f>R57+R58+R59+R60+R61+R62+R63+R64+R65</f>
        <v/>
      </c>
      <c r="S74" s="41">
        <f>S57+S58+S59+S60+S61+S62+S63+S64+S65</f>
        <v/>
      </c>
      <c r="T74" s="41">
        <f>T57+T58+T59+T60+T61+T62+T63+T64+T65</f>
        <v/>
      </c>
      <c r="U74" s="41">
        <f>U57+U58+U59+U60+U61+U62+U63+U64+U65</f>
        <v/>
      </c>
      <c r="V74" s="41">
        <f>V57+V58+V59+V60+V61+V62+V63+V64+V65</f>
        <v/>
      </c>
      <c r="W74" s="41">
        <f>W57+W58+W59+W60+W61+W62+W63+W64+W65</f>
        <v/>
      </c>
      <c r="X74" s="41">
        <f>X57+X58+X59+X60+X61+X62+X63+X64+X65</f>
        <v/>
      </c>
      <c r="Y74" s="41">
        <f>Y57+Y58+Y59+Y60+Y61+Y62+Y63+Y64+Y65</f>
        <v/>
      </c>
      <c r="Z74" s="41">
        <f>Z57+Z58+Z59+Z60+Z61+Z62+Z63+Z64+Z65</f>
        <v/>
      </c>
      <c r="AA74" s="41">
        <f>AA57+AA58+AA59+AA60+AA61+AA62+AA63+AA64+AA65</f>
        <v/>
      </c>
      <c r="AB74" s="41">
        <f>AB57+AB58+AB59+AB60+AB61+AB62+AB63+AB64+AB65</f>
        <v/>
      </c>
      <c r="AC74" s="41">
        <f>AC57+AC58+AC59+AC60+AC61+AC62+AC63+AC64+AC65</f>
        <v/>
      </c>
      <c r="AD74" s="41">
        <f>AD57+AD58+AD59+AD60+AD61+AD62+AD63+AD64+AD65</f>
        <v/>
      </c>
      <c r="AE74" s="41">
        <f>AE57+AE58+AE59+AE60+AE61+AE62+AE63+AE64+AE65</f>
        <v/>
      </c>
      <c r="AF74" s="41">
        <f>AF57+AF58+AF59+AF60+AF61+AF62+AF63+AF64+AF65</f>
        <v/>
      </c>
      <c r="AG74" s="41">
        <f>AG57+AG58+AG59+AG60+AG61+AG62+AG63+AG64+AG65</f>
        <v/>
      </c>
      <c r="AH74" s="41">
        <f>AH57+AH58+AH59+AH60+AH61+AH62+AH63+AH64+AH65</f>
        <v/>
      </c>
      <c r="AI74" s="41">
        <f>AI57+AI58+AI59+AI60+AI61+AI62+AI63+AI64+AI65</f>
        <v/>
      </c>
      <c r="AJ74" s="41">
        <f>AJ57+AJ58+AJ59+AJ60+AJ61+AJ62+AJ63+AJ64+AJ65</f>
        <v/>
      </c>
      <c r="AK74" s="41">
        <f>AK57+AK58+AK59+AK60+AK61+AK62+AK63+AK64+AK65</f>
        <v/>
      </c>
      <c r="AL74" s="41">
        <f>AL57+AL58+AL59+AL60+AL61+AL62+AL63+AL64+AL65</f>
        <v/>
      </c>
      <c r="AM74" s="41">
        <f>AM57+AM58+AM59+AM60+AM61+AM62+AM63+AM64+AM65</f>
        <v/>
      </c>
      <c r="AN74" s="41">
        <f>AN57+AN58+AN59+AN60+AN61+AN62+AN63+AN64+AN65</f>
        <v/>
      </c>
      <c r="AO74" s="41">
        <f>AO57+AO58+AO59+AO60+AO61+AO62+AO63+AO64+AO65</f>
        <v/>
      </c>
      <c r="AP74" s="41">
        <f>AP57+AP58+AP59+AP60+AP61+AP62+AP63+AP64+AP65</f>
        <v/>
      </c>
      <c r="AQ74" s="41">
        <f>AQ57+AQ58+AQ59+AQ60+AQ61+AQ62+AQ63+AQ64+AQ65</f>
        <v/>
      </c>
      <c r="AR74" s="41">
        <f>AR57+AR58+AR59+AR60+AR61+AR62+AR63+AR64+AR65</f>
        <v/>
      </c>
      <c r="AS74" s="41">
        <f>AS57+AS58+AS59+AS60+AS61+AS62+AS63+AS64+AS65</f>
        <v/>
      </c>
      <c r="AT74" s="41">
        <f>AT57+AT58+AT59+AT60+AT61+AT62+AT63+AT64+AT65</f>
        <v/>
      </c>
      <c r="AU74" s="41">
        <f>AU57+AU58+AU59+AU60+AU61+AU62+AU63+AU64+AU65</f>
        <v/>
      </c>
      <c r="AV74" s="41">
        <f>AV57+AV58+AV59+AV60+AV61+AV62+AV63+AV64+AV65</f>
        <v/>
      </c>
      <c r="AW74" s="41">
        <f>AW57+AW58+AW59+AW60+AW61+AW62+AW63+AW64+AW65</f>
        <v/>
      </c>
      <c r="AX74" s="41">
        <f>AX57+AX58+AX59+AX60+AX61+AX62+AX63+AX64+AX65</f>
        <v/>
      </c>
      <c r="AY74" s="41">
        <f>AY57+AY58+AY59+AY60+AY61+AY62+AY63+AY64+AY65</f>
        <v/>
      </c>
      <c r="AZ74" s="41">
        <f>AZ57+AZ58+AZ59+AZ60+AZ61+AZ62+AZ63+AZ64+AZ65</f>
        <v/>
      </c>
      <c r="BA74" s="41">
        <f>BA57+BA58+BA59+BA60+BA61+BA62+BA63+BA64+BA65</f>
        <v/>
      </c>
      <c r="BB74" s="41">
        <f>BB57+BB58+BB59+BB60+BB61+BB62+BB63+BB64+BB65</f>
        <v/>
      </c>
      <c r="BC74" s="41">
        <f>BC57+BC58+BC59+BC60+BC61+BC62+BC63+BC64+BC65</f>
        <v/>
      </c>
      <c r="BD74" s="41">
        <f>BD57+BD58+BD59+BD60+BD61+BD62+BD63+BD64+BD65</f>
        <v/>
      </c>
      <c r="BE74" s="41">
        <f>BE57+BE58+BE59+BE60+BE61+BE62+BE63+BE64+BE65</f>
        <v/>
      </c>
      <c r="BF74" s="41">
        <f>BF57+BF58+BF59+BF60+BF61+BF62+BF63+BF64+BF65</f>
        <v/>
      </c>
      <c r="BG74" s="41">
        <f>BG57+BG58+BG59+BG60+BG61+BG62+BG63+BG64+BG65</f>
        <v/>
      </c>
      <c r="BH74" s="41">
        <f>BH57+BH58+BH59+BH60+BH61+BH62+BH63+BH64+BH65</f>
        <v/>
      </c>
      <c r="BI74" s="41">
        <f>BI57+BI58+BI59+BI60+BI61+BI62+BI63+BI64+BI65</f>
        <v/>
      </c>
      <c r="BJ74" s="41">
        <f>BJ57+BJ58+BJ59+BJ60+BJ61+BJ62+BJ63+BJ64+BJ65</f>
        <v/>
      </c>
    </row>
    <row r="75">
      <c r="A75" s="3" t="inlineStr">
        <is>
          <t>Total headcount</t>
        </is>
      </c>
      <c r="B75" s="17" t="inlineStr">
        <is>
          <t>FTE</t>
        </is>
      </c>
      <c r="C75" s="44">
        <f>C68+C69+C70+C71+C72+C73+C74</f>
        <v/>
      </c>
      <c r="D75" s="44">
        <f>D68+D69+D70+D71+D72+D73+D74</f>
        <v/>
      </c>
      <c r="E75" s="44">
        <f>E68+E69+E70+E71+E72+E73+E74</f>
        <v/>
      </c>
      <c r="F75" s="44">
        <f>F68+F69+F70+F71+F72+F73+F74</f>
        <v/>
      </c>
      <c r="G75" s="44">
        <f>G68+G69+G70+G71+G72+G73+G74</f>
        <v/>
      </c>
      <c r="H75" s="44">
        <f>H68+H69+H70+H71+H72+H73+H74</f>
        <v/>
      </c>
      <c r="I75" s="44">
        <f>I68+I69+I70+I71+I72+I73+I74</f>
        <v/>
      </c>
      <c r="J75" s="44">
        <f>J68+J69+J70+J71+J72+J73+J74</f>
        <v/>
      </c>
      <c r="K75" s="44">
        <f>K68+K69+K70+K71+K72+K73+K74</f>
        <v/>
      </c>
      <c r="L75" s="44">
        <f>L68+L69+L70+L71+L72+L73+L74</f>
        <v/>
      </c>
      <c r="M75" s="44">
        <f>M68+M69+M70+M71+M72+M73+M74</f>
        <v/>
      </c>
      <c r="N75" s="44">
        <f>N68+N69+N70+N71+N72+N73+N74</f>
        <v/>
      </c>
      <c r="O75" s="44">
        <f>O68+O69+O70+O71+O72+O73+O74</f>
        <v/>
      </c>
      <c r="P75" s="44">
        <f>P68+P69+P70+P71+P72+P73+P74</f>
        <v/>
      </c>
      <c r="Q75" s="44">
        <f>Q68+Q69+Q70+Q71+Q72+Q73+Q74</f>
        <v/>
      </c>
      <c r="R75" s="44">
        <f>R68+R69+R70+R71+R72+R73+R74</f>
        <v/>
      </c>
      <c r="S75" s="44">
        <f>S68+S69+S70+S71+S72+S73+S74</f>
        <v/>
      </c>
      <c r="T75" s="44">
        <f>T68+T69+T70+T71+T72+T73+T74</f>
        <v/>
      </c>
      <c r="U75" s="44">
        <f>U68+U69+U70+U71+U72+U73+U74</f>
        <v/>
      </c>
      <c r="V75" s="44">
        <f>V68+V69+V70+V71+V72+V73+V74</f>
        <v/>
      </c>
      <c r="W75" s="44">
        <f>W68+W69+W70+W71+W72+W73+W74</f>
        <v/>
      </c>
      <c r="X75" s="44">
        <f>X68+X69+X70+X71+X72+X73+X74</f>
        <v/>
      </c>
      <c r="Y75" s="44">
        <f>Y68+Y69+Y70+Y71+Y72+Y73+Y74</f>
        <v/>
      </c>
      <c r="Z75" s="44">
        <f>Z68+Z69+Z70+Z71+Z72+Z73+Z74</f>
        <v/>
      </c>
      <c r="AA75" s="44">
        <f>AA68+AA69+AA70+AA71+AA72+AA73+AA74</f>
        <v/>
      </c>
      <c r="AB75" s="44">
        <f>AB68+AB69+AB70+AB71+AB72+AB73+AB74</f>
        <v/>
      </c>
      <c r="AC75" s="44">
        <f>AC68+AC69+AC70+AC71+AC72+AC73+AC74</f>
        <v/>
      </c>
      <c r="AD75" s="44">
        <f>AD68+AD69+AD70+AD71+AD72+AD73+AD74</f>
        <v/>
      </c>
      <c r="AE75" s="44">
        <f>AE68+AE69+AE70+AE71+AE72+AE73+AE74</f>
        <v/>
      </c>
      <c r="AF75" s="44">
        <f>AF68+AF69+AF70+AF71+AF72+AF73+AF74</f>
        <v/>
      </c>
      <c r="AG75" s="44">
        <f>AG68+AG69+AG70+AG71+AG72+AG73+AG74</f>
        <v/>
      </c>
      <c r="AH75" s="44">
        <f>AH68+AH69+AH70+AH71+AH72+AH73+AH74</f>
        <v/>
      </c>
      <c r="AI75" s="44">
        <f>AI68+AI69+AI70+AI71+AI72+AI73+AI74</f>
        <v/>
      </c>
      <c r="AJ75" s="44">
        <f>AJ68+AJ69+AJ70+AJ71+AJ72+AJ73+AJ74</f>
        <v/>
      </c>
      <c r="AK75" s="44">
        <f>AK68+AK69+AK70+AK71+AK72+AK73+AK74</f>
        <v/>
      </c>
      <c r="AL75" s="44">
        <f>AL68+AL69+AL70+AL71+AL72+AL73+AL74</f>
        <v/>
      </c>
      <c r="AM75" s="44">
        <f>AM68+AM69+AM70+AM71+AM72+AM73+AM74</f>
        <v/>
      </c>
      <c r="AN75" s="44">
        <f>AN68+AN69+AN70+AN71+AN72+AN73+AN74</f>
        <v/>
      </c>
      <c r="AO75" s="44">
        <f>AO68+AO69+AO70+AO71+AO72+AO73+AO74</f>
        <v/>
      </c>
      <c r="AP75" s="44">
        <f>AP68+AP69+AP70+AP71+AP72+AP73+AP74</f>
        <v/>
      </c>
      <c r="AQ75" s="44">
        <f>AQ68+AQ69+AQ70+AQ71+AQ72+AQ73+AQ74</f>
        <v/>
      </c>
      <c r="AR75" s="44">
        <f>AR68+AR69+AR70+AR71+AR72+AR73+AR74</f>
        <v/>
      </c>
      <c r="AS75" s="44">
        <f>AS68+AS69+AS70+AS71+AS72+AS73+AS74</f>
        <v/>
      </c>
      <c r="AT75" s="44">
        <f>AT68+AT69+AT70+AT71+AT72+AT73+AT74</f>
        <v/>
      </c>
      <c r="AU75" s="44">
        <f>AU68+AU69+AU70+AU71+AU72+AU73+AU74</f>
        <v/>
      </c>
      <c r="AV75" s="44">
        <f>AV68+AV69+AV70+AV71+AV72+AV73+AV74</f>
        <v/>
      </c>
      <c r="AW75" s="44">
        <f>AW68+AW69+AW70+AW71+AW72+AW73+AW74</f>
        <v/>
      </c>
      <c r="AX75" s="44">
        <f>AX68+AX69+AX70+AX71+AX72+AX73+AX74</f>
        <v/>
      </c>
      <c r="AY75" s="44">
        <f>AY68+AY69+AY70+AY71+AY72+AY73+AY74</f>
        <v/>
      </c>
      <c r="AZ75" s="44">
        <f>AZ68+AZ69+AZ70+AZ71+AZ72+AZ73+AZ74</f>
        <v/>
      </c>
      <c r="BA75" s="44">
        <f>BA68+BA69+BA70+BA71+BA72+BA73+BA74</f>
        <v/>
      </c>
      <c r="BB75" s="44">
        <f>BB68+BB69+BB70+BB71+BB72+BB73+BB74</f>
        <v/>
      </c>
      <c r="BC75" s="44">
        <f>BC68+BC69+BC70+BC71+BC72+BC73+BC74</f>
        <v/>
      </c>
      <c r="BD75" s="44">
        <f>BD68+BD69+BD70+BD71+BD72+BD73+BD74</f>
        <v/>
      </c>
      <c r="BE75" s="44">
        <f>BE68+BE69+BE70+BE71+BE72+BE73+BE74</f>
        <v/>
      </c>
      <c r="BF75" s="44">
        <f>BF68+BF69+BF70+BF71+BF72+BF73+BF74</f>
        <v/>
      </c>
      <c r="BG75" s="44">
        <f>BG68+BG69+BG70+BG71+BG72+BG73+BG74</f>
        <v/>
      </c>
      <c r="BH75" s="44">
        <f>BH68+BH69+BH70+BH71+BH72+BH73+BH74</f>
        <v/>
      </c>
      <c r="BI75" s="44">
        <f>BI68+BI69+BI70+BI71+BI72+BI73+BI74</f>
        <v/>
      </c>
      <c r="BJ75" s="44">
        <f>BJ68+BJ69+BJ70+BJ71+BJ72+BJ73+BJ74</f>
        <v/>
      </c>
    </row>
    <row r="76">
      <c r="A76" s="4" t="inlineStr">
        <is>
          <t>New hires in month</t>
        </is>
      </c>
      <c r="B76" s="17" t="inlineStr">
        <is>
          <t>FTE</t>
        </is>
      </c>
      <c r="C76" s="41">
        <f>MAX(0,C75)</f>
        <v/>
      </c>
      <c r="D76" s="41">
        <f>MAX(0,D75-C75)</f>
        <v/>
      </c>
      <c r="E76" s="41">
        <f>MAX(0,E75-D75)</f>
        <v/>
      </c>
      <c r="F76" s="41">
        <f>MAX(0,F75-E75)</f>
        <v/>
      </c>
      <c r="G76" s="41">
        <f>MAX(0,G75-F75)</f>
        <v/>
      </c>
      <c r="H76" s="41">
        <f>MAX(0,H75-G75)</f>
        <v/>
      </c>
      <c r="I76" s="41">
        <f>MAX(0,I75-H75)</f>
        <v/>
      </c>
      <c r="J76" s="41">
        <f>MAX(0,J75-I75)</f>
        <v/>
      </c>
      <c r="K76" s="41">
        <f>MAX(0,K75-J75)</f>
        <v/>
      </c>
      <c r="L76" s="41">
        <f>MAX(0,L75-K75)</f>
        <v/>
      </c>
      <c r="M76" s="41">
        <f>MAX(0,M75-L75)</f>
        <v/>
      </c>
      <c r="N76" s="41">
        <f>MAX(0,N75-M75)</f>
        <v/>
      </c>
      <c r="O76" s="41">
        <f>MAX(0,O75-N75)</f>
        <v/>
      </c>
      <c r="P76" s="41">
        <f>MAX(0,P75-O75)</f>
        <v/>
      </c>
      <c r="Q76" s="41">
        <f>MAX(0,Q75-P75)</f>
        <v/>
      </c>
      <c r="R76" s="41">
        <f>MAX(0,R75-Q75)</f>
        <v/>
      </c>
      <c r="S76" s="41">
        <f>MAX(0,S75-R75)</f>
        <v/>
      </c>
      <c r="T76" s="41">
        <f>MAX(0,T75-S75)</f>
        <v/>
      </c>
      <c r="U76" s="41">
        <f>MAX(0,U75-T75)</f>
        <v/>
      </c>
      <c r="V76" s="41">
        <f>MAX(0,V75-U75)</f>
        <v/>
      </c>
      <c r="W76" s="41">
        <f>MAX(0,W75-V75)</f>
        <v/>
      </c>
      <c r="X76" s="41">
        <f>MAX(0,X75-W75)</f>
        <v/>
      </c>
      <c r="Y76" s="41">
        <f>MAX(0,Y75-X75)</f>
        <v/>
      </c>
      <c r="Z76" s="41">
        <f>MAX(0,Z75-Y75)</f>
        <v/>
      </c>
      <c r="AA76" s="41">
        <f>MAX(0,AA75-Z75)</f>
        <v/>
      </c>
      <c r="AB76" s="41">
        <f>MAX(0,AB75-AA75)</f>
        <v/>
      </c>
      <c r="AC76" s="41">
        <f>MAX(0,AC75-AB75)</f>
        <v/>
      </c>
      <c r="AD76" s="41">
        <f>MAX(0,AD75-AC75)</f>
        <v/>
      </c>
      <c r="AE76" s="41">
        <f>MAX(0,AE75-AD75)</f>
        <v/>
      </c>
      <c r="AF76" s="41">
        <f>MAX(0,AF75-AE75)</f>
        <v/>
      </c>
      <c r="AG76" s="41">
        <f>MAX(0,AG75-AF75)</f>
        <v/>
      </c>
      <c r="AH76" s="41">
        <f>MAX(0,AH75-AG75)</f>
        <v/>
      </c>
      <c r="AI76" s="41">
        <f>MAX(0,AI75-AH75)</f>
        <v/>
      </c>
      <c r="AJ76" s="41">
        <f>MAX(0,AJ75-AI75)</f>
        <v/>
      </c>
      <c r="AK76" s="41">
        <f>MAX(0,AK75-AJ75)</f>
        <v/>
      </c>
      <c r="AL76" s="41">
        <f>MAX(0,AL75-AK75)</f>
        <v/>
      </c>
      <c r="AM76" s="41">
        <f>MAX(0,AM75-AL75)</f>
        <v/>
      </c>
      <c r="AN76" s="41">
        <f>MAX(0,AN75-AM75)</f>
        <v/>
      </c>
      <c r="AO76" s="41">
        <f>MAX(0,AO75-AN75)</f>
        <v/>
      </c>
      <c r="AP76" s="41">
        <f>MAX(0,AP75-AO75)</f>
        <v/>
      </c>
      <c r="AQ76" s="41">
        <f>MAX(0,AQ75-AP75)</f>
        <v/>
      </c>
      <c r="AR76" s="41">
        <f>MAX(0,AR75-AQ75)</f>
        <v/>
      </c>
      <c r="AS76" s="41">
        <f>MAX(0,AS75-AR75)</f>
        <v/>
      </c>
      <c r="AT76" s="41">
        <f>MAX(0,AT75-AS75)</f>
        <v/>
      </c>
      <c r="AU76" s="41">
        <f>MAX(0,AU75-AT75)</f>
        <v/>
      </c>
      <c r="AV76" s="41">
        <f>MAX(0,AV75-AU75)</f>
        <v/>
      </c>
      <c r="AW76" s="41">
        <f>MAX(0,AW75-AV75)</f>
        <v/>
      </c>
      <c r="AX76" s="41">
        <f>MAX(0,AX75-AW75)</f>
        <v/>
      </c>
      <c r="AY76" s="41">
        <f>MAX(0,AY75-AX75)</f>
        <v/>
      </c>
      <c r="AZ76" s="41">
        <f>MAX(0,AZ75-AY75)</f>
        <v/>
      </c>
      <c r="BA76" s="41">
        <f>MAX(0,BA75-AZ75)</f>
        <v/>
      </c>
      <c r="BB76" s="41">
        <f>MAX(0,BB75-BA75)</f>
        <v/>
      </c>
      <c r="BC76" s="41">
        <f>MAX(0,BC75-BB75)</f>
        <v/>
      </c>
      <c r="BD76" s="41">
        <f>MAX(0,BD75-BC75)</f>
        <v/>
      </c>
      <c r="BE76" s="41">
        <f>MAX(0,BE75-BD75)</f>
        <v/>
      </c>
      <c r="BF76" s="41">
        <f>MAX(0,BF75-BE75)</f>
        <v/>
      </c>
      <c r="BG76" s="41">
        <f>MAX(0,BG75-BF75)</f>
        <v/>
      </c>
      <c r="BH76" s="41">
        <f>MAX(0,BH75-BG75)</f>
        <v/>
      </c>
      <c r="BI76" s="41">
        <f>MAX(0,BI75-BH75)</f>
        <v/>
      </c>
      <c r="BJ76" s="41">
        <f>MAX(0,BJ75-BI75)</f>
        <v/>
      </c>
    </row>
    <row r="77">
      <c r="A77" s="4" t="inlineStr">
        <is>
          <t>Partnerships managers active (SA agency programme)</t>
        </is>
      </c>
      <c r="B77" s="17" t="inlineStr">
        <is>
          <t>FTE</t>
        </is>
      </c>
      <c r="C77" s="41">
        <f>C34+C35+C36+C37+C41</f>
        <v/>
      </c>
      <c r="D77" s="41">
        <f>D34+D35+D36+D37+D41</f>
        <v/>
      </c>
      <c r="E77" s="41">
        <f>E34+E35+E36+E37+E41</f>
        <v/>
      </c>
      <c r="F77" s="41">
        <f>F34+F35+F36+F37+F41</f>
        <v/>
      </c>
      <c r="G77" s="41">
        <f>G34+G35+G36+G37+G41</f>
        <v/>
      </c>
      <c r="H77" s="41">
        <f>H34+H35+H36+H37+H41</f>
        <v/>
      </c>
      <c r="I77" s="41">
        <f>I34+I35+I36+I37+I41</f>
        <v/>
      </c>
      <c r="J77" s="41">
        <f>J34+J35+J36+J37+J41</f>
        <v/>
      </c>
      <c r="K77" s="41">
        <f>K34+K35+K36+K37+K41</f>
        <v/>
      </c>
      <c r="L77" s="41">
        <f>L34+L35+L36+L37+L41</f>
        <v/>
      </c>
      <c r="M77" s="41">
        <f>M34+M35+M36+M37+M41</f>
        <v/>
      </c>
      <c r="N77" s="41">
        <f>N34+N35+N36+N37+N41</f>
        <v/>
      </c>
      <c r="O77" s="41">
        <f>O34+O35+O36+O37+O41</f>
        <v/>
      </c>
      <c r="P77" s="41">
        <f>P34+P35+P36+P37+P41</f>
        <v/>
      </c>
      <c r="Q77" s="41">
        <f>Q34+Q35+Q36+Q37+Q41</f>
        <v/>
      </c>
      <c r="R77" s="41">
        <f>R34+R35+R36+R37+R41</f>
        <v/>
      </c>
      <c r="S77" s="41">
        <f>S34+S35+S36+S37+S41</f>
        <v/>
      </c>
      <c r="T77" s="41">
        <f>T34+T35+T36+T37+T41</f>
        <v/>
      </c>
      <c r="U77" s="41">
        <f>U34+U35+U36+U37+U41</f>
        <v/>
      </c>
      <c r="V77" s="41">
        <f>V34+V35+V36+V37+V41</f>
        <v/>
      </c>
      <c r="W77" s="41">
        <f>W34+W35+W36+W37+W41</f>
        <v/>
      </c>
      <c r="X77" s="41">
        <f>X34+X35+X36+X37+X41</f>
        <v/>
      </c>
      <c r="Y77" s="41">
        <f>Y34+Y35+Y36+Y37+Y41</f>
        <v/>
      </c>
      <c r="Z77" s="41">
        <f>Z34+Z35+Z36+Z37+Z41</f>
        <v/>
      </c>
      <c r="AA77" s="41">
        <f>AA34+AA35+AA36+AA37+AA41</f>
        <v/>
      </c>
      <c r="AB77" s="41">
        <f>AB34+AB35+AB36+AB37+AB41</f>
        <v/>
      </c>
      <c r="AC77" s="41">
        <f>AC34+AC35+AC36+AC37+AC41</f>
        <v/>
      </c>
      <c r="AD77" s="41">
        <f>AD34+AD35+AD36+AD37+AD41</f>
        <v/>
      </c>
      <c r="AE77" s="41">
        <f>AE34+AE35+AE36+AE37+AE41</f>
        <v/>
      </c>
      <c r="AF77" s="41">
        <f>AF34+AF35+AF36+AF37+AF41</f>
        <v/>
      </c>
      <c r="AG77" s="41">
        <f>AG34+AG35+AG36+AG37+AG41</f>
        <v/>
      </c>
      <c r="AH77" s="41">
        <f>AH34+AH35+AH36+AH37+AH41</f>
        <v/>
      </c>
      <c r="AI77" s="41">
        <f>AI34+AI35+AI36+AI37+AI41</f>
        <v/>
      </c>
      <c r="AJ77" s="41">
        <f>AJ34+AJ35+AJ36+AJ37+AJ41</f>
        <v/>
      </c>
      <c r="AK77" s="41">
        <f>AK34+AK35+AK36+AK37+AK41</f>
        <v/>
      </c>
      <c r="AL77" s="41">
        <f>AL34+AL35+AL36+AL37+AL41</f>
        <v/>
      </c>
      <c r="AM77" s="41">
        <f>AM34+AM35+AM36+AM37+AM41</f>
        <v/>
      </c>
      <c r="AN77" s="41">
        <f>AN34+AN35+AN36+AN37+AN41</f>
        <v/>
      </c>
      <c r="AO77" s="41">
        <f>AO34+AO35+AO36+AO37+AO41</f>
        <v/>
      </c>
      <c r="AP77" s="41">
        <f>AP34+AP35+AP36+AP37+AP41</f>
        <v/>
      </c>
      <c r="AQ77" s="41">
        <f>AQ34+AQ35+AQ36+AQ37+AQ41</f>
        <v/>
      </c>
      <c r="AR77" s="41">
        <f>AR34+AR35+AR36+AR37+AR41</f>
        <v/>
      </c>
      <c r="AS77" s="41">
        <f>AS34+AS35+AS36+AS37+AS41</f>
        <v/>
      </c>
      <c r="AT77" s="41">
        <f>AT34+AT35+AT36+AT37+AT41</f>
        <v/>
      </c>
      <c r="AU77" s="41">
        <f>AU34+AU35+AU36+AU37+AU41</f>
        <v/>
      </c>
      <c r="AV77" s="41">
        <f>AV34+AV35+AV36+AV37+AV41</f>
        <v/>
      </c>
      <c r="AW77" s="41">
        <f>AW34+AW35+AW36+AW37+AW41</f>
        <v/>
      </c>
      <c r="AX77" s="41">
        <f>AX34+AX35+AX36+AX37+AX41</f>
        <v/>
      </c>
      <c r="AY77" s="41">
        <f>AY34+AY35+AY36+AY37+AY41</f>
        <v/>
      </c>
      <c r="AZ77" s="41">
        <f>AZ34+AZ35+AZ36+AZ37+AZ41</f>
        <v/>
      </c>
      <c r="BA77" s="41">
        <f>BA34+BA35+BA36+BA37+BA41</f>
        <v/>
      </c>
      <c r="BB77" s="41">
        <f>BB34+BB35+BB36+BB37+BB41</f>
        <v/>
      </c>
      <c r="BC77" s="41">
        <f>BC34+BC35+BC36+BC37+BC41</f>
        <v/>
      </c>
      <c r="BD77" s="41">
        <f>BD34+BD35+BD36+BD37+BD41</f>
        <v/>
      </c>
      <c r="BE77" s="41">
        <f>BE34+BE35+BE36+BE37+BE41</f>
        <v/>
      </c>
      <c r="BF77" s="41">
        <f>BF34+BF35+BF36+BF37+BF41</f>
        <v/>
      </c>
      <c r="BG77" s="41">
        <f>BG34+BG35+BG36+BG37+BG41</f>
        <v/>
      </c>
      <c r="BH77" s="41">
        <f>BH34+BH35+BH36+BH37+BH41</f>
        <v/>
      </c>
      <c r="BI77" s="41">
        <f>BI34+BI35+BI36+BI37+BI41</f>
        <v/>
      </c>
      <c r="BJ77" s="41">
        <f>BJ34+BJ35+BJ36+BJ37+BJ41</f>
        <v/>
      </c>
    </row>
    <row r="78">
      <c r="A78" s="4" t="inlineStr">
        <is>
          <t>Country lead active: Nigeria</t>
        </is>
      </c>
      <c r="B78" s="17" t="inlineStr">
        <is>
          <t>FTE</t>
        </is>
      </c>
      <c r="C78" s="41">
        <f>C57</f>
        <v/>
      </c>
      <c r="D78" s="41">
        <f>D57</f>
        <v/>
      </c>
      <c r="E78" s="41">
        <f>E57</f>
        <v/>
      </c>
      <c r="F78" s="41">
        <f>F57</f>
        <v/>
      </c>
      <c r="G78" s="41">
        <f>G57</f>
        <v/>
      </c>
      <c r="H78" s="41">
        <f>H57</f>
        <v/>
      </c>
      <c r="I78" s="41">
        <f>I57</f>
        <v/>
      </c>
      <c r="J78" s="41">
        <f>J57</f>
        <v/>
      </c>
      <c r="K78" s="41">
        <f>K57</f>
        <v/>
      </c>
      <c r="L78" s="41">
        <f>L57</f>
        <v/>
      </c>
      <c r="M78" s="41">
        <f>M57</f>
        <v/>
      </c>
      <c r="N78" s="41">
        <f>N57</f>
        <v/>
      </c>
      <c r="O78" s="41">
        <f>O57</f>
        <v/>
      </c>
      <c r="P78" s="41">
        <f>P57</f>
        <v/>
      </c>
      <c r="Q78" s="41">
        <f>Q57</f>
        <v/>
      </c>
      <c r="R78" s="41">
        <f>R57</f>
        <v/>
      </c>
      <c r="S78" s="41">
        <f>S57</f>
        <v/>
      </c>
      <c r="T78" s="41">
        <f>T57</f>
        <v/>
      </c>
      <c r="U78" s="41">
        <f>U57</f>
        <v/>
      </c>
      <c r="V78" s="41">
        <f>V57</f>
        <v/>
      </c>
      <c r="W78" s="41">
        <f>W57</f>
        <v/>
      </c>
      <c r="X78" s="41">
        <f>X57</f>
        <v/>
      </c>
      <c r="Y78" s="41">
        <f>Y57</f>
        <v/>
      </c>
      <c r="Z78" s="41">
        <f>Z57</f>
        <v/>
      </c>
      <c r="AA78" s="41">
        <f>AA57</f>
        <v/>
      </c>
      <c r="AB78" s="41">
        <f>AB57</f>
        <v/>
      </c>
      <c r="AC78" s="41">
        <f>AC57</f>
        <v/>
      </c>
      <c r="AD78" s="41">
        <f>AD57</f>
        <v/>
      </c>
      <c r="AE78" s="41">
        <f>AE57</f>
        <v/>
      </c>
      <c r="AF78" s="41">
        <f>AF57</f>
        <v/>
      </c>
      <c r="AG78" s="41">
        <f>AG57</f>
        <v/>
      </c>
      <c r="AH78" s="41">
        <f>AH57</f>
        <v/>
      </c>
      <c r="AI78" s="41">
        <f>AI57</f>
        <v/>
      </c>
      <c r="AJ78" s="41">
        <f>AJ57</f>
        <v/>
      </c>
      <c r="AK78" s="41">
        <f>AK57</f>
        <v/>
      </c>
      <c r="AL78" s="41">
        <f>AL57</f>
        <v/>
      </c>
      <c r="AM78" s="41">
        <f>AM57</f>
        <v/>
      </c>
      <c r="AN78" s="41">
        <f>AN57</f>
        <v/>
      </c>
      <c r="AO78" s="41">
        <f>AO57</f>
        <v/>
      </c>
      <c r="AP78" s="41">
        <f>AP57</f>
        <v/>
      </c>
      <c r="AQ78" s="41">
        <f>AQ57</f>
        <v/>
      </c>
      <c r="AR78" s="41">
        <f>AR57</f>
        <v/>
      </c>
      <c r="AS78" s="41">
        <f>AS57</f>
        <v/>
      </c>
      <c r="AT78" s="41">
        <f>AT57</f>
        <v/>
      </c>
      <c r="AU78" s="41">
        <f>AU57</f>
        <v/>
      </c>
      <c r="AV78" s="41">
        <f>AV57</f>
        <v/>
      </c>
      <c r="AW78" s="41">
        <f>AW57</f>
        <v/>
      </c>
      <c r="AX78" s="41">
        <f>AX57</f>
        <v/>
      </c>
      <c r="AY78" s="41">
        <f>AY57</f>
        <v/>
      </c>
      <c r="AZ78" s="41">
        <f>AZ57</f>
        <v/>
      </c>
      <c r="BA78" s="41">
        <f>BA57</f>
        <v/>
      </c>
      <c r="BB78" s="41">
        <f>BB57</f>
        <v/>
      </c>
      <c r="BC78" s="41">
        <f>BC57</f>
        <v/>
      </c>
      <c r="BD78" s="41">
        <f>BD57</f>
        <v/>
      </c>
      <c r="BE78" s="41">
        <f>BE57</f>
        <v/>
      </c>
      <c r="BF78" s="41">
        <f>BF57</f>
        <v/>
      </c>
      <c r="BG78" s="41">
        <f>BG57</f>
        <v/>
      </c>
      <c r="BH78" s="41">
        <f>BH57</f>
        <v/>
      </c>
      <c r="BI78" s="41">
        <f>BI57</f>
        <v/>
      </c>
      <c r="BJ78" s="41">
        <f>BJ57</f>
        <v/>
      </c>
    </row>
    <row r="79">
      <c r="A79" s="4" t="inlineStr">
        <is>
          <t>Country lead active: Kenya</t>
        </is>
      </c>
      <c r="B79" s="17" t="inlineStr">
        <is>
          <t>FTE</t>
        </is>
      </c>
      <c r="C79" s="41">
        <f>C60</f>
        <v/>
      </c>
      <c r="D79" s="41">
        <f>D60</f>
        <v/>
      </c>
      <c r="E79" s="41">
        <f>E60</f>
        <v/>
      </c>
      <c r="F79" s="41">
        <f>F60</f>
        <v/>
      </c>
      <c r="G79" s="41">
        <f>G60</f>
        <v/>
      </c>
      <c r="H79" s="41">
        <f>H60</f>
        <v/>
      </c>
      <c r="I79" s="41">
        <f>I60</f>
        <v/>
      </c>
      <c r="J79" s="41">
        <f>J60</f>
        <v/>
      </c>
      <c r="K79" s="41">
        <f>K60</f>
        <v/>
      </c>
      <c r="L79" s="41">
        <f>L60</f>
        <v/>
      </c>
      <c r="M79" s="41">
        <f>M60</f>
        <v/>
      </c>
      <c r="N79" s="41">
        <f>N60</f>
        <v/>
      </c>
      <c r="O79" s="41">
        <f>O60</f>
        <v/>
      </c>
      <c r="P79" s="41">
        <f>P60</f>
        <v/>
      </c>
      <c r="Q79" s="41">
        <f>Q60</f>
        <v/>
      </c>
      <c r="R79" s="41">
        <f>R60</f>
        <v/>
      </c>
      <c r="S79" s="41">
        <f>S60</f>
        <v/>
      </c>
      <c r="T79" s="41">
        <f>T60</f>
        <v/>
      </c>
      <c r="U79" s="41">
        <f>U60</f>
        <v/>
      </c>
      <c r="V79" s="41">
        <f>V60</f>
        <v/>
      </c>
      <c r="W79" s="41">
        <f>W60</f>
        <v/>
      </c>
      <c r="X79" s="41">
        <f>X60</f>
        <v/>
      </c>
      <c r="Y79" s="41">
        <f>Y60</f>
        <v/>
      </c>
      <c r="Z79" s="41">
        <f>Z60</f>
        <v/>
      </c>
      <c r="AA79" s="41">
        <f>AA60</f>
        <v/>
      </c>
      <c r="AB79" s="41">
        <f>AB60</f>
        <v/>
      </c>
      <c r="AC79" s="41">
        <f>AC60</f>
        <v/>
      </c>
      <c r="AD79" s="41">
        <f>AD60</f>
        <v/>
      </c>
      <c r="AE79" s="41">
        <f>AE60</f>
        <v/>
      </c>
      <c r="AF79" s="41">
        <f>AF60</f>
        <v/>
      </c>
      <c r="AG79" s="41">
        <f>AG60</f>
        <v/>
      </c>
      <c r="AH79" s="41">
        <f>AH60</f>
        <v/>
      </c>
      <c r="AI79" s="41">
        <f>AI60</f>
        <v/>
      </c>
      <c r="AJ79" s="41">
        <f>AJ60</f>
        <v/>
      </c>
      <c r="AK79" s="41">
        <f>AK60</f>
        <v/>
      </c>
      <c r="AL79" s="41">
        <f>AL60</f>
        <v/>
      </c>
      <c r="AM79" s="41">
        <f>AM60</f>
        <v/>
      </c>
      <c r="AN79" s="41">
        <f>AN60</f>
        <v/>
      </c>
      <c r="AO79" s="41">
        <f>AO60</f>
        <v/>
      </c>
      <c r="AP79" s="41">
        <f>AP60</f>
        <v/>
      </c>
      <c r="AQ79" s="41">
        <f>AQ60</f>
        <v/>
      </c>
      <c r="AR79" s="41">
        <f>AR60</f>
        <v/>
      </c>
      <c r="AS79" s="41">
        <f>AS60</f>
        <v/>
      </c>
      <c r="AT79" s="41">
        <f>AT60</f>
        <v/>
      </c>
      <c r="AU79" s="41">
        <f>AU60</f>
        <v/>
      </c>
      <c r="AV79" s="41">
        <f>AV60</f>
        <v/>
      </c>
      <c r="AW79" s="41">
        <f>AW60</f>
        <v/>
      </c>
      <c r="AX79" s="41">
        <f>AX60</f>
        <v/>
      </c>
      <c r="AY79" s="41">
        <f>AY60</f>
        <v/>
      </c>
      <c r="AZ79" s="41">
        <f>AZ60</f>
        <v/>
      </c>
      <c r="BA79" s="41">
        <f>BA60</f>
        <v/>
      </c>
      <c r="BB79" s="41">
        <f>BB60</f>
        <v/>
      </c>
      <c r="BC79" s="41">
        <f>BC60</f>
        <v/>
      </c>
      <c r="BD79" s="41">
        <f>BD60</f>
        <v/>
      </c>
      <c r="BE79" s="41">
        <f>BE60</f>
        <v/>
      </c>
      <c r="BF79" s="41">
        <f>BF60</f>
        <v/>
      </c>
      <c r="BG79" s="41">
        <f>BG60</f>
        <v/>
      </c>
      <c r="BH79" s="41">
        <f>BH60</f>
        <v/>
      </c>
      <c r="BI79" s="41">
        <f>BI60</f>
        <v/>
      </c>
      <c r="BJ79" s="41">
        <f>BJ60</f>
        <v/>
      </c>
    </row>
    <row r="80">
      <c r="A80" s="4" t="inlineStr">
        <is>
          <t>Country lead active: Ghana</t>
        </is>
      </c>
      <c r="B80" s="17" t="inlineStr">
        <is>
          <t>FTE</t>
        </is>
      </c>
      <c r="C80" s="41">
        <f>C63</f>
        <v/>
      </c>
      <c r="D80" s="41">
        <f>D63</f>
        <v/>
      </c>
      <c r="E80" s="41">
        <f>E63</f>
        <v/>
      </c>
      <c r="F80" s="41">
        <f>F63</f>
        <v/>
      </c>
      <c r="G80" s="41">
        <f>G63</f>
        <v/>
      </c>
      <c r="H80" s="41">
        <f>H63</f>
        <v/>
      </c>
      <c r="I80" s="41">
        <f>I63</f>
        <v/>
      </c>
      <c r="J80" s="41">
        <f>J63</f>
        <v/>
      </c>
      <c r="K80" s="41">
        <f>K63</f>
        <v/>
      </c>
      <c r="L80" s="41">
        <f>L63</f>
        <v/>
      </c>
      <c r="M80" s="41">
        <f>M63</f>
        <v/>
      </c>
      <c r="N80" s="41">
        <f>N63</f>
        <v/>
      </c>
      <c r="O80" s="41">
        <f>O63</f>
        <v/>
      </c>
      <c r="P80" s="41">
        <f>P63</f>
        <v/>
      </c>
      <c r="Q80" s="41">
        <f>Q63</f>
        <v/>
      </c>
      <c r="R80" s="41">
        <f>R63</f>
        <v/>
      </c>
      <c r="S80" s="41">
        <f>S63</f>
        <v/>
      </c>
      <c r="T80" s="41">
        <f>T63</f>
        <v/>
      </c>
      <c r="U80" s="41">
        <f>U63</f>
        <v/>
      </c>
      <c r="V80" s="41">
        <f>V63</f>
        <v/>
      </c>
      <c r="W80" s="41">
        <f>W63</f>
        <v/>
      </c>
      <c r="X80" s="41">
        <f>X63</f>
        <v/>
      </c>
      <c r="Y80" s="41">
        <f>Y63</f>
        <v/>
      </c>
      <c r="Z80" s="41">
        <f>Z63</f>
        <v/>
      </c>
      <c r="AA80" s="41">
        <f>AA63</f>
        <v/>
      </c>
      <c r="AB80" s="41">
        <f>AB63</f>
        <v/>
      </c>
      <c r="AC80" s="41">
        <f>AC63</f>
        <v/>
      </c>
      <c r="AD80" s="41">
        <f>AD63</f>
        <v/>
      </c>
      <c r="AE80" s="41">
        <f>AE63</f>
        <v/>
      </c>
      <c r="AF80" s="41">
        <f>AF63</f>
        <v/>
      </c>
      <c r="AG80" s="41">
        <f>AG63</f>
        <v/>
      </c>
      <c r="AH80" s="41">
        <f>AH63</f>
        <v/>
      </c>
      <c r="AI80" s="41">
        <f>AI63</f>
        <v/>
      </c>
      <c r="AJ80" s="41">
        <f>AJ63</f>
        <v/>
      </c>
      <c r="AK80" s="41">
        <f>AK63</f>
        <v/>
      </c>
      <c r="AL80" s="41">
        <f>AL63</f>
        <v/>
      </c>
      <c r="AM80" s="41">
        <f>AM63</f>
        <v/>
      </c>
      <c r="AN80" s="41">
        <f>AN63</f>
        <v/>
      </c>
      <c r="AO80" s="41">
        <f>AO63</f>
        <v/>
      </c>
      <c r="AP80" s="41">
        <f>AP63</f>
        <v/>
      </c>
      <c r="AQ80" s="41">
        <f>AQ63</f>
        <v/>
      </c>
      <c r="AR80" s="41">
        <f>AR63</f>
        <v/>
      </c>
      <c r="AS80" s="41">
        <f>AS63</f>
        <v/>
      </c>
      <c r="AT80" s="41">
        <f>AT63</f>
        <v/>
      </c>
      <c r="AU80" s="41">
        <f>AU63</f>
        <v/>
      </c>
      <c r="AV80" s="41">
        <f>AV63</f>
        <v/>
      </c>
      <c r="AW80" s="41">
        <f>AW63</f>
        <v/>
      </c>
      <c r="AX80" s="41">
        <f>AX63</f>
        <v/>
      </c>
      <c r="AY80" s="41">
        <f>AY63</f>
        <v/>
      </c>
      <c r="AZ80" s="41">
        <f>AZ63</f>
        <v/>
      </c>
      <c r="BA80" s="41">
        <f>BA63</f>
        <v/>
      </c>
      <c r="BB80" s="41">
        <f>BB63</f>
        <v/>
      </c>
      <c r="BC80" s="41">
        <f>BC63</f>
        <v/>
      </c>
      <c r="BD80" s="41">
        <f>BD63</f>
        <v/>
      </c>
      <c r="BE80" s="41">
        <f>BE63</f>
        <v/>
      </c>
      <c r="BF80" s="41">
        <f>BF63</f>
        <v/>
      </c>
      <c r="BG80" s="41">
        <f>BG63</f>
        <v/>
      </c>
      <c r="BH80" s="41">
        <f>BH63</f>
        <v/>
      </c>
      <c r="BI80" s="41">
        <f>BI63</f>
        <v/>
      </c>
      <c r="BJ80" s="41">
        <f>BJ63</f>
        <v/>
      </c>
    </row>
    <row r="81"/>
    <row r="82">
      <c r="A82" s="19" t="inlineStr">
        <is>
          <t>Payroll cost by role (cost-to-company incl. on-costs, escalated annually)</t>
        </is>
      </c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  <c r="AA82" s="19" t="n"/>
      <c r="AB82" s="19" t="n"/>
      <c r="AC82" s="19" t="n"/>
      <c r="AD82" s="19" t="n"/>
      <c r="AE82" s="19" t="n"/>
      <c r="AF82" s="19" t="n"/>
      <c r="AG82" s="19" t="n"/>
      <c r="AH82" s="19" t="n"/>
      <c r="AI82" s="19" t="n"/>
      <c r="AJ82" s="19" t="n"/>
      <c r="AK82" s="19" t="n"/>
      <c r="AL82" s="19" t="n"/>
      <c r="AM82" s="19" t="n"/>
      <c r="AN82" s="19" t="n"/>
      <c r="AO82" s="19" t="n"/>
      <c r="AP82" s="19" t="n"/>
      <c r="AQ82" s="19" t="n"/>
      <c r="AR82" s="19" t="n"/>
      <c r="AS82" s="19" t="n"/>
      <c r="AT82" s="19" t="n"/>
      <c r="AU82" s="19" t="n"/>
      <c r="AV82" s="19" t="n"/>
      <c r="AW82" s="19" t="n"/>
      <c r="AX82" s="19" t="n"/>
      <c r="AY82" s="19" t="n"/>
      <c r="AZ82" s="19" t="n"/>
      <c r="BA82" s="19" t="n"/>
      <c r="BB82" s="19" t="n"/>
      <c r="BC82" s="19" t="n"/>
      <c r="BD82" s="19" t="n"/>
      <c r="BE82" s="19" t="n"/>
      <c r="BF82" s="19" t="n"/>
      <c r="BG82" s="19" t="n"/>
      <c r="BH82" s="19" t="n"/>
      <c r="BI82" s="19" t="n"/>
      <c r="BJ82" s="19" t="n"/>
    </row>
    <row r="83">
      <c r="A83" s="4" t="inlineStr">
        <is>
          <t>Salary escalation factor</t>
        </is>
      </c>
      <c r="B83" s="17" t="inlineStr">
        <is>
          <t>x</t>
        </is>
      </c>
      <c r="C83" s="36">
        <f>(1+Assumptions!$B$174)^(C$5-1)</f>
        <v/>
      </c>
      <c r="D83" s="36">
        <f>(1+Assumptions!$B$174)^(D$5-1)</f>
        <v/>
      </c>
      <c r="E83" s="36">
        <f>(1+Assumptions!$B$174)^(E$5-1)</f>
        <v/>
      </c>
      <c r="F83" s="36">
        <f>(1+Assumptions!$B$174)^(F$5-1)</f>
        <v/>
      </c>
      <c r="G83" s="36">
        <f>(1+Assumptions!$B$174)^(G$5-1)</f>
        <v/>
      </c>
      <c r="H83" s="36">
        <f>(1+Assumptions!$B$174)^(H$5-1)</f>
        <v/>
      </c>
      <c r="I83" s="36">
        <f>(1+Assumptions!$B$174)^(I$5-1)</f>
        <v/>
      </c>
      <c r="J83" s="36">
        <f>(1+Assumptions!$B$174)^(J$5-1)</f>
        <v/>
      </c>
      <c r="K83" s="36">
        <f>(1+Assumptions!$B$174)^(K$5-1)</f>
        <v/>
      </c>
      <c r="L83" s="36">
        <f>(1+Assumptions!$B$174)^(L$5-1)</f>
        <v/>
      </c>
      <c r="M83" s="36">
        <f>(1+Assumptions!$B$174)^(M$5-1)</f>
        <v/>
      </c>
      <c r="N83" s="36">
        <f>(1+Assumptions!$B$174)^(N$5-1)</f>
        <v/>
      </c>
      <c r="O83" s="36">
        <f>(1+Assumptions!$B$174)^(O$5-1)</f>
        <v/>
      </c>
      <c r="P83" s="36">
        <f>(1+Assumptions!$B$174)^(P$5-1)</f>
        <v/>
      </c>
      <c r="Q83" s="36">
        <f>(1+Assumptions!$B$174)^(Q$5-1)</f>
        <v/>
      </c>
      <c r="R83" s="36">
        <f>(1+Assumptions!$B$174)^(R$5-1)</f>
        <v/>
      </c>
      <c r="S83" s="36">
        <f>(1+Assumptions!$B$174)^(S$5-1)</f>
        <v/>
      </c>
      <c r="T83" s="36">
        <f>(1+Assumptions!$B$174)^(T$5-1)</f>
        <v/>
      </c>
      <c r="U83" s="36">
        <f>(1+Assumptions!$B$174)^(U$5-1)</f>
        <v/>
      </c>
      <c r="V83" s="36">
        <f>(1+Assumptions!$B$174)^(V$5-1)</f>
        <v/>
      </c>
      <c r="W83" s="36">
        <f>(1+Assumptions!$B$174)^(W$5-1)</f>
        <v/>
      </c>
      <c r="X83" s="36">
        <f>(1+Assumptions!$B$174)^(X$5-1)</f>
        <v/>
      </c>
      <c r="Y83" s="36">
        <f>(1+Assumptions!$B$174)^(Y$5-1)</f>
        <v/>
      </c>
      <c r="Z83" s="36">
        <f>(1+Assumptions!$B$174)^(Z$5-1)</f>
        <v/>
      </c>
      <c r="AA83" s="36">
        <f>(1+Assumptions!$B$174)^(AA$5-1)</f>
        <v/>
      </c>
      <c r="AB83" s="36">
        <f>(1+Assumptions!$B$174)^(AB$5-1)</f>
        <v/>
      </c>
      <c r="AC83" s="36">
        <f>(1+Assumptions!$B$174)^(AC$5-1)</f>
        <v/>
      </c>
      <c r="AD83" s="36">
        <f>(1+Assumptions!$B$174)^(AD$5-1)</f>
        <v/>
      </c>
      <c r="AE83" s="36">
        <f>(1+Assumptions!$B$174)^(AE$5-1)</f>
        <v/>
      </c>
      <c r="AF83" s="36">
        <f>(1+Assumptions!$B$174)^(AF$5-1)</f>
        <v/>
      </c>
      <c r="AG83" s="36">
        <f>(1+Assumptions!$B$174)^(AG$5-1)</f>
        <v/>
      </c>
      <c r="AH83" s="36">
        <f>(1+Assumptions!$B$174)^(AH$5-1)</f>
        <v/>
      </c>
      <c r="AI83" s="36">
        <f>(1+Assumptions!$B$174)^(AI$5-1)</f>
        <v/>
      </c>
      <c r="AJ83" s="36">
        <f>(1+Assumptions!$B$174)^(AJ$5-1)</f>
        <v/>
      </c>
      <c r="AK83" s="36">
        <f>(1+Assumptions!$B$174)^(AK$5-1)</f>
        <v/>
      </c>
      <c r="AL83" s="36">
        <f>(1+Assumptions!$B$174)^(AL$5-1)</f>
        <v/>
      </c>
      <c r="AM83" s="36">
        <f>(1+Assumptions!$B$174)^(AM$5-1)</f>
        <v/>
      </c>
      <c r="AN83" s="36">
        <f>(1+Assumptions!$B$174)^(AN$5-1)</f>
        <v/>
      </c>
      <c r="AO83" s="36">
        <f>(1+Assumptions!$B$174)^(AO$5-1)</f>
        <v/>
      </c>
      <c r="AP83" s="36">
        <f>(1+Assumptions!$B$174)^(AP$5-1)</f>
        <v/>
      </c>
      <c r="AQ83" s="36">
        <f>(1+Assumptions!$B$174)^(AQ$5-1)</f>
        <v/>
      </c>
      <c r="AR83" s="36">
        <f>(1+Assumptions!$B$174)^(AR$5-1)</f>
        <v/>
      </c>
      <c r="AS83" s="36">
        <f>(1+Assumptions!$B$174)^(AS$5-1)</f>
        <v/>
      </c>
      <c r="AT83" s="36">
        <f>(1+Assumptions!$B$174)^(AT$5-1)</f>
        <v/>
      </c>
      <c r="AU83" s="36">
        <f>(1+Assumptions!$B$174)^(AU$5-1)</f>
        <v/>
      </c>
      <c r="AV83" s="36">
        <f>(1+Assumptions!$B$174)^(AV$5-1)</f>
        <v/>
      </c>
      <c r="AW83" s="36">
        <f>(1+Assumptions!$B$174)^(AW$5-1)</f>
        <v/>
      </c>
      <c r="AX83" s="36">
        <f>(1+Assumptions!$B$174)^(AX$5-1)</f>
        <v/>
      </c>
      <c r="AY83" s="36">
        <f>(1+Assumptions!$B$174)^(AY$5-1)</f>
        <v/>
      </c>
      <c r="AZ83" s="36">
        <f>(1+Assumptions!$B$174)^(AZ$5-1)</f>
        <v/>
      </c>
      <c r="BA83" s="36">
        <f>(1+Assumptions!$B$174)^(BA$5-1)</f>
        <v/>
      </c>
      <c r="BB83" s="36">
        <f>(1+Assumptions!$B$174)^(BB$5-1)</f>
        <v/>
      </c>
      <c r="BC83" s="36">
        <f>(1+Assumptions!$B$174)^(BC$5-1)</f>
        <v/>
      </c>
      <c r="BD83" s="36">
        <f>(1+Assumptions!$B$174)^(BD$5-1)</f>
        <v/>
      </c>
      <c r="BE83" s="36">
        <f>(1+Assumptions!$B$174)^(BE$5-1)</f>
        <v/>
      </c>
      <c r="BF83" s="36">
        <f>(1+Assumptions!$B$174)^(BF$5-1)</f>
        <v/>
      </c>
      <c r="BG83" s="36">
        <f>(1+Assumptions!$B$174)^(BG$5-1)</f>
        <v/>
      </c>
      <c r="BH83" s="36">
        <f>(1+Assumptions!$B$174)^(BH$5-1)</f>
        <v/>
      </c>
      <c r="BI83" s="36">
        <f>(1+Assumptions!$B$174)^(BI$5-1)</f>
        <v/>
      </c>
      <c r="BJ83" s="36">
        <f>(1+Assumptions!$B$174)^(BJ$5-1)</f>
        <v/>
      </c>
    </row>
    <row r="84">
      <c r="A84" s="4" t="inlineStr">
        <is>
          <t>Founder &amp; CEO (reduced salary)</t>
        </is>
      </c>
      <c r="B84" s="17" t="inlineStr">
        <is>
          <t>R</t>
        </is>
      </c>
      <c r="C84" s="8">
        <f>C8*Assumptions!$B$206*C83*(1+Assumptions!$B$175)</f>
        <v/>
      </c>
      <c r="D84" s="8">
        <f>D8*Assumptions!$B$206*D83*(1+Assumptions!$B$175)</f>
        <v/>
      </c>
      <c r="E84" s="8">
        <f>E8*Assumptions!$B$206*E83*(1+Assumptions!$B$175)</f>
        <v/>
      </c>
      <c r="F84" s="8">
        <f>F8*Assumptions!$B$206*F83*(1+Assumptions!$B$175)</f>
        <v/>
      </c>
      <c r="G84" s="8">
        <f>G8*Assumptions!$B$206*G83*(1+Assumptions!$B$175)</f>
        <v/>
      </c>
      <c r="H84" s="8">
        <f>H8*Assumptions!$B$206*H83*(1+Assumptions!$B$175)</f>
        <v/>
      </c>
      <c r="I84" s="8">
        <f>I8*Assumptions!$B$206*I83*(1+Assumptions!$B$175)</f>
        <v/>
      </c>
      <c r="J84" s="8">
        <f>J8*Assumptions!$B$206*J83*(1+Assumptions!$B$175)</f>
        <v/>
      </c>
      <c r="K84" s="8">
        <f>K8*Assumptions!$B$206*K83*(1+Assumptions!$B$175)</f>
        <v/>
      </c>
      <c r="L84" s="8">
        <f>L8*Assumptions!$B$206*L83*(1+Assumptions!$B$175)</f>
        <v/>
      </c>
      <c r="M84" s="8">
        <f>M8*Assumptions!$B$206*M83*(1+Assumptions!$B$175)</f>
        <v/>
      </c>
      <c r="N84" s="8">
        <f>N8*Assumptions!$B$206*N83*(1+Assumptions!$B$175)</f>
        <v/>
      </c>
      <c r="O84" s="8">
        <f>O8*Assumptions!$B$206*O83*(1+Assumptions!$B$175)</f>
        <v/>
      </c>
      <c r="P84" s="8">
        <f>P8*Assumptions!$B$206*P83*(1+Assumptions!$B$175)</f>
        <v/>
      </c>
      <c r="Q84" s="8">
        <f>Q8*Assumptions!$B$206*Q83*(1+Assumptions!$B$175)</f>
        <v/>
      </c>
      <c r="R84" s="8">
        <f>R8*Assumptions!$B$206*R83*(1+Assumptions!$B$175)</f>
        <v/>
      </c>
      <c r="S84" s="8">
        <f>S8*Assumptions!$B$206*S83*(1+Assumptions!$B$175)</f>
        <v/>
      </c>
      <c r="T84" s="8">
        <f>T8*Assumptions!$B$206*T83*(1+Assumptions!$B$175)</f>
        <v/>
      </c>
      <c r="U84" s="8">
        <f>U8*Assumptions!$B$206*U83*(1+Assumptions!$B$175)</f>
        <v/>
      </c>
      <c r="V84" s="8">
        <f>V8*Assumptions!$B$206*V83*(1+Assumptions!$B$175)</f>
        <v/>
      </c>
      <c r="W84" s="8">
        <f>W8*Assumptions!$B$206*W83*(1+Assumptions!$B$175)</f>
        <v/>
      </c>
      <c r="X84" s="8">
        <f>X8*Assumptions!$B$206*X83*(1+Assumptions!$B$175)</f>
        <v/>
      </c>
      <c r="Y84" s="8">
        <f>Y8*Assumptions!$B$206*Y83*(1+Assumptions!$B$175)</f>
        <v/>
      </c>
      <c r="Z84" s="8">
        <f>Z8*Assumptions!$B$206*Z83*(1+Assumptions!$B$175)</f>
        <v/>
      </c>
      <c r="AA84" s="8">
        <f>AA8*Assumptions!$B$206*AA83*(1+Assumptions!$B$175)</f>
        <v/>
      </c>
      <c r="AB84" s="8">
        <f>AB8*Assumptions!$B$206*AB83*(1+Assumptions!$B$175)</f>
        <v/>
      </c>
      <c r="AC84" s="8">
        <f>AC8*Assumptions!$B$206*AC83*(1+Assumptions!$B$175)</f>
        <v/>
      </c>
      <c r="AD84" s="8">
        <f>AD8*Assumptions!$B$206*AD83*(1+Assumptions!$B$175)</f>
        <v/>
      </c>
      <c r="AE84" s="8">
        <f>AE8*Assumptions!$B$206*AE83*(1+Assumptions!$B$175)</f>
        <v/>
      </c>
      <c r="AF84" s="8">
        <f>AF8*Assumptions!$B$206*AF83*(1+Assumptions!$B$175)</f>
        <v/>
      </c>
      <c r="AG84" s="8">
        <f>AG8*Assumptions!$B$206*AG83*(1+Assumptions!$B$175)</f>
        <v/>
      </c>
      <c r="AH84" s="8">
        <f>AH8*Assumptions!$B$206*AH83*(1+Assumptions!$B$175)</f>
        <v/>
      </c>
      <c r="AI84" s="8">
        <f>AI8*Assumptions!$B$206*AI83*(1+Assumptions!$B$175)</f>
        <v/>
      </c>
      <c r="AJ84" s="8">
        <f>AJ8*Assumptions!$B$206*AJ83*(1+Assumptions!$B$175)</f>
        <v/>
      </c>
      <c r="AK84" s="8">
        <f>AK8*Assumptions!$B$206*AK83*(1+Assumptions!$B$175)</f>
        <v/>
      </c>
      <c r="AL84" s="8">
        <f>AL8*Assumptions!$B$206*AL83*(1+Assumptions!$B$175)</f>
        <v/>
      </c>
      <c r="AM84" s="8">
        <f>AM8*Assumptions!$B$206*AM83*(1+Assumptions!$B$175)</f>
        <v/>
      </c>
      <c r="AN84" s="8">
        <f>AN8*Assumptions!$B$206*AN83*(1+Assumptions!$B$175)</f>
        <v/>
      </c>
      <c r="AO84" s="8">
        <f>AO8*Assumptions!$B$206*AO83*(1+Assumptions!$B$175)</f>
        <v/>
      </c>
      <c r="AP84" s="8">
        <f>AP8*Assumptions!$B$206*AP83*(1+Assumptions!$B$175)</f>
        <v/>
      </c>
      <c r="AQ84" s="8">
        <f>AQ8*Assumptions!$B$206*AQ83*(1+Assumptions!$B$175)</f>
        <v/>
      </c>
      <c r="AR84" s="8">
        <f>AR8*Assumptions!$B$206*AR83*(1+Assumptions!$B$175)</f>
        <v/>
      </c>
      <c r="AS84" s="8">
        <f>AS8*Assumptions!$B$206*AS83*(1+Assumptions!$B$175)</f>
        <v/>
      </c>
      <c r="AT84" s="8">
        <f>AT8*Assumptions!$B$206*AT83*(1+Assumptions!$B$175)</f>
        <v/>
      </c>
      <c r="AU84" s="8">
        <f>AU8*Assumptions!$B$206*AU83*(1+Assumptions!$B$175)</f>
        <v/>
      </c>
      <c r="AV84" s="8">
        <f>AV8*Assumptions!$B$206*AV83*(1+Assumptions!$B$175)</f>
        <v/>
      </c>
      <c r="AW84" s="8">
        <f>AW8*Assumptions!$B$206*AW83*(1+Assumptions!$B$175)</f>
        <v/>
      </c>
      <c r="AX84" s="8">
        <f>AX8*Assumptions!$B$206*AX83*(1+Assumptions!$B$175)</f>
        <v/>
      </c>
      <c r="AY84" s="8">
        <f>AY8*Assumptions!$B$206*AY83*(1+Assumptions!$B$175)</f>
        <v/>
      </c>
      <c r="AZ84" s="8">
        <f>AZ8*Assumptions!$B$206*AZ83*(1+Assumptions!$B$175)</f>
        <v/>
      </c>
      <c r="BA84" s="8">
        <f>BA8*Assumptions!$B$206*BA83*(1+Assumptions!$B$175)</f>
        <v/>
      </c>
      <c r="BB84" s="8">
        <f>BB8*Assumptions!$B$206*BB83*(1+Assumptions!$B$175)</f>
        <v/>
      </c>
      <c r="BC84" s="8">
        <f>BC8*Assumptions!$B$206*BC83*(1+Assumptions!$B$175)</f>
        <v/>
      </c>
      <c r="BD84" s="8">
        <f>BD8*Assumptions!$B$206*BD83*(1+Assumptions!$B$175)</f>
        <v/>
      </c>
      <c r="BE84" s="8">
        <f>BE8*Assumptions!$B$206*BE83*(1+Assumptions!$B$175)</f>
        <v/>
      </c>
      <c r="BF84" s="8">
        <f>BF8*Assumptions!$B$206*BF83*(1+Assumptions!$B$175)</f>
        <v/>
      </c>
      <c r="BG84" s="8">
        <f>BG8*Assumptions!$B$206*BG83*(1+Assumptions!$B$175)</f>
        <v/>
      </c>
      <c r="BH84" s="8">
        <f>BH8*Assumptions!$B$206*BH83*(1+Assumptions!$B$175)</f>
        <v/>
      </c>
      <c r="BI84" s="8">
        <f>BI8*Assumptions!$B$206*BI83*(1+Assumptions!$B$175)</f>
        <v/>
      </c>
      <c r="BJ84" s="8">
        <f>BJ8*Assumptions!$B$206*BJ83*(1+Assumptions!$B$175)</f>
        <v/>
      </c>
    </row>
    <row r="85">
      <c r="A85" s="4" t="inlineStr">
        <is>
          <t>CTO / founding engineer (reduced salary)</t>
        </is>
      </c>
      <c r="B85" s="17" t="inlineStr">
        <is>
          <t>R</t>
        </is>
      </c>
      <c r="C85" s="8">
        <f>C9*Assumptions!$B$207*C83*(1+Assumptions!$B$175)</f>
        <v/>
      </c>
      <c r="D85" s="8">
        <f>D9*Assumptions!$B$207*D83*(1+Assumptions!$B$175)</f>
        <v/>
      </c>
      <c r="E85" s="8">
        <f>E9*Assumptions!$B$207*E83*(1+Assumptions!$B$175)</f>
        <v/>
      </c>
      <c r="F85" s="8">
        <f>F9*Assumptions!$B$207*F83*(1+Assumptions!$B$175)</f>
        <v/>
      </c>
      <c r="G85" s="8">
        <f>G9*Assumptions!$B$207*G83*(1+Assumptions!$B$175)</f>
        <v/>
      </c>
      <c r="H85" s="8">
        <f>H9*Assumptions!$B$207*H83*(1+Assumptions!$B$175)</f>
        <v/>
      </c>
      <c r="I85" s="8">
        <f>I9*Assumptions!$B$207*I83*(1+Assumptions!$B$175)</f>
        <v/>
      </c>
      <c r="J85" s="8">
        <f>J9*Assumptions!$B$207*J83*(1+Assumptions!$B$175)</f>
        <v/>
      </c>
      <c r="K85" s="8">
        <f>K9*Assumptions!$B$207*K83*(1+Assumptions!$B$175)</f>
        <v/>
      </c>
      <c r="L85" s="8">
        <f>L9*Assumptions!$B$207*L83*(1+Assumptions!$B$175)</f>
        <v/>
      </c>
      <c r="M85" s="8">
        <f>M9*Assumptions!$B$207*M83*(1+Assumptions!$B$175)</f>
        <v/>
      </c>
      <c r="N85" s="8">
        <f>N9*Assumptions!$B$207*N83*(1+Assumptions!$B$175)</f>
        <v/>
      </c>
      <c r="O85" s="8">
        <f>O9*Assumptions!$B$207*O83*(1+Assumptions!$B$175)</f>
        <v/>
      </c>
      <c r="P85" s="8">
        <f>P9*Assumptions!$B$207*P83*(1+Assumptions!$B$175)</f>
        <v/>
      </c>
      <c r="Q85" s="8">
        <f>Q9*Assumptions!$B$207*Q83*(1+Assumptions!$B$175)</f>
        <v/>
      </c>
      <c r="R85" s="8">
        <f>R9*Assumptions!$B$207*R83*(1+Assumptions!$B$175)</f>
        <v/>
      </c>
      <c r="S85" s="8">
        <f>S9*Assumptions!$B$207*S83*(1+Assumptions!$B$175)</f>
        <v/>
      </c>
      <c r="T85" s="8">
        <f>T9*Assumptions!$B$207*T83*(1+Assumptions!$B$175)</f>
        <v/>
      </c>
      <c r="U85" s="8">
        <f>U9*Assumptions!$B$207*U83*(1+Assumptions!$B$175)</f>
        <v/>
      </c>
      <c r="V85" s="8">
        <f>V9*Assumptions!$B$207*V83*(1+Assumptions!$B$175)</f>
        <v/>
      </c>
      <c r="W85" s="8">
        <f>W9*Assumptions!$B$207*W83*(1+Assumptions!$B$175)</f>
        <v/>
      </c>
      <c r="X85" s="8">
        <f>X9*Assumptions!$B$207*X83*(1+Assumptions!$B$175)</f>
        <v/>
      </c>
      <c r="Y85" s="8">
        <f>Y9*Assumptions!$B$207*Y83*(1+Assumptions!$B$175)</f>
        <v/>
      </c>
      <c r="Z85" s="8">
        <f>Z9*Assumptions!$B$207*Z83*(1+Assumptions!$B$175)</f>
        <v/>
      </c>
      <c r="AA85" s="8">
        <f>AA9*Assumptions!$B$207*AA83*(1+Assumptions!$B$175)</f>
        <v/>
      </c>
      <c r="AB85" s="8">
        <f>AB9*Assumptions!$B$207*AB83*(1+Assumptions!$B$175)</f>
        <v/>
      </c>
      <c r="AC85" s="8">
        <f>AC9*Assumptions!$B$207*AC83*(1+Assumptions!$B$175)</f>
        <v/>
      </c>
      <c r="AD85" s="8">
        <f>AD9*Assumptions!$B$207*AD83*(1+Assumptions!$B$175)</f>
        <v/>
      </c>
      <c r="AE85" s="8">
        <f>AE9*Assumptions!$B$207*AE83*(1+Assumptions!$B$175)</f>
        <v/>
      </c>
      <c r="AF85" s="8">
        <f>AF9*Assumptions!$B$207*AF83*(1+Assumptions!$B$175)</f>
        <v/>
      </c>
      <c r="AG85" s="8">
        <f>AG9*Assumptions!$B$207*AG83*(1+Assumptions!$B$175)</f>
        <v/>
      </c>
      <c r="AH85" s="8">
        <f>AH9*Assumptions!$B$207*AH83*(1+Assumptions!$B$175)</f>
        <v/>
      </c>
      <c r="AI85" s="8">
        <f>AI9*Assumptions!$B$207*AI83*(1+Assumptions!$B$175)</f>
        <v/>
      </c>
      <c r="AJ85" s="8">
        <f>AJ9*Assumptions!$B$207*AJ83*(1+Assumptions!$B$175)</f>
        <v/>
      </c>
      <c r="AK85" s="8">
        <f>AK9*Assumptions!$B$207*AK83*(1+Assumptions!$B$175)</f>
        <v/>
      </c>
      <c r="AL85" s="8">
        <f>AL9*Assumptions!$B$207*AL83*(1+Assumptions!$B$175)</f>
        <v/>
      </c>
      <c r="AM85" s="8">
        <f>AM9*Assumptions!$B$207*AM83*(1+Assumptions!$B$175)</f>
        <v/>
      </c>
      <c r="AN85" s="8">
        <f>AN9*Assumptions!$B$207*AN83*(1+Assumptions!$B$175)</f>
        <v/>
      </c>
      <c r="AO85" s="8">
        <f>AO9*Assumptions!$B$207*AO83*(1+Assumptions!$B$175)</f>
        <v/>
      </c>
      <c r="AP85" s="8">
        <f>AP9*Assumptions!$B$207*AP83*(1+Assumptions!$B$175)</f>
        <v/>
      </c>
      <c r="AQ85" s="8">
        <f>AQ9*Assumptions!$B$207*AQ83*(1+Assumptions!$B$175)</f>
        <v/>
      </c>
      <c r="AR85" s="8">
        <f>AR9*Assumptions!$B$207*AR83*(1+Assumptions!$B$175)</f>
        <v/>
      </c>
      <c r="AS85" s="8">
        <f>AS9*Assumptions!$B$207*AS83*(1+Assumptions!$B$175)</f>
        <v/>
      </c>
      <c r="AT85" s="8">
        <f>AT9*Assumptions!$B$207*AT83*(1+Assumptions!$B$175)</f>
        <v/>
      </c>
      <c r="AU85" s="8">
        <f>AU9*Assumptions!$B$207*AU83*(1+Assumptions!$B$175)</f>
        <v/>
      </c>
      <c r="AV85" s="8">
        <f>AV9*Assumptions!$B$207*AV83*(1+Assumptions!$B$175)</f>
        <v/>
      </c>
      <c r="AW85" s="8">
        <f>AW9*Assumptions!$B$207*AW83*(1+Assumptions!$B$175)</f>
        <v/>
      </c>
      <c r="AX85" s="8">
        <f>AX9*Assumptions!$B$207*AX83*(1+Assumptions!$B$175)</f>
        <v/>
      </c>
      <c r="AY85" s="8">
        <f>AY9*Assumptions!$B$207*AY83*(1+Assumptions!$B$175)</f>
        <v/>
      </c>
      <c r="AZ85" s="8">
        <f>AZ9*Assumptions!$B$207*AZ83*(1+Assumptions!$B$175)</f>
        <v/>
      </c>
      <c r="BA85" s="8">
        <f>BA9*Assumptions!$B$207*BA83*(1+Assumptions!$B$175)</f>
        <v/>
      </c>
      <c r="BB85" s="8">
        <f>BB9*Assumptions!$B$207*BB83*(1+Assumptions!$B$175)</f>
        <v/>
      </c>
      <c r="BC85" s="8">
        <f>BC9*Assumptions!$B$207*BC83*(1+Assumptions!$B$175)</f>
        <v/>
      </c>
      <c r="BD85" s="8">
        <f>BD9*Assumptions!$B$207*BD83*(1+Assumptions!$B$175)</f>
        <v/>
      </c>
      <c r="BE85" s="8">
        <f>BE9*Assumptions!$B$207*BE83*(1+Assumptions!$B$175)</f>
        <v/>
      </c>
      <c r="BF85" s="8">
        <f>BF9*Assumptions!$B$207*BF83*(1+Assumptions!$B$175)</f>
        <v/>
      </c>
      <c r="BG85" s="8">
        <f>BG9*Assumptions!$B$207*BG83*(1+Assumptions!$B$175)</f>
        <v/>
      </c>
      <c r="BH85" s="8">
        <f>BH9*Assumptions!$B$207*BH83*(1+Assumptions!$B$175)</f>
        <v/>
      </c>
      <c r="BI85" s="8">
        <f>BI9*Assumptions!$B$207*BI83*(1+Assumptions!$B$175)</f>
        <v/>
      </c>
      <c r="BJ85" s="8">
        <f>BJ9*Assumptions!$B$207*BJ83*(1+Assumptions!$B$175)</f>
        <v/>
      </c>
    </row>
    <row r="86">
      <c r="A86" s="4" t="inlineStr">
        <is>
          <t>Senior full-stack engineers</t>
        </is>
      </c>
      <c r="B86" s="17" t="inlineStr">
        <is>
          <t>R</t>
        </is>
      </c>
      <c r="C86" s="8">
        <f>C10*Assumptions!$B$208*C83*(1+Assumptions!$B$175)</f>
        <v/>
      </c>
      <c r="D86" s="8">
        <f>D10*Assumptions!$B$208*D83*(1+Assumptions!$B$175)</f>
        <v/>
      </c>
      <c r="E86" s="8">
        <f>E10*Assumptions!$B$208*E83*(1+Assumptions!$B$175)</f>
        <v/>
      </c>
      <c r="F86" s="8">
        <f>F10*Assumptions!$B$208*F83*(1+Assumptions!$B$175)</f>
        <v/>
      </c>
      <c r="G86" s="8">
        <f>G10*Assumptions!$B$208*G83*(1+Assumptions!$B$175)</f>
        <v/>
      </c>
      <c r="H86" s="8">
        <f>H10*Assumptions!$B$208*H83*(1+Assumptions!$B$175)</f>
        <v/>
      </c>
      <c r="I86" s="8">
        <f>I10*Assumptions!$B$208*I83*(1+Assumptions!$B$175)</f>
        <v/>
      </c>
      <c r="J86" s="8">
        <f>J10*Assumptions!$B$208*J83*(1+Assumptions!$B$175)</f>
        <v/>
      </c>
      <c r="K86" s="8">
        <f>K10*Assumptions!$B$208*K83*(1+Assumptions!$B$175)</f>
        <v/>
      </c>
      <c r="L86" s="8">
        <f>L10*Assumptions!$B$208*L83*(1+Assumptions!$B$175)</f>
        <v/>
      </c>
      <c r="M86" s="8">
        <f>M10*Assumptions!$B$208*M83*(1+Assumptions!$B$175)</f>
        <v/>
      </c>
      <c r="N86" s="8">
        <f>N10*Assumptions!$B$208*N83*(1+Assumptions!$B$175)</f>
        <v/>
      </c>
      <c r="O86" s="8">
        <f>O10*Assumptions!$B$208*O83*(1+Assumptions!$B$175)</f>
        <v/>
      </c>
      <c r="P86" s="8">
        <f>P10*Assumptions!$B$208*P83*(1+Assumptions!$B$175)</f>
        <v/>
      </c>
      <c r="Q86" s="8">
        <f>Q10*Assumptions!$B$208*Q83*(1+Assumptions!$B$175)</f>
        <v/>
      </c>
      <c r="R86" s="8">
        <f>R10*Assumptions!$B$208*R83*(1+Assumptions!$B$175)</f>
        <v/>
      </c>
      <c r="S86" s="8">
        <f>S10*Assumptions!$B$208*S83*(1+Assumptions!$B$175)</f>
        <v/>
      </c>
      <c r="T86" s="8">
        <f>T10*Assumptions!$B$208*T83*(1+Assumptions!$B$175)</f>
        <v/>
      </c>
      <c r="U86" s="8">
        <f>U10*Assumptions!$B$208*U83*(1+Assumptions!$B$175)</f>
        <v/>
      </c>
      <c r="V86" s="8">
        <f>V10*Assumptions!$B$208*V83*(1+Assumptions!$B$175)</f>
        <v/>
      </c>
      <c r="W86" s="8">
        <f>W10*Assumptions!$B$208*W83*(1+Assumptions!$B$175)</f>
        <v/>
      </c>
      <c r="X86" s="8">
        <f>X10*Assumptions!$B$208*X83*(1+Assumptions!$B$175)</f>
        <v/>
      </c>
      <c r="Y86" s="8">
        <f>Y10*Assumptions!$B$208*Y83*(1+Assumptions!$B$175)</f>
        <v/>
      </c>
      <c r="Z86" s="8">
        <f>Z10*Assumptions!$B$208*Z83*(1+Assumptions!$B$175)</f>
        <v/>
      </c>
      <c r="AA86" s="8">
        <f>AA10*Assumptions!$B$208*AA83*(1+Assumptions!$B$175)</f>
        <v/>
      </c>
      <c r="AB86" s="8">
        <f>AB10*Assumptions!$B$208*AB83*(1+Assumptions!$B$175)</f>
        <v/>
      </c>
      <c r="AC86" s="8">
        <f>AC10*Assumptions!$B$208*AC83*(1+Assumptions!$B$175)</f>
        <v/>
      </c>
      <c r="AD86" s="8">
        <f>AD10*Assumptions!$B$208*AD83*(1+Assumptions!$B$175)</f>
        <v/>
      </c>
      <c r="AE86" s="8">
        <f>AE10*Assumptions!$B$208*AE83*(1+Assumptions!$B$175)</f>
        <v/>
      </c>
      <c r="AF86" s="8">
        <f>AF10*Assumptions!$B$208*AF83*(1+Assumptions!$B$175)</f>
        <v/>
      </c>
      <c r="AG86" s="8">
        <f>AG10*Assumptions!$B$208*AG83*(1+Assumptions!$B$175)</f>
        <v/>
      </c>
      <c r="AH86" s="8">
        <f>AH10*Assumptions!$B$208*AH83*(1+Assumptions!$B$175)</f>
        <v/>
      </c>
      <c r="AI86" s="8">
        <f>AI10*Assumptions!$B$208*AI83*(1+Assumptions!$B$175)</f>
        <v/>
      </c>
      <c r="AJ86" s="8">
        <f>AJ10*Assumptions!$B$208*AJ83*(1+Assumptions!$B$175)</f>
        <v/>
      </c>
      <c r="AK86" s="8">
        <f>AK10*Assumptions!$B$208*AK83*(1+Assumptions!$B$175)</f>
        <v/>
      </c>
      <c r="AL86" s="8">
        <f>AL10*Assumptions!$B$208*AL83*(1+Assumptions!$B$175)</f>
        <v/>
      </c>
      <c r="AM86" s="8">
        <f>AM10*Assumptions!$B$208*AM83*(1+Assumptions!$B$175)</f>
        <v/>
      </c>
      <c r="AN86" s="8">
        <f>AN10*Assumptions!$B$208*AN83*(1+Assumptions!$B$175)</f>
        <v/>
      </c>
      <c r="AO86" s="8">
        <f>AO10*Assumptions!$B$208*AO83*(1+Assumptions!$B$175)</f>
        <v/>
      </c>
      <c r="AP86" s="8">
        <f>AP10*Assumptions!$B$208*AP83*(1+Assumptions!$B$175)</f>
        <v/>
      </c>
      <c r="AQ86" s="8">
        <f>AQ10*Assumptions!$B$208*AQ83*(1+Assumptions!$B$175)</f>
        <v/>
      </c>
      <c r="AR86" s="8">
        <f>AR10*Assumptions!$B$208*AR83*(1+Assumptions!$B$175)</f>
        <v/>
      </c>
      <c r="AS86" s="8">
        <f>AS10*Assumptions!$B$208*AS83*(1+Assumptions!$B$175)</f>
        <v/>
      </c>
      <c r="AT86" s="8">
        <f>AT10*Assumptions!$B$208*AT83*(1+Assumptions!$B$175)</f>
        <v/>
      </c>
      <c r="AU86" s="8">
        <f>AU10*Assumptions!$B$208*AU83*(1+Assumptions!$B$175)</f>
        <v/>
      </c>
      <c r="AV86" s="8">
        <f>AV10*Assumptions!$B$208*AV83*(1+Assumptions!$B$175)</f>
        <v/>
      </c>
      <c r="AW86" s="8">
        <f>AW10*Assumptions!$B$208*AW83*(1+Assumptions!$B$175)</f>
        <v/>
      </c>
      <c r="AX86" s="8">
        <f>AX10*Assumptions!$B$208*AX83*(1+Assumptions!$B$175)</f>
        <v/>
      </c>
      <c r="AY86" s="8">
        <f>AY10*Assumptions!$B$208*AY83*(1+Assumptions!$B$175)</f>
        <v/>
      </c>
      <c r="AZ86" s="8">
        <f>AZ10*Assumptions!$B$208*AZ83*(1+Assumptions!$B$175)</f>
        <v/>
      </c>
      <c r="BA86" s="8">
        <f>BA10*Assumptions!$B$208*BA83*(1+Assumptions!$B$175)</f>
        <v/>
      </c>
      <c r="BB86" s="8">
        <f>BB10*Assumptions!$B$208*BB83*(1+Assumptions!$B$175)</f>
        <v/>
      </c>
      <c r="BC86" s="8">
        <f>BC10*Assumptions!$B$208*BC83*(1+Assumptions!$B$175)</f>
        <v/>
      </c>
      <c r="BD86" s="8">
        <f>BD10*Assumptions!$B$208*BD83*(1+Assumptions!$B$175)</f>
        <v/>
      </c>
      <c r="BE86" s="8">
        <f>BE10*Assumptions!$B$208*BE83*(1+Assumptions!$B$175)</f>
        <v/>
      </c>
      <c r="BF86" s="8">
        <f>BF10*Assumptions!$B$208*BF83*(1+Assumptions!$B$175)</f>
        <v/>
      </c>
      <c r="BG86" s="8">
        <f>BG10*Assumptions!$B$208*BG83*(1+Assumptions!$B$175)</f>
        <v/>
      </c>
      <c r="BH86" s="8">
        <f>BH10*Assumptions!$B$208*BH83*(1+Assumptions!$B$175)</f>
        <v/>
      </c>
      <c r="BI86" s="8">
        <f>BI10*Assumptions!$B$208*BI83*(1+Assumptions!$B$175)</f>
        <v/>
      </c>
      <c r="BJ86" s="8">
        <f>BJ10*Assumptions!$B$208*BJ83*(1+Assumptions!$B$175)</f>
        <v/>
      </c>
    </row>
    <row r="87">
      <c r="A87" s="4" t="inlineStr">
        <is>
          <t>AI / ML engineer</t>
        </is>
      </c>
      <c r="B87" s="17" t="inlineStr">
        <is>
          <t>R</t>
        </is>
      </c>
      <c r="C87" s="8">
        <f>C11*Assumptions!$B$209*C83*(1+Assumptions!$B$175)</f>
        <v/>
      </c>
      <c r="D87" s="8">
        <f>D11*Assumptions!$B$209*D83*(1+Assumptions!$B$175)</f>
        <v/>
      </c>
      <c r="E87" s="8">
        <f>E11*Assumptions!$B$209*E83*(1+Assumptions!$B$175)</f>
        <v/>
      </c>
      <c r="F87" s="8">
        <f>F11*Assumptions!$B$209*F83*(1+Assumptions!$B$175)</f>
        <v/>
      </c>
      <c r="G87" s="8">
        <f>G11*Assumptions!$B$209*G83*(1+Assumptions!$B$175)</f>
        <v/>
      </c>
      <c r="H87" s="8">
        <f>H11*Assumptions!$B$209*H83*(1+Assumptions!$B$175)</f>
        <v/>
      </c>
      <c r="I87" s="8">
        <f>I11*Assumptions!$B$209*I83*(1+Assumptions!$B$175)</f>
        <v/>
      </c>
      <c r="J87" s="8">
        <f>J11*Assumptions!$B$209*J83*(1+Assumptions!$B$175)</f>
        <v/>
      </c>
      <c r="K87" s="8">
        <f>K11*Assumptions!$B$209*K83*(1+Assumptions!$B$175)</f>
        <v/>
      </c>
      <c r="L87" s="8">
        <f>L11*Assumptions!$B$209*L83*(1+Assumptions!$B$175)</f>
        <v/>
      </c>
      <c r="M87" s="8">
        <f>M11*Assumptions!$B$209*M83*(1+Assumptions!$B$175)</f>
        <v/>
      </c>
      <c r="N87" s="8">
        <f>N11*Assumptions!$B$209*N83*(1+Assumptions!$B$175)</f>
        <v/>
      </c>
      <c r="O87" s="8">
        <f>O11*Assumptions!$B$209*O83*(1+Assumptions!$B$175)</f>
        <v/>
      </c>
      <c r="P87" s="8">
        <f>P11*Assumptions!$B$209*P83*(1+Assumptions!$B$175)</f>
        <v/>
      </c>
      <c r="Q87" s="8">
        <f>Q11*Assumptions!$B$209*Q83*(1+Assumptions!$B$175)</f>
        <v/>
      </c>
      <c r="R87" s="8">
        <f>R11*Assumptions!$B$209*R83*(1+Assumptions!$B$175)</f>
        <v/>
      </c>
      <c r="S87" s="8">
        <f>S11*Assumptions!$B$209*S83*(1+Assumptions!$B$175)</f>
        <v/>
      </c>
      <c r="T87" s="8">
        <f>T11*Assumptions!$B$209*T83*(1+Assumptions!$B$175)</f>
        <v/>
      </c>
      <c r="U87" s="8">
        <f>U11*Assumptions!$B$209*U83*(1+Assumptions!$B$175)</f>
        <v/>
      </c>
      <c r="V87" s="8">
        <f>V11*Assumptions!$B$209*V83*(1+Assumptions!$B$175)</f>
        <v/>
      </c>
      <c r="W87" s="8">
        <f>W11*Assumptions!$B$209*W83*(1+Assumptions!$B$175)</f>
        <v/>
      </c>
      <c r="X87" s="8">
        <f>X11*Assumptions!$B$209*X83*(1+Assumptions!$B$175)</f>
        <v/>
      </c>
      <c r="Y87" s="8">
        <f>Y11*Assumptions!$B$209*Y83*(1+Assumptions!$B$175)</f>
        <v/>
      </c>
      <c r="Z87" s="8">
        <f>Z11*Assumptions!$B$209*Z83*(1+Assumptions!$B$175)</f>
        <v/>
      </c>
      <c r="AA87" s="8">
        <f>AA11*Assumptions!$B$209*AA83*(1+Assumptions!$B$175)</f>
        <v/>
      </c>
      <c r="AB87" s="8">
        <f>AB11*Assumptions!$B$209*AB83*(1+Assumptions!$B$175)</f>
        <v/>
      </c>
      <c r="AC87" s="8">
        <f>AC11*Assumptions!$B$209*AC83*(1+Assumptions!$B$175)</f>
        <v/>
      </c>
      <c r="AD87" s="8">
        <f>AD11*Assumptions!$B$209*AD83*(1+Assumptions!$B$175)</f>
        <v/>
      </c>
      <c r="AE87" s="8">
        <f>AE11*Assumptions!$B$209*AE83*(1+Assumptions!$B$175)</f>
        <v/>
      </c>
      <c r="AF87" s="8">
        <f>AF11*Assumptions!$B$209*AF83*(1+Assumptions!$B$175)</f>
        <v/>
      </c>
      <c r="AG87" s="8">
        <f>AG11*Assumptions!$B$209*AG83*(1+Assumptions!$B$175)</f>
        <v/>
      </c>
      <c r="AH87" s="8">
        <f>AH11*Assumptions!$B$209*AH83*(1+Assumptions!$B$175)</f>
        <v/>
      </c>
      <c r="AI87" s="8">
        <f>AI11*Assumptions!$B$209*AI83*(1+Assumptions!$B$175)</f>
        <v/>
      </c>
      <c r="AJ87" s="8">
        <f>AJ11*Assumptions!$B$209*AJ83*(1+Assumptions!$B$175)</f>
        <v/>
      </c>
      <c r="AK87" s="8">
        <f>AK11*Assumptions!$B$209*AK83*(1+Assumptions!$B$175)</f>
        <v/>
      </c>
      <c r="AL87" s="8">
        <f>AL11*Assumptions!$B$209*AL83*(1+Assumptions!$B$175)</f>
        <v/>
      </c>
      <c r="AM87" s="8">
        <f>AM11*Assumptions!$B$209*AM83*(1+Assumptions!$B$175)</f>
        <v/>
      </c>
      <c r="AN87" s="8">
        <f>AN11*Assumptions!$B$209*AN83*(1+Assumptions!$B$175)</f>
        <v/>
      </c>
      <c r="AO87" s="8">
        <f>AO11*Assumptions!$B$209*AO83*(1+Assumptions!$B$175)</f>
        <v/>
      </c>
      <c r="AP87" s="8">
        <f>AP11*Assumptions!$B$209*AP83*(1+Assumptions!$B$175)</f>
        <v/>
      </c>
      <c r="AQ87" s="8">
        <f>AQ11*Assumptions!$B$209*AQ83*(1+Assumptions!$B$175)</f>
        <v/>
      </c>
      <c r="AR87" s="8">
        <f>AR11*Assumptions!$B$209*AR83*(1+Assumptions!$B$175)</f>
        <v/>
      </c>
      <c r="AS87" s="8">
        <f>AS11*Assumptions!$B$209*AS83*(1+Assumptions!$B$175)</f>
        <v/>
      </c>
      <c r="AT87" s="8">
        <f>AT11*Assumptions!$B$209*AT83*(1+Assumptions!$B$175)</f>
        <v/>
      </c>
      <c r="AU87" s="8">
        <f>AU11*Assumptions!$B$209*AU83*(1+Assumptions!$B$175)</f>
        <v/>
      </c>
      <c r="AV87" s="8">
        <f>AV11*Assumptions!$B$209*AV83*(1+Assumptions!$B$175)</f>
        <v/>
      </c>
      <c r="AW87" s="8">
        <f>AW11*Assumptions!$B$209*AW83*(1+Assumptions!$B$175)</f>
        <v/>
      </c>
      <c r="AX87" s="8">
        <f>AX11*Assumptions!$B$209*AX83*(1+Assumptions!$B$175)</f>
        <v/>
      </c>
      <c r="AY87" s="8">
        <f>AY11*Assumptions!$B$209*AY83*(1+Assumptions!$B$175)</f>
        <v/>
      </c>
      <c r="AZ87" s="8">
        <f>AZ11*Assumptions!$B$209*AZ83*(1+Assumptions!$B$175)</f>
        <v/>
      </c>
      <c r="BA87" s="8">
        <f>BA11*Assumptions!$B$209*BA83*(1+Assumptions!$B$175)</f>
        <v/>
      </c>
      <c r="BB87" s="8">
        <f>BB11*Assumptions!$B$209*BB83*(1+Assumptions!$B$175)</f>
        <v/>
      </c>
      <c r="BC87" s="8">
        <f>BC11*Assumptions!$B$209*BC83*(1+Assumptions!$B$175)</f>
        <v/>
      </c>
      <c r="BD87" s="8">
        <f>BD11*Assumptions!$B$209*BD83*(1+Assumptions!$B$175)</f>
        <v/>
      </c>
      <c r="BE87" s="8">
        <f>BE11*Assumptions!$B$209*BE83*(1+Assumptions!$B$175)</f>
        <v/>
      </c>
      <c r="BF87" s="8">
        <f>BF11*Assumptions!$B$209*BF83*(1+Assumptions!$B$175)</f>
        <v/>
      </c>
      <c r="BG87" s="8">
        <f>BG11*Assumptions!$B$209*BG83*(1+Assumptions!$B$175)</f>
        <v/>
      </c>
      <c r="BH87" s="8">
        <f>BH11*Assumptions!$B$209*BH83*(1+Assumptions!$B$175)</f>
        <v/>
      </c>
      <c r="BI87" s="8">
        <f>BI11*Assumptions!$B$209*BI83*(1+Assumptions!$B$175)</f>
        <v/>
      </c>
      <c r="BJ87" s="8">
        <f>BJ11*Assumptions!$B$209*BJ83*(1+Assumptions!$B$175)</f>
        <v/>
      </c>
    </row>
    <row r="88">
      <c r="A88" s="4" t="inlineStr">
        <is>
          <t>Product designer (UX)</t>
        </is>
      </c>
      <c r="B88" s="17" t="inlineStr">
        <is>
          <t>R</t>
        </is>
      </c>
      <c r="C88" s="8">
        <f>C12*Assumptions!$B$210*C83*(1+Assumptions!$B$175)</f>
        <v/>
      </c>
      <c r="D88" s="8">
        <f>D12*Assumptions!$B$210*D83*(1+Assumptions!$B$175)</f>
        <v/>
      </c>
      <c r="E88" s="8">
        <f>E12*Assumptions!$B$210*E83*(1+Assumptions!$B$175)</f>
        <v/>
      </c>
      <c r="F88" s="8">
        <f>F12*Assumptions!$B$210*F83*(1+Assumptions!$B$175)</f>
        <v/>
      </c>
      <c r="G88" s="8">
        <f>G12*Assumptions!$B$210*G83*(1+Assumptions!$B$175)</f>
        <v/>
      </c>
      <c r="H88" s="8">
        <f>H12*Assumptions!$B$210*H83*(1+Assumptions!$B$175)</f>
        <v/>
      </c>
      <c r="I88" s="8">
        <f>I12*Assumptions!$B$210*I83*(1+Assumptions!$B$175)</f>
        <v/>
      </c>
      <c r="J88" s="8">
        <f>J12*Assumptions!$B$210*J83*(1+Assumptions!$B$175)</f>
        <v/>
      </c>
      <c r="K88" s="8">
        <f>K12*Assumptions!$B$210*K83*(1+Assumptions!$B$175)</f>
        <v/>
      </c>
      <c r="L88" s="8">
        <f>L12*Assumptions!$B$210*L83*(1+Assumptions!$B$175)</f>
        <v/>
      </c>
      <c r="M88" s="8">
        <f>M12*Assumptions!$B$210*M83*(1+Assumptions!$B$175)</f>
        <v/>
      </c>
      <c r="N88" s="8">
        <f>N12*Assumptions!$B$210*N83*(1+Assumptions!$B$175)</f>
        <v/>
      </c>
      <c r="O88" s="8">
        <f>O12*Assumptions!$B$210*O83*(1+Assumptions!$B$175)</f>
        <v/>
      </c>
      <c r="P88" s="8">
        <f>P12*Assumptions!$B$210*P83*(1+Assumptions!$B$175)</f>
        <v/>
      </c>
      <c r="Q88" s="8">
        <f>Q12*Assumptions!$B$210*Q83*(1+Assumptions!$B$175)</f>
        <v/>
      </c>
      <c r="R88" s="8">
        <f>R12*Assumptions!$B$210*R83*(1+Assumptions!$B$175)</f>
        <v/>
      </c>
      <c r="S88" s="8">
        <f>S12*Assumptions!$B$210*S83*(1+Assumptions!$B$175)</f>
        <v/>
      </c>
      <c r="T88" s="8">
        <f>T12*Assumptions!$B$210*T83*(1+Assumptions!$B$175)</f>
        <v/>
      </c>
      <c r="U88" s="8">
        <f>U12*Assumptions!$B$210*U83*(1+Assumptions!$B$175)</f>
        <v/>
      </c>
      <c r="V88" s="8">
        <f>V12*Assumptions!$B$210*V83*(1+Assumptions!$B$175)</f>
        <v/>
      </c>
      <c r="W88" s="8">
        <f>W12*Assumptions!$B$210*W83*(1+Assumptions!$B$175)</f>
        <v/>
      </c>
      <c r="X88" s="8">
        <f>X12*Assumptions!$B$210*X83*(1+Assumptions!$B$175)</f>
        <v/>
      </c>
      <c r="Y88" s="8">
        <f>Y12*Assumptions!$B$210*Y83*(1+Assumptions!$B$175)</f>
        <v/>
      </c>
      <c r="Z88" s="8">
        <f>Z12*Assumptions!$B$210*Z83*(1+Assumptions!$B$175)</f>
        <v/>
      </c>
      <c r="AA88" s="8">
        <f>AA12*Assumptions!$B$210*AA83*(1+Assumptions!$B$175)</f>
        <v/>
      </c>
      <c r="AB88" s="8">
        <f>AB12*Assumptions!$B$210*AB83*(1+Assumptions!$B$175)</f>
        <v/>
      </c>
      <c r="AC88" s="8">
        <f>AC12*Assumptions!$B$210*AC83*(1+Assumptions!$B$175)</f>
        <v/>
      </c>
      <c r="AD88" s="8">
        <f>AD12*Assumptions!$B$210*AD83*(1+Assumptions!$B$175)</f>
        <v/>
      </c>
      <c r="AE88" s="8">
        <f>AE12*Assumptions!$B$210*AE83*(1+Assumptions!$B$175)</f>
        <v/>
      </c>
      <c r="AF88" s="8">
        <f>AF12*Assumptions!$B$210*AF83*(1+Assumptions!$B$175)</f>
        <v/>
      </c>
      <c r="AG88" s="8">
        <f>AG12*Assumptions!$B$210*AG83*(1+Assumptions!$B$175)</f>
        <v/>
      </c>
      <c r="AH88" s="8">
        <f>AH12*Assumptions!$B$210*AH83*(1+Assumptions!$B$175)</f>
        <v/>
      </c>
      <c r="AI88" s="8">
        <f>AI12*Assumptions!$B$210*AI83*(1+Assumptions!$B$175)</f>
        <v/>
      </c>
      <c r="AJ88" s="8">
        <f>AJ12*Assumptions!$B$210*AJ83*(1+Assumptions!$B$175)</f>
        <v/>
      </c>
      <c r="AK88" s="8">
        <f>AK12*Assumptions!$B$210*AK83*(1+Assumptions!$B$175)</f>
        <v/>
      </c>
      <c r="AL88" s="8">
        <f>AL12*Assumptions!$B$210*AL83*(1+Assumptions!$B$175)</f>
        <v/>
      </c>
      <c r="AM88" s="8">
        <f>AM12*Assumptions!$B$210*AM83*(1+Assumptions!$B$175)</f>
        <v/>
      </c>
      <c r="AN88" s="8">
        <f>AN12*Assumptions!$B$210*AN83*(1+Assumptions!$B$175)</f>
        <v/>
      </c>
      <c r="AO88" s="8">
        <f>AO12*Assumptions!$B$210*AO83*(1+Assumptions!$B$175)</f>
        <v/>
      </c>
      <c r="AP88" s="8">
        <f>AP12*Assumptions!$B$210*AP83*(1+Assumptions!$B$175)</f>
        <v/>
      </c>
      <c r="AQ88" s="8">
        <f>AQ12*Assumptions!$B$210*AQ83*(1+Assumptions!$B$175)</f>
        <v/>
      </c>
      <c r="AR88" s="8">
        <f>AR12*Assumptions!$B$210*AR83*(1+Assumptions!$B$175)</f>
        <v/>
      </c>
      <c r="AS88" s="8">
        <f>AS12*Assumptions!$B$210*AS83*(1+Assumptions!$B$175)</f>
        <v/>
      </c>
      <c r="AT88" s="8">
        <f>AT12*Assumptions!$B$210*AT83*(1+Assumptions!$B$175)</f>
        <v/>
      </c>
      <c r="AU88" s="8">
        <f>AU12*Assumptions!$B$210*AU83*(1+Assumptions!$B$175)</f>
        <v/>
      </c>
      <c r="AV88" s="8">
        <f>AV12*Assumptions!$B$210*AV83*(1+Assumptions!$B$175)</f>
        <v/>
      </c>
      <c r="AW88" s="8">
        <f>AW12*Assumptions!$B$210*AW83*(1+Assumptions!$B$175)</f>
        <v/>
      </c>
      <c r="AX88" s="8">
        <f>AX12*Assumptions!$B$210*AX83*(1+Assumptions!$B$175)</f>
        <v/>
      </c>
      <c r="AY88" s="8">
        <f>AY12*Assumptions!$B$210*AY83*(1+Assumptions!$B$175)</f>
        <v/>
      </c>
      <c r="AZ88" s="8">
        <f>AZ12*Assumptions!$B$210*AZ83*(1+Assumptions!$B$175)</f>
        <v/>
      </c>
      <c r="BA88" s="8">
        <f>BA12*Assumptions!$B$210*BA83*(1+Assumptions!$B$175)</f>
        <v/>
      </c>
      <c r="BB88" s="8">
        <f>BB12*Assumptions!$B$210*BB83*(1+Assumptions!$B$175)</f>
        <v/>
      </c>
      <c r="BC88" s="8">
        <f>BC12*Assumptions!$B$210*BC83*(1+Assumptions!$B$175)</f>
        <v/>
      </c>
      <c r="BD88" s="8">
        <f>BD12*Assumptions!$B$210*BD83*(1+Assumptions!$B$175)</f>
        <v/>
      </c>
      <c r="BE88" s="8">
        <f>BE12*Assumptions!$B$210*BE83*(1+Assumptions!$B$175)</f>
        <v/>
      </c>
      <c r="BF88" s="8">
        <f>BF12*Assumptions!$B$210*BF83*(1+Assumptions!$B$175)</f>
        <v/>
      </c>
      <c r="BG88" s="8">
        <f>BG12*Assumptions!$B$210*BG83*(1+Assumptions!$B$175)</f>
        <v/>
      </c>
      <c r="BH88" s="8">
        <f>BH12*Assumptions!$B$210*BH83*(1+Assumptions!$B$175)</f>
        <v/>
      </c>
      <c r="BI88" s="8">
        <f>BI12*Assumptions!$B$210*BI83*(1+Assumptions!$B$175)</f>
        <v/>
      </c>
      <c r="BJ88" s="8">
        <f>BJ12*Assumptions!$B$210*BJ83*(1+Assumptions!$B$175)</f>
        <v/>
      </c>
    </row>
    <row r="89">
      <c r="A89" s="4" t="inlineStr">
        <is>
          <t>Full-stack engineers</t>
        </is>
      </c>
      <c r="B89" s="17" t="inlineStr">
        <is>
          <t>R</t>
        </is>
      </c>
      <c r="C89" s="8">
        <f>C13*Assumptions!$B$211*C83*(1+Assumptions!$B$175)</f>
        <v/>
      </c>
      <c r="D89" s="8">
        <f>D13*Assumptions!$B$211*D83*(1+Assumptions!$B$175)</f>
        <v/>
      </c>
      <c r="E89" s="8">
        <f>E13*Assumptions!$B$211*E83*(1+Assumptions!$B$175)</f>
        <v/>
      </c>
      <c r="F89" s="8">
        <f>F13*Assumptions!$B$211*F83*(1+Assumptions!$B$175)</f>
        <v/>
      </c>
      <c r="G89" s="8">
        <f>G13*Assumptions!$B$211*G83*(1+Assumptions!$B$175)</f>
        <v/>
      </c>
      <c r="H89" s="8">
        <f>H13*Assumptions!$B$211*H83*(1+Assumptions!$B$175)</f>
        <v/>
      </c>
      <c r="I89" s="8">
        <f>I13*Assumptions!$B$211*I83*(1+Assumptions!$B$175)</f>
        <v/>
      </c>
      <c r="J89" s="8">
        <f>J13*Assumptions!$B$211*J83*(1+Assumptions!$B$175)</f>
        <v/>
      </c>
      <c r="K89" s="8">
        <f>K13*Assumptions!$B$211*K83*(1+Assumptions!$B$175)</f>
        <v/>
      </c>
      <c r="L89" s="8">
        <f>L13*Assumptions!$B$211*L83*(1+Assumptions!$B$175)</f>
        <v/>
      </c>
      <c r="M89" s="8">
        <f>M13*Assumptions!$B$211*M83*(1+Assumptions!$B$175)</f>
        <v/>
      </c>
      <c r="N89" s="8">
        <f>N13*Assumptions!$B$211*N83*(1+Assumptions!$B$175)</f>
        <v/>
      </c>
      <c r="O89" s="8">
        <f>O13*Assumptions!$B$211*O83*(1+Assumptions!$B$175)</f>
        <v/>
      </c>
      <c r="P89" s="8">
        <f>P13*Assumptions!$B$211*P83*(1+Assumptions!$B$175)</f>
        <v/>
      </c>
      <c r="Q89" s="8">
        <f>Q13*Assumptions!$B$211*Q83*(1+Assumptions!$B$175)</f>
        <v/>
      </c>
      <c r="R89" s="8">
        <f>R13*Assumptions!$B$211*R83*(1+Assumptions!$B$175)</f>
        <v/>
      </c>
      <c r="S89" s="8">
        <f>S13*Assumptions!$B$211*S83*(1+Assumptions!$B$175)</f>
        <v/>
      </c>
      <c r="T89" s="8">
        <f>T13*Assumptions!$B$211*T83*(1+Assumptions!$B$175)</f>
        <v/>
      </c>
      <c r="U89" s="8">
        <f>U13*Assumptions!$B$211*U83*(1+Assumptions!$B$175)</f>
        <v/>
      </c>
      <c r="V89" s="8">
        <f>V13*Assumptions!$B$211*V83*(1+Assumptions!$B$175)</f>
        <v/>
      </c>
      <c r="W89" s="8">
        <f>W13*Assumptions!$B$211*W83*(1+Assumptions!$B$175)</f>
        <v/>
      </c>
      <c r="X89" s="8">
        <f>X13*Assumptions!$B$211*X83*(1+Assumptions!$B$175)</f>
        <v/>
      </c>
      <c r="Y89" s="8">
        <f>Y13*Assumptions!$B$211*Y83*(1+Assumptions!$B$175)</f>
        <v/>
      </c>
      <c r="Z89" s="8">
        <f>Z13*Assumptions!$B$211*Z83*(1+Assumptions!$B$175)</f>
        <v/>
      </c>
      <c r="AA89" s="8">
        <f>AA13*Assumptions!$B$211*AA83*(1+Assumptions!$B$175)</f>
        <v/>
      </c>
      <c r="AB89" s="8">
        <f>AB13*Assumptions!$B$211*AB83*(1+Assumptions!$B$175)</f>
        <v/>
      </c>
      <c r="AC89" s="8">
        <f>AC13*Assumptions!$B$211*AC83*(1+Assumptions!$B$175)</f>
        <v/>
      </c>
      <c r="AD89" s="8">
        <f>AD13*Assumptions!$B$211*AD83*(1+Assumptions!$B$175)</f>
        <v/>
      </c>
      <c r="AE89" s="8">
        <f>AE13*Assumptions!$B$211*AE83*(1+Assumptions!$B$175)</f>
        <v/>
      </c>
      <c r="AF89" s="8">
        <f>AF13*Assumptions!$B$211*AF83*(1+Assumptions!$B$175)</f>
        <v/>
      </c>
      <c r="AG89" s="8">
        <f>AG13*Assumptions!$B$211*AG83*(1+Assumptions!$B$175)</f>
        <v/>
      </c>
      <c r="AH89" s="8">
        <f>AH13*Assumptions!$B$211*AH83*(1+Assumptions!$B$175)</f>
        <v/>
      </c>
      <c r="AI89" s="8">
        <f>AI13*Assumptions!$B$211*AI83*(1+Assumptions!$B$175)</f>
        <v/>
      </c>
      <c r="AJ89" s="8">
        <f>AJ13*Assumptions!$B$211*AJ83*(1+Assumptions!$B$175)</f>
        <v/>
      </c>
      <c r="AK89" s="8">
        <f>AK13*Assumptions!$B$211*AK83*(1+Assumptions!$B$175)</f>
        <v/>
      </c>
      <c r="AL89" s="8">
        <f>AL13*Assumptions!$B$211*AL83*(1+Assumptions!$B$175)</f>
        <v/>
      </c>
      <c r="AM89" s="8">
        <f>AM13*Assumptions!$B$211*AM83*(1+Assumptions!$B$175)</f>
        <v/>
      </c>
      <c r="AN89" s="8">
        <f>AN13*Assumptions!$B$211*AN83*(1+Assumptions!$B$175)</f>
        <v/>
      </c>
      <c r="AO89" s="8">
        <f>AO13*Assumptions!$B$211*AO83*(1+Assumptions!$B$175)</f>
        <v/>
      </c>
      <c r="AP89" s="8">
        <f>AP13*Assumptions!$B$211*AP83*(1+Assumptions!$B$175)</f>
        <v/>
      </c>
      <c r="AQ89" s="8">
        <f>AQ13*Assumptions!$B$211*AQ83*(1+Assumptions!$B$175)</f>
        <v/>
      </c>
      <c r="AR89" s="8">
        <f>AR13*Assumptions!$B$211*AR83*(1+Assumptions!$B$175)</f>
        <v/>
      </c>
      <c r="AS89" s="8">
        <f>AS13*Assumptions!$B$211*AS83*(1+Assumptions!$B$175)</f>
        <v/>
      </c>
      <c r="AT89" s="8">
        <f>AT13*Assumptions!$B$211*AT83*(1+Assumptions!$B$175)</f>
        <v/>
      </c>
      <c r="AU89" s="8">
        <f>AU13*Assumptions!$B$211*AU83*(1+Assumptions!$B$175)</f>
        <v/>
      </c>
      <c r="AV89" s="8">
        <f>AV13*Assumptions!$B$211*AV83*(1+Assumptions!$B$175)</f>
        <v/>
      </c>
      <c r="AW89" s="8">
        <f>AW13*Assumptions!$B$211*AW83*(1+Assumptions!$B$175)</f>
        <v/>
      </c>
      <c r="AX89" s="8">
        <f>AX13*Assumptions!$B$211*AX83*(1+Assumptions!$B$175)</f>
        <v/>
      </c>
      <c r="AY89" s="8">
        <f>AY13*Assumptions!$B$211*AY83*(1+Assumptions!$B$175)</f>
        <v/>
      </c>
      <c r="AZ89" s="8">
        <f>AZ13*Assumptions!$B$211*AZ83*(1+Assumptions!$B$175)</f>
        <v/>
      </c>
      <c r="BA89" s="8">
        <f>BA13*Assumptions!$B$211*BA83*(1+Assumptions!$B$175)</f>
        <v/>
      </c>
      <c r="BB89" s="8">
        <f>BB13*Assumptions!$B$211*BB83*(1+Assumptions!$B$175)</f>
        <v/>
      </c>
      <c r="BC89" s="8">
        <f>BC13*Assumptions!$B$211*BC83*(1+Assumptions!$B$175)</f>
        <v/>
      </c>
      <c r="BD89" s="8">
        <f>BD13*Assumptions!$B$211*BD83*(1+Assumptions!$B$175)</f>
        <v/>
      </c>
      <c r="BE89" s="8">
        <f>BE13*Assumptions!$B$211*BE83*(1+Assumptions!$B$175)</f>
        <v/>
      </c>
      <c r="BF89" s="8">
        <f>BF13*Assumptions!$B$211*BF83*(1+Assumptions!$B$175)</f>
        <v/>
      </c>
      <c r="BG89" s="8">
        <f>BG13*Assumptions!$B$211*BG83*(1+Assumptions!$B$175)</f>
        <v/>
      </c>
      <c r="BH89" s="8">
        <f>BH13*Assumptions!$B$211*BH83*(1+Assumptions!$B$175)</f>
        <v/>
      </c>
      <c r="BI89" s="8">
        <f>BI13*Assumptions!$B$211*BI83*(1+Assumptions!$B$175)</f>
        <v/>
      </c>
      <c r="BJ89" s="8">
        <f>BJ13*Assumptions!$B$211*BJ83*(1+Assumptions!$B$175)</f>
        <v/>
      </c>
    </row>
    <row r="90">
      <c r="A90" s="4" t="inlineStr">
        <is>
          <t>DevOps / QA engineer</t>
        </is>
      </c>
      <c r="B90" s="17" t="inlineStr">
        <is>
          <t>R</t>
        </is>
      </c>
      <c r="C90" s="8">
        <f>C14*Assumptions!$B$212*C83*(1+Assumptions!$B$175)</f>
        <v/>
      </c>
      <c r="D90" s="8">
        <f>D14*Assumptions!$B$212*D83*(1+Assumptions!$B$175)</f>
        <v/>
      </c>
      <c r="E90" s="8">
        <f>E14*Assumptions!$B$212*E83*(1+Assumptions!$B$175)</f>
        <v/>
      </c>
      <c r="F90" s="8">
        <f>F14*Assumptions!$B$212*F83*(1+Assumptions!$B$175)</f>
        <v/>
      </c>
      <c r="G90" s="8">
        <f>G14*Assumptions!$B$212*G83*(1+Assumptions!$B$175)</f>
        <v/>
      </c>
      <c r="H90" s="8">
        <f>H14*Assumptions!$B$212*H83*(1+Assumptions!$B$175)</f>
        <v/>
      </c>
      <c r="I90" s="8">
        <f>I14*Assumptions!$B$212*I83*(1+Assumptions!$B$175)</f>
        <v/>
      </c>
      <c r="J90" s="8">
        <f>J14*Assumptions!$B$212*J83*(1+Assumptions!$B$175)</f>
        <v/>
      </c>
      <c r="K90" s="8">
        <f>K14*Assumptions!$B$212*K83*(1+Assumptions!$B$175)</f>
        <v/>
      </c>
      <c r="L90" s="8">
        <f>L14*Assumptions!$B$212*L83*(1+Assumptions!$B$175)</f>
        <v/>
      </c>
      <c r="M90" s="8">
        <f>M14*Assumptions!$B$212*M83*(1+Assumptions!$B$175)</f>
        <v/>
      </c>
      <c r="N90" s="8">
        <f>N14*Assumptions!$B$212*N83*(1+Assumptions!$B$175)</f>
        <v/>
      </c>
      <c r="O90" s="8">
        <f>O14*Assumptions!$B$212*O83*(1+Assumptions!$B$175)</f>
        <v/>
      </c>
      <c r="P90" s="8">
        <f>P14*Assumptions!$B$212*P83*(1+Assumptions!$B$175)</f>
        <v/>
      </c>
      <c r="Q90" s="8">
        <f>Q14*Assumptions!$B$212*Q83*(1+Assumptions!$B$175)</f>
        <v/>
      </c>
      <c r="R90" s="8">
        <f>R14*Assumptions!$B$212*R83*(1+Assumptions!$B$175)</f>
        <v/>
      </c>
      <c r="S90" s="8">
        <f>S14*Assumptions!$B$212*S83*(1+Assumptions!$B$175)</f>
        <v/>
      </c>
      <c r="T90" s="8">
        <f>T14*Assumptions!$B$212*T83*(1+Assumptions!$B$175)</f>
        <v/>
      </c>
      <c r="U90" s="8">
        <f>U14*Assumptions!$B$212*U83*(1+Assumptions!$B$175)</f>
        <v/>
      </c>
      <c r="V90" s="8">
        <f>V14*Assumptions!$B$212*V83*(1+Assumptions!$B$175)</f>
        <v/>
      </c>
      <c r="W90" s="8">
        <f>W14*Assumptions!$B$212*W83*(1+Assumptions!$B$175)</f>
        <v/>
      </c>
      <c r="X90" s="8">
        <f>X14*Assumptions!$B$212*X83*(1+Assumptions!$B$175)</f>
        <v/>
      </c>
      <c r="Y90" s="8">
        <f>Y14*Assumptions!$B$212*Y83*(1+Assumptions!$B$175)</f>
        <v/>
      </c>
      <c r="Z90" s="8">
        <f>Z14*Assumptions!$B$212*Z83*(1+Assumptions!$B$175)</f>
        <v/>
      </c>
      <c r="AA90" s="8">
        <f>AA14*Assumptions!$B$212*AA83*(1+Assumptions!$B$175)</f>
        <v/>
      </c>
      <c r="AB90" s="8">
        <f>AB14*Assumptions!$B$212*AB83*(1+Assumptions!$B$175)</f>
        <v/>
      </c>
      <c r="AC90" s="8">
        <f>AC14*Assumptions!$B$212*AC83*(1+Assumptions!$B$175)</f>
        <v/>
      </c>
      <c r="AD90" s="8">
        <f>AD14*Assumptions!$B$212*AD83*(1+Assumptions!$B$175)</f>
        <v/>
      </c>
      <c r="AE90" s="8">
        <f>AE14*Assumptions!$B$212*AE83*(1+Assumptions!$B$175)</f>
        <v/>
      </c>
      <c r="AF90" s="8">
        <f>AF14*Assumptions!$B$212*AF83*(1+Assumptions!$B$175)</f>
        <v/>
      </c>
      <c r="AG90" s="8">
        <f>AG14*Assumptions!$B$212*AG83*(1+Assumptions!$B$175)</f>
        <v/>
      </c>
      <c r="AH90" s="8">
        <f>AH14*Assumptions!$B$212*AH83*(1+Assumptions!$B$175)</f>
        <v/>
      </c>
      <c r="AI90" s="8">
        <f>AI14*Assumptions!$B$212*AI83*(1+Assumptions!$B$175)</f>
        <v/>
      </c>
      <c r="AJ90" s="8">
        <f>AJ14*Assumptions!$B$212*AJ83*(1+Assumptions!$B$175)</f>
        <v/>
      </c>
      <c r="AK90" s="8">
        <f>AK14*Assumptions!$B$212*AK83*(1+Assumptions!$B$175)</f>
        <v/>
      </c>
      <c r="AL90" s="8">
        <f>AL14*Assumptions!$B$212*AL83*(1+Assumptions!$B$175)</f>
        <v/>
      </c>
      <c r="AM90" s="8">
        <f>AM14*Assumptions!$B$212*AM83*(1+Assumptions!$B$175)</f>
        <v/>
      </c>
      <c r="AN90" s="8">
        <f>AN14*Assumptions!$B$212*AN83*(1+Assumptions!$B$175)</f>
        <v/>
      </c>
      <c r="AO90" s="8">
        <f>AO14*Assumptions!$B$212*AO83*(1+Assumptions!$B$175)</f>
        <v/>
      </c>
      <c r="AP90" s="8">
        <f>AP14*Assumptions!$B$212*AP83*(1+Assumptions!$B$175)</f>
        <v/>
      </c>
      <c r="AQ90" s="8">
        <f>AQ14*Assumptions!$B$212*AQ83*(1+Assumptions!$B$175)</f>
        <v/>
      </c>
      <c r="AR90" s="8">
        <f>AR14*Assumptions!$B$212*AR83*(1+Assumptions!$B$175)</f>
        <v/>
      </c>
      <c r="AS90" s="8">
        <f>AS14*Assumptions!$B$212*AS83*(1+Assumptions!$B$175)</f>
        <v/>
      </c>
      <c r="AT90" s="8">
        <f>AT14*Assumptions!$B$212*AT83*(1+Assumptions!$B$175)</f>
        <v/>
      </c>
      <c r="AU90" s="8">
        <f>AU14*Assumptions!$B$212*AU83*(1+Assumptions!$B$175)</f>
        <v/>
      </c>
      <c r="AV90" s="8">
        <f>AV14*Assumptions!$B$212*AV83*(1+Assumptions!$B$175)</f>
        <v/>
      </c>
      <c r="AW90" s="8">
        <f>AW14*Assumptions!$B$212*AW83*(1+Assumptions!$B$175)</f>
        <v/>
      </c>
      <c r="AX90" s="8">
        <f>AX14*Assumptions!$B$212*AX83*(1+Assumptions!$B$175)</f>
        <v/>
      </c>
      <c r="AY90" s="8">
        <f>AY14*Assumptions!$B$212*AY83*(1+Assumptions!$B$175)</f>
        <v/>
      </c>
      <c r="AZ90" s="8">
        <f>AZ14*Assumptions!$B$212*AZ83*(1+Assumptions!$B$175)</f>
        <v/>
      </c>
      <c r="BA90" s="8">
        <f>BA14*Assumptions!$B$212*BA83*(1+Assumptions!$B$175)</f>
        <v/>
      </c>
      <c r="BB90" s="8">
        <f>BB14*Assumptions!$B$212*BB83*(1+Assumptions!$B$175)</f>
        <v/>
      </c>
      <c r="BC90" s="8">
        <f>BC14*Assumptions!$B$212*BC83*(1+Assumptions!$B$175)</f>
        <v/>
      </c>
      <c r="BD90" s="8">
        <f>BD14*Assumptions!$B$212*BD83*(1+Assumptions!$B$175)</f>
        <v/>
      </c>
      <c r="BE90" s="8">
        <f>BE14*Assumptions!$B$212*BE83*(1+Assumptions!$B$175)</f>
        <v/>
      </c>
      <c r="BF90" s="8">
        <f>BF14*Assumptions!$B$212*BF83*(1+Assumptions!$B$175)</f>
        <v/>
      </c>
      <c r="BG90" s="8">
        <f>BG14*Assumptions!$B$212*BG83*(1+Assumptions!$B$175)</f>
        <v/>
      </c>
      <c r="BH90" s="8">
        <f>BH14*Assumptions!$B$212*BH83*(1+Assumptions!$B$175)</f>
        <v/>
      </c>
      <c r="BI90" s="8">
        <f>BI14*Assumptions!$B$212*BI83*(1+Assumptions!$B$175)</f>
        <v/>
      </c>
      <c r="BJ90" s="8">
        <f>BJ14*Assumptions!$B$212*BJ83*(1+Assumptions!$B$175)</f>
        <v/>
      </c>
    </row>
    <row r="91">
      <c r="A91" s="4" t="inlineStr">
        <is>
          <t>Integrations engineers (social adapters, commerce, CRM)</t>
        </is>
      </c>
      <c r="B91" s="17" t="inlineStr">
        <is>
          <t>R</t>
        </is>
      </c>
      <c r="C91" s="8">
        <f>C15*Assumptions!$B$213*C83*(1+Assumptions!$B$175)</f>
        <v/>
      </c>
      <c r="D91" s="8">
        <f>D15*Assumptions!$B$213*D83*(1+Assumptions!$B$175)</f>
        <v/>
      </c>
      <c r="E91" s="8">
        <f>E15*Assumptions!$B$213*E83*(1+Assumptions!$B$175)</f>
        <v/>
      </c>
      <c r="F91" s="8">
        <f>F15*Assumptions!$B$213*F83*(1+Assumptions!$B$175)</f>
        <v/>
      </c>
      <c r="G91" s="8">
        <f>G15*Assumptions!$B$213*G83*(1+Assumptions!$B$175)</f>
        <v/>
      </c>
      <c r="H91" s="8">
        <f>H15*Assumptions!$B$213*H83*(1+Assumptions!$B$175)</f>
        <v/>
      </c>
      <c r="I91" s="8">
        <f>I15*Assumptions!$B$213*I83*(1+Assumptions!$B$175)</f>
        <v/>
      </c>
      <c r="J91" s="8">
        <f>J15*Assumptions!$B$213*J83*(1+Assumptions!$B$175)</f>
        <v/>
      </c>
      <c r="K91" s="8">
        <f>K15*Assumptions!$B$213*K83*(1+Assumptions!$B$175)</f>
        <v/>
      </c>
      <c r="L91" s="8">
        <f>L15*Assumptions!$B$213*L83*(1+Assumptions!$B$175)</f>
        <v/>
      </c>
      <c r="M91" s="8">
        <f>M15*Assumptions!$B$213*M83*(1+Assumptions!$B$175)</f>
        <v/>
      </c>
      <c r="N91" s="8">
        <f>N15*Assumptions!$B$213*N83*(1+Assumptions!$B$175)</f>
        <v/>
      </c>
      <c r="O91" s="8">
        <f>O15*Assumptions!$B$213*O83*(1+Assumptions!$B$175)</f>
        <v/>
      </c>
      <c r="P91" s="8">
        <f>P15*Assumptions!$B$213*P83*(1+Assumptions!$B$175)</f>
        <v/>
      </c>
      <c r="Q91" s="8">
        <f>Q15*Assumptions!$B$213*Q83*(1+Assumptions!$B$175)</f>
        <v/>
      </c>
      <c r="R91" s="8">
        <f>R15*Assumptions!$B$213*R83*(1+Assumptions!$B$175)</f>
        <v/>
      </c>
      <c r="S91" s="8">
        <f>S15*Assumptions!$B$213*S83*(1+Assumptions!$B$175)</f>
        <v/>
      </c>
      <c r="T91" s="8">
        <f>T15*Assumptions!$B$213*T83*(1+Assumptions!$B$175)</f>
        <v/>
      </c>
      <c r="U91" s="8">
        <f>U15*Assumptions!$B$213*U83*(1+Assumptions!$B$175)</f>
        <v/>
      </c>
      <c r="V91" s="8">
        <f>V15*Assumptions!$B$213*V83*(1+Assumptions!$B$175)</f>
        <v/>
      </c>
      <c r="W91" s="8">
        <f>W15*Assumptions!$B$213*W83*(1+Assumptions!$B$175)</f>
        <v/>
      </c>
      <c r="X91" s="8">
        <f>X15*Assumptions!$B$213*X83*(1+Assumptions!$B$175)</f>
        <v/>
      </c>
      <c r="Y91" s="8">
        <f>Y15*Assumptions!$B$213*Y83*(1+Assumptions!$B$175)</f>
        <v/>
      </c>
      <c r="Z91" s="8">
        <f>Z15*Assumptions!$B$213*Z83*(1+Assumptions!$B$175)</f>
        <v/>
      </c>
      <c r="AA91" s="8">
        <f>AA15*Assumptions!$B$213*AA83*(1+Assumptions!$B$175)</f>
        <v/>
      </c>
      <c r="AB91" s="8">
        <f>AB15*Assumptions!$B$213*AB83*(1+Assumptions!$B$175)</f>
        <v/>
      </c>
      <c r="AC91" s="8">
        <f>AC15*Assumptions!$B$213*AC83*(1+Assumptions!$B$175)</f>
        <v/>
      </c>
      <c r="AD91" s="8">
        <f>AD15*Assumptions!$B$213*AD83*(1+Assumptions!$B$175)</f>
        <v/>
      </c>
      <c r="AE91" s="8">
        <f>AE15*Assumptions!$B$213*AE83*(1+Assumptions!$B$175)</f>
        <v/>
      </c>
      <c r="AF91" s="8">
        <f>AF15*Assumptions!$B$213*AF83*(1+Assumptions!$B$175)</f>
        <v/>
      </c>
      <c r="AG91" s="8">
        <f>AG15*Assumptions!$B$213*AG83*(1+Assumptions!$B$175)</f>
        <v/>
      </c>
      <c r="AH91" s="8">
        <f>AH15*Assumptions!$B$213*AH83*(1+Assumptions!$B$175)</f>
        <v/>
      </c>
      <c r="AI91" s="8">
        <f>AI15*Assumptions!$B$213*AI83*(1+Assumptions!$B$175)</f>
        <v/>
      </c>
      <c r="AJ91" s="8">
        <f>AJ15*Assumptions!$B$213*AJ83*(1+Assumptions!$B$175)</f>
        <v/>
      </c>
      <c r="AK91" s="8">
        <f>AK15*Assumptions!$B$213*AK83*(1+Assumptions!$B$175)</f>
        <v/>
      </c>
      <c r="AL91" s="8">
        <f>AL15*Assumptions!$B$213*AL83*(1+Assumptions!$B$175)</f>
        <v/>
      </c>
      <c r="AM91" s="8">
        <f>AM15*Assumptions!$B$213*AM83*(1+Assumptions!$B$175)</f>
        <v/>
      </c>
      <c r="AN91" s="8">
        <f>AN15*Assumptions!$B$213*AN83*(1+Assumptions!$B$175)</f>
        <v/>
      </c>
      <c r="AO91" s="8">
        <f>AO15*Assumptions!$B$213*AO83*(1+Assumptions!$B$175)</f>
        <v/>
      </c>
      <c r="AP91" s="8">
        <f>AP15*Assumptions!$B$213*AP83*(1+Assumptions!$B$175)</f>
        <v/>
      </c>
      <c r="AQ91" s="8">
        <f>AQ15*Assumptions!$B$213*AQ83*(1+Assumptions!$B$175)</f>
        <v/>
      </c>
      <c r="AR91" s="8">
        <f>AR15*Assumptions!$B$213*AR83*(1+Assumptions!$B$175)</f>
        <v/>
      </c>
      <c r="AS91" s="8">
        <f>AS15*Assumptions!$B$213*AS83*(1+Assumptions!$B$175)</f>
        <v/>
      </c>
      <c r="AT91" s="8">
        <f>AT15*Assumptions!$B$213*AT83*(1+Assumptions!$B$175)</f>
        <v/>
      </c>
      <c r="AU91" s="8">
        <f>AU15*Assumptions!$B$213*AU83*(1+Assumptions!$B$175)</f>
        <v/>
      </c>
      <c r="AV91" s="8">
        <f>AV15*Assumptions!$B$213*AV83*(1+Assumptions!$B$175)</f>
        <v/>
      </c>
      <c r="AW91" s="8">
        <f>AW15*Assumptions!$B$213*AW83*(1+Assumptions!$B$175)</f>
        <v/>
      </c>
      <c r="AX91" s="8">
        <f>AX15*Assumptions!$B$213*AX83*(1+Assumptions!$B$175)</f>
        <v/>
      </c>
      <c r="AY91" s="8">
        <f>AY15*Assumptions!$B$213*AY83*(1+Assumptions!$B$175)</f>
        <v/>
      </c>
      <c r="AZ91" s="8">
        <f>AZ15*Assumptions!$B$213*AZ83*(1+Assumptions!$B$175)</f>
        <v/>
      </c>
      <c r="BA91" s="8">
        <f>BA15*Assumptions!$B$213*BA83*(1+Assumptions!$B$175)</f>
        <v/>
      </c>
      <c r="BB91" s="8">
        <f>BB15*Assumptions!$B$213*BB83*(1+Assumptions!$B$175)</f>
        <v/>
      </c>
      <c r="BC91" s="8">
        <f>BC15*Assumptions!$B$213*BC83*(1+Assumptions!$B$175)</f>
        <v/>
      </c>
      <c r="BD91" s="8">
        <f>BD15*Assumptions!$B$213*BD83*(1+Assumptions!$B$175)</f>
        <v/>
      </c>
      <c r="BE91" s="8">
        <f>BE15*Assumptions!$B$213*BE83*(1+Assumptions!$B$175)</f>
        <v/>
      </c>
      <c r="BF91" s="8">
        <f>BF15*Assumptions!$B$213*BF83*(1+Assumptions!$B$175)</f>
        <v/>
      </c>
      <c r="BG91" s="8">
        <f>BG15*Assumptions!$B$213*BG83*(1+Assumptions!$B$175)</f>
        <v/>
      </c>
      <c r="BH91" s="8">
        <f>BH15*Assumptions!$B$213*BH83*(1+Assumptions!$B$175)</f>
        <v/>
      </c>
      <c r="BI91" s="8">
        <f>BI15*Assumptions!$B$213*BI83*(1+Assumptions!$B$175)</f>
        <v/>
      </c>
      <c r="BJ91" s="8">
        <f>BJ15*Assumptions!$B$213*BJ83*(1+Assumptions!$B$175)</f>
        <v/>
      </c>
    </row>
    <row r="92">
      <c r="A92" s="4" t="inlineStr">
        <is>
          <t>Product manager</t>
        </is>
      </c>
      <c r="B92" s="17" t="inlineStr">
        <is>
          <t>R</t>
        </is>
      </c>
      <c r="C92" s="8">
        <f>C16*Assumptions!$B$214*C83*(1+Assumptions!$B$175)</f>
        <v/>
      </c>
      <c r="D92" s="8">
        <f>D16*Assumptions!$B$214*D83*(1+Assumptions!$B$175)</f>
        <v/>
      </c>
      <c r="E92" s="8">
        <f>E16*Assumptions!$B$214*E83*(1+Assumptions!$B$175)</f>
        <v/>
      </c>
      <c r="F92" s="8">
        <f>F16*Assumptions!$B$214*F83*(1+Assumptions!$B$175)</f>
        <v/>
      </c>
      <c r="G92" s="8">
        <f>G16*Assumptions!$B$214*G83*(1+Assumptions!$B$175)</f>
        <v/>
      </c>
      <c r="H92" s="8">
        <f>H16*Assumptions!$B$214*H83*(1+Assumptions!$B$175)</f>
        <v/>
      </c>
      <c r="I92" s="8">
        <f>I16*Assumptions!$B$214*I83*(1+Assumptions!$B$175)</f>
        <v/>
      </c>
      <c r="J92" s="8">
        <f>J16*Assumptions!$B$214*J83*(1+Assumptions!$B$175)</f>
        <v/>
      </c>
      <c r="K92" s="8">
        <f>K16*Assumptions!$B$214*K83*(1+Assumptions!$B$175)</f>
        <v/>
      </c>
      <c r="L92" s="8">
        <f>L16*Assumptions!$B$214*L83*(1+Assumptions!$B$175)</f>
        <v/>
      </c>
      <c r="M92" s="8">
        <f>M16*Assumptions!$B$214*M83*(1+Assumptions!$B$175)</f>
        <v/>
      </c>
      <c r="N92" s="8">
        <f>N16*Assumptions!$B$214*N83*(1+Assumptions!$B$175)</f>
        <v/>
      </c>
      <c r="O92" s="8">
        <f>O16*Assumptions!$B$214*O83*(1+Assumptions!$B$175)</f>
        <v/>
      </c>
      <c r="P92" s="8">
        <f>P16*Assumptions!$B$214*P83*(1+Assumptions!$B$175)</f>
        <v/>
      </c>
      <c r="Q92" s="8">
        <f>Q16*Assumptions!$B$214*Q83*(1+Assumptions!$B$175)</f>
        <v/>
      </c>
      <c r="R92" s="8">
        <f>R16*Assumptions!$B$214*R83*(1+Assumptions!$B$175)</f>
        <v/>
      </c>
      <c r="S92" s="8">
        <f>S16*Assumptions!$B$214*S83*(1+Assumptions!$B$175)</f>
        <v/>
      </c>
      <c r="T92" s="8">
        <f>T16*Assumptions!$B$214*T83*(1+Assumptions!$B$175)</f>
        <v/>
      </c>
      <c r="U92" s="8">
        <f>U16*Assumptions!$B$214*U83*(1+Assumptions!$B$175)</f>
        <v/>
      </c>
      <c r="V92" s="8">
        <f>V16*Assumptions!$B$214*V83*(1+Assumptions!$B$175)</f>
        <v/>
      </c>
      <c r="W92" s="8">
        <f>W16*Assumptions!$B$214*W83*(1+Assumptions!$B$175)</f>
        <v/>
      </c>
      <c r="X92" s="8">
        <f>X16*Assumptions!$B$214*X83*(1+Assumptions!$B$175)</f>
        <v/>
      </c>
      <c r="Y92" s="8">
        <f>Y16*Assumptions!$B$214*Y83*(1+Assumptions!$B$175)</f>
        <v/>
      </c>
      <c r="Z92" s="8">
        <f>Z16*Assumptions!$B$214*Z83*(1+Assumptions!$B$175)</f>
        <v/>
      </c>
      <c r="AA92" s="8">
        <f>AA16*Assumptions!$B$214*AA83*(1+Assumptions!$B$175)</f>
        <v/>
      </c>
      <c r="AB92" s="8">
        <f>AB16*Assumptions!$B$214*AB83*(1+Assumptions!$B$175)</f>
        <v/>
      </c>
      <c r="AC92" s="8">
        <f>AC16*Assumptions!$B$214*AC83*(1+Assumptions!$B$175)</f>
        <v/>
      </c>
      <c r="AD92" s="8">
        <f>AD16*Assumptions!$B$214*AD83*(1+Assumptions!$B$175)</f>
        <v/>
      </c>
      <c r="AE92" s="8">
        <f>AE16*Assumptions!$B$214*AE83*(1+Assumptions!$B$175)</f>
        <v/>
      </c>
      <c r="AF92" s="8">
        <f>AF16*Assumptions!$B$214*AF83*(1+Assumptions!$B$175)</f>
        <v/>
      </c>
      <c r="AG92" s="8">
        <f>AG16*Assumptions!$B$214*AG83*(1+Assumptions!$B$175)</f>
        <v/>
      </c>
      <c r="AH92" s="8">
        <f>AH16*Assumptions!$B$214*AH83*(1+Assumptions!$B$175)</f>
        <v/>
      </c>
      <c r="AI92" s="8">
        <f>AI16*Assumptions!$B$214*AI83*(1+Assumptions!$B$175)</f>
        <v/>
      </c>
      <c r="AJ92" s="8">
        <f>AJ16*Assumptions!$B$214*AJ83*(1+Assumptions!$B$175)</f>
        <v/>
      </c>
      <c r="AK92" s="8">
        <f>AK16*Assumptions!$B$214*AK83*(1+Assumptions!$B$175)</f>
        <v/>
      </c>
      <c r="AL92" s="8">
        <f>AL16*Assumptions!$B$214*AL83*(1+Assumptions!$B$175)</f>
        <v/>
      </c>
      <c r="AM92" s="8">
        <f>AM16*Assumptions!$B$214*AM83*(1+Assumptions!$B$175)</f>
        <v/>
      </c>
      <c r="AN92" s="8">
        <f>AN16*Assumptions!$B$214*AN83*(1+Assumptions!$B$175)</f>
        <v/>
      </c>
      <c r="AO92" s="8">
        <f>AO16*Assumptions!$B$214*AO83*(1+Assumptions!$B$175)</f>
        <v/>
      </c>
      <c r="AP92" s="8">
        <f>AP16*Assumptions!$B$214*AP83*(1+Assumptions!$B$175)</f>
        <v/>
      </c>
      <c r="AQ92" s="8">
        <f>AQ16*Assumptions!$B$214*AQ83*(1+Assumptions!$B$175)</f>
        <v/>
      </c>
      <c r="AR92" s="8">
        <f>AR16*Assumptions!$B$214*AR83*(1+Assumptions!$B$175)</f>
        <v/>
      </c>
      <c r="AS92" s="8">
        <f>AS16*Assumptions!$B$214*AS83*(1+Assumptions!$B$175)</f>
        <v/>
      </c>
      <c r="AT92" s="8">
        <f>AT16*Assumptions!$B$214*AT83*(1+Assumptions!$B$175)</f>
        <v/>
      </c>
      <c r="AU92" s="8">
        <f>AU16*Assumptions!$B$214*AU83*(1+Assumptions!$B$175)</f>
        <v/>
      </c>
      <c r="AV92" s="8">
        <f>AV16*Assumptions!$B$214*AV83*(1+Assumptions!$B$175)</f>
        <v/>
      </c>
      <c r="AW92" s="8">
        <f>AW16*Assumptions!$B$214*AW83*(1+Assumptions!$B$175)</f>
        <v/>
      </c>
      <c r="AX92" s="8">
        <f>AX16*Assumptions!$B$214*AX83*(1+Assumptions!$B$175)</f>
        <v/>
      </c>
      <c r="AY92" s="8">
        <f>AY16*Assumptions!$B$214*AY83*(1+Assumptions!$B$175)</f>
        <v/>
      </c>
      <c r="AZ92" s="8">
        <f>AZ16*Assumptions!$B$214*AZ83*(1+Assumptions!$B$175)</f>
        <v/>
      </c>
      <c r="BA92" s="8">
        <f>BA16*Assumptions!$B$214*BA83*(1+Assumptions!$B$175)</f>
        <v/>
      </c>
      <c r="BB92" s="8">
        <f>BB16*Assumptions!$B$214*BB83*(1+Assumptions!$B$175)</f>
        <v/>
      </c>
      <c r="BC92" s="8">
        <f>BC16*Assumptions!$B$214*BC83*(1+Assumptions!$B$175)</f>
        <v/>
      </c>
      <c r="BD92" s="8">
        <f>BD16*Assumptions!$B$214*BD83*(1+Assumptions!$B$175)</f>
        <v/>
      </c>
      <c r="BE92" s="8">
        <f>BE16*Assumptions!$B$214*BE83*(1+Assumptions!$B$175)</f>
        <v/>
      </c>
      <c r="BF92" s="8">
        <f>BF16*Assumptions!$B$214*BF83*(1+Assumptions!$B$175)</f>
        <v/>
      </c>
      <c r="BG92" s="8">
        <f>BG16*Assumptions!$B$214*BG83*(1+Assumptions!$B$175)</f>
        <v/>
      </c>
      <c r="BH92" s="8">
        <f>BH16*Assumptions!$B$214*BH83*(1+Assumptions!$B$175)</f>
        <v/>
      </c>
      <c r="BI92" s="8">
        <f>BI16*Assumptions!$B$214*BI83*(1+Assumptions!$B$175)</f>
        <v/>
      </c>
      <c r="BJ92" s="8">
        <f>BJ16*Assumptions!$B$214*BJ83*(1+Assumptions!$B$175)</f>
        <v/>
      </c>
    </row>
    <row r="93">
      <c r="A93" s="4" t="inlineStr">
        <is>
          <t>Security &amp; compliance engineer</t>
        </is>
      </c>
      <c r="B93" s="17" t="inlineStr">
        <is>
          <t>R</t>
        </is>
      </c>
      <c r="C93" s="8">
        <f>C17*Assumptions!$B$215*C83*(1+Assumptions!$B$175)</f>
        <v/>
      </c>
      <c r="D93" s="8">
        <f>D17*Assumptions!$B$215*D83*(1+Assumptions!$B$175)</f>
        <v/>
      </c>
      <c r="E93" s="8">
        <f>E17*Assumptions!$B$215*E83*(1+Assumptions!$B$175)</f>
        <v/>
      </c>
      <c r="F93" s="8">
        <f>F17*Assumptions!$B$215*F83*(1+Assumptions!$B$175)</f>
        <v/>
      </c>
      <c r="G93" s="8">
        <f>G17*Assumptions!$B$215*G83*(1+Assumptions!$B$175)</f>
        <v/>
      </c>
      <c r="H93" s="8">
        <f>H17*Assumptions!$B$215*H83*(1+Assumptions!$B$175)</f>
        <v/>
      </c>
      <c r="I93" s="8">
        <f>I17*Assumptions!$B$215*I83*(1+Assumptions!$B$175)</f>
        <v/>
      </c>
      <c r="J93" s="8">
        <f>J17*Assumptions!$B$215*J83*(1+Assumptions!$B$175)</f>
        <v/>
      </c>
      <c r="K93" s="8">
        <f>K17*Assumptions!$B$215*K83*(1+Assumptions!$B$175)</f>
        <v/>
      </c>
      <c r="L93" s="8">
        <f>L17*Assumptions!$B$215*L83*(1+Assumptions!$B$175)</f>
        <v/>
      </c>
      <c r="M93" s="8">
        <f>M17*Assumptions!$B$215*M83*(1+Assumptions!$B$175)</f>
        <v/>
      </c>
      <c r="N93" s="8">
        <f>N17*Assumptions!$B$215*N83*(1+Assumptions!$B$175)</f>
        <v/>
      </c>
      <c r="O93" s="8">
        <f>O17*Assumptions!$B$215*O83*(1+Assumptions!$B$175)</f>
        <v/>
      </c>
      <c r="P93" s="8">
        <f>P17*Assumptions!$B$215*P83*(1+Assumptions!$B$175)</f>
        <v/>
      </c>
      <c r="Q93" s="8">
        <f>Q17*Assumptions!$B$215*Q83*(1+Assumptions!$B$175)</f>
        <v/>
      </c>
      <c r="R93" s="8">
        <f>R17*Assumptions!$B$215*R83*(1+Assumptions!$B$175)</f>
        <v/>
      </c>
      <c r="S93" s="8">
        <f>S17*Assumptions!$B$215*S83*(1+Assumptions!$B$175)</f>
        <v/>
      </c>
      <c r="T93" s="8">
        <f>T17*Assumptions!$B$215*T83*(1+Assumptions!$B$175)</f>
        <v/>
      </c>
      <c r="U93" s="8">
        <f>U17*Assumptions!$B$215*U83*(1+Assumptions!$B$175)</f>
        <v/>
      </c>
      <c r="V93" s="8">
        <f>V17*Assumptions!$B$215*V83*(1+Assumptions!$B$175)</f>
        <v/>
      </c>
      <c r="W93" s="8">
        <f>W17*Assumptions!$B$215*W83*(1+Assumptions!$B$175)</f>
        <v/>
      </c>
      <c r="X93" s="8">
        <f>X17*Assumptions!$B$215*X83*(1+Assumptions!$B$175)</f>
        <v/>
      </c>
      <c r="Y93" s="8">
        <f>Y17*Assumptions!$B$215*Y83*(1+Assumptions!$B$175)</f>
        <v/>
      </c>
      <c r="Z93" s="8">
        <f>Z17*Assumptions!$B$215*Z83*(1+Assumptions!$B$175)</f>
        <v/>
      </c>
      <c r="AA93" s="8">
        <f>AA17*Assumptions!$B$215*AA83*(1+Assumptions!$B$175)</f>
        <v/>
      </c>
      <c r="AB93" s="8">
        <f>AB17*Assumptions!$B$215*AB83*(1+Assumptions!$B$175)</f>
        <v/>
      </c>
      <c r="AC93" s="8">
        <f>AC17*Assumptions!$B$215*AC83*(1+Assumptions!$B$175)</f>
        <v/>
      </c>
      <c r="AD93" s="8">
        <f>AD17*Assumptions!$B$215*AD83*(1+Assumptions!$B$175)</f>
        <v/>
      </c>
      <c r="AE93" s="8">
        <f>AE17*Assumptions!$B$215*AE83*(1+Assumptions!$B$175)</f>
        <v/>
      </c>
      <c r="AF93" s="8">
        <f>AF17*Assumptions!$B$215*AF83*(1+Assumptions!$B$175)</f>
        <v/>
      </c>
      <c r="AG93" s="8">
        <f>AG17*Assumptions!$B$215*AG83*(1+Assumptions!$B$175)</f>
        <v/>
      </c>
      <c r="AH93" s="8">
        <f>AH17*Assumptions!$B$215*AH83*(1+Assumptions!$B$175)</f>
        <v/>
      </c>
      <c r="AI93" s="8">
        <f>AI17*Assumptions!$B$215*AI83*(1+Assumptions!$B$175)</f>
        <v/>
      </c>
      <c r="AJ93" s="8">
        <f>AJ17*Assumptions!$B$215*AJ83*(1+Assumptions!$B$175)</f>
        <v/>
      </c>
      <c r="AK93" s="8">
        <f>AK17*Assumptions!$B$215*AK83*(1+Assumptions!$B$175)</f>
        <v/>
      </c>
      <c r="AL93" s="8">
        <f>AL17*Assumptions!$B$215*AL83*(1+Assumptions!$B$175)</f>
        <v/>
      </c>
      <c r="AM93" s="8">
        <f>AM17*Assumptions!$B$215*AM83*(1+Assumptions!$B$175)</f>
        <v/>
      </c>
      <c r="AN93" s="8">
        <f>AN17*Assumptions!$B$215*AN83*(1+Assumptions!$B$175)</f>
        <v/>
      </c>
      <c r="AO93" s="8">
        <f>AO17*Assumptions!$B$215*AO83*(1+Assumptions!$B$175)</f>
        <v/>
      </c>
      <c r="AP93" s="8">
        <f>AP17*Assumptions!$B$215*AP83*(1+Assumptions!$B$175)</f>
        <v/>
      </c>
      <c r="AQ93" s="8">
        <f>AQ17*Assumptions!$B$215*AQ83*(1+Assumptions!$B$175)</f>
        <v/>
      </c>
      <c r="AR93" s="8">
        <f>AR17*Assumptions!$B$215*AR83*(1+Assumptions!$B$175)</f>
        <v/>
      </c>
      <c r="AS93" s="8">
        <f>AS17*Assumptions!$B$215*AS83*(1+Assumptions!$B$175)</f>
        <v/>
      </c>
      <c r="AT93" s="8">
        <f>AT17*Assumptions!$B$215*AT83*(1+Assumptions!$B$175)</f>
        <v/>
      </c>
      <c r="AU93" s="8">
        <f>AU17*Assumptions!$B$215*AU83*(1+Assumptions!$B$175)</f>
        <v/>
      </c>
      <c r="AV93" s="8">
        <f>AV17*Assumptions!$B$215*AV83*(1+Assumptions!$B$175)</f>
        <v/>
      </c>
      <c r="AW93" s="8">
        <f>AW17*Assumptions!$B$215*AW83*(1+Assumptions!$B$175)</f>
        <v/>
      </c>
      <c r="AX93" s="8">
        <f>AX17*Assumptions!$B$215*AX83*(1+Assumptions!$B$175)</f>
        <v/>
      </c>
      <c r="AY93" s="8">
        <f>AY17*Assumptions!$B$215*AY83*(1+Assumptions!$B$175)</f>
        <v/>
      </c>
      <c r="AZ93" s="8">
        <f>AZ17*Assumptions!$B$215*AZ83*(1+Assumptions!$B$175)</f>
        <v/>
      </c>
      <c r="BA93" s="8">
        <f>BA17*Assumptions!$B$215*BA83*(1+Assumptions!$B$175)</f>
        <v/>
      </c>
      <c r="BB93" s="8">
        <f>BB17*Assumptions!$B$215*BB83*(1+Assumptions!$B$175)</f>
        <v/>
      </c>
      <c r="BC93" s="8">
        <f>BC17*Assumptions!$B$215*BC83*(1+Assumptions!$B$175)</f>
        <v/>
      </c>
      <c r="BD93" s="8">
        <f>BD17*Assumptions!$B$215*BD83*(1+Assumptions!$B$175)</f>
        <v/>
      </c>
      <c r="BE93" s="8">
        <f>BE17*Assumptions!$B$215*BE83*(1+Assumptions!$B$175)</f>
        <v/>
      </c>
      <c r="BF93" s="8">
        <f>BF17*Assumptions!$B$215*BF83*(1+Assumptions!$B$175)</f>
        <v/>
      </c>
      <c r="BG93" s="8">
        <f>BG17*Assumptions!$B$215*BG83*(1+Assumptions!$B$175)</f>
        <v/>
      </c>
      <c r="BH93" s="8">
        <f>BH17*Assumptions!$B$215*BH83*(1+Assumptions!$B$175)</f>
        <v/>
      </c>
      <c r="BI93" s="8">
        <f>BI17*Assumptions!$B$215*BI83*(1+Assumptions!$B$175)</f>
        <v/>
      </c>
      <c r="BJ93" s="8">
        <f>BJ17*Assumptions!$B$215*BJ83*(1+Assumptions!$B$175)</f>
        <v/>
      </c>
    </row>
    <row r="94">
      <c r="A94" s="4" t="inlineStr">
        <is>
          <t>Payments &amp; data engineers</t>
        </is>
      </c>
      <c r="B94" s="17" t="inlineStr">
        <is>
          <t>R</t>
        </is>
      </c>
      <c r="C94" s="8">
        <f>C18*Assumptions!$B$216*C83*(1+Assumptions!$B$175)</f>
        <v/>
      </c>
      <c r="D94" s="8">
        <f>D18*Assumptions!$B$216*D83*(1+Assumptions!$B$175)</f>
        <v/>
      </c>
      <c r="E94" s="8">
        <f>E18*Assumptions!$B$216*E83*(1+Assumptions!$B$175)</f>
        <v/>
      </c>
      <c r="F94" s="8">
        <f>F18*Assumptions!$B$216*F83*(1+Assumptions!$B$175)</f>
        <v/>
      </c>
      <c r="G94" s="8">
        <f>G18*Assumptions!$B$216*G83*(1+Assumptions!$B$175)</f>
        <v/>
      </c>
      <c r="H94" s="8">
        <f>H18*Assumptions!$B$216*H83*(1+Assumptions!$B$175)</f>
        <v/>
      </c>
      <c r="I94" s="8">
        <f>I18*Assumptions!$B$216*I83*(1+Assumptions!$B$175)</f>
        <v/>
      </c>
      <c r="J94" s="8">
        <f>J18*Assumptions!$B$216*J83*(1+Assumptions!$B$175)</f>
        <v/>
      </c>
      <c r="K94" s="8">
        <f>K18*Assumptions!$B$216*K83*(1+Assumptions!$B$175)</f>
        <v/>
      </c>
      <c r="L94" s="8">
        <f>L18*Assumptions!$B$216*L83*(1+Assumptions!$B$175)</f>
        <v/>
      </c>
      <c r="M94" s="8">
        <f>M18*Assumptions!$B$216*M83*(1+Assumptions!$B$175)</f>
        <v/>
      </c>
      <c r="N94" s="8">
        <f>N18*Assumptions!$B$216*N83*(1+Assumptions!$B$175)</f>
        <v/>
      </c>
      <c r="O94" s="8">
        <f>O18*Assumptions!$B$216*O83*(1+Assumptions!$B$175)</f>
        <v/>
      </c>
      <c r="P94" s="8">
        <f>P18*Assumptions!$B$216*P83*(1+Assumptions!$B$175)</f>
        <v/>
      </c>
      <c r="Q94" s="8">
        <f>Q18*Assumptions!$B$216*Q83*(1+Assumptions!$B$175)</f>
        <v/>
      </c>
      <c r="R94" s="8">
        <f>R18*Assumptions!$B$216*R83*(1+Assumptions!$B$175)</f>
        <v/>
      </c>
      <c r="S94" s="8">
        <f>S18*Assumptions!$B$216*S83*(1+Assumptions!$B$175)</f>
        <v/>
      </c>
      <c r="T94" s="8">
        <f>T18*Assumptions!$B$216*T83*(1+Assumptions!$B$175)</f>
        <v/>
      </c>
      <c r="U94" s="8">
        <f>U18*Assumptions!$B$216*U83*(1+Assumptions!$B$175)</f>
        <v/>
      </c>
      <c r="V94" s="8">
        <f>V18*Assumptions!$B$216*V83*(1+Assumptions!$B$175)</f>
        <v/>
      </c>
      <c r="W94" s="8">
        <f>W18*Assumptions!$B$216*W83*(1+Assumptions!$B$175)</f>
        <v/>
      </c>
      <c r="X94" s="8">
        <f>X18*Assumptions!$B$216*X83*(1+Assumptions!$B$175)</f>
        <v/>
      </c>
      <c r="Y94" s="8">
        <f>Y18*Assumptions!$B$216*Y83*(1+Assumptions!$B$175)</f>
        <v/>
      </c>
      <c r="Z94" s="8">
        <f>Z18*Assumptions!$B$216*Z83*(1+Assumptions!$B$175)</f>
        <v/>
      </c>
      <c r="AA94" s="8">
        <f>AA18*Assumptions!$B$216*AA83*(1+Assumptions!$B$175)</f>
        <v/>
      </c>
      <c r="AB94" s="8">
        <f>AB18*Assumptions!$B$216*AB83*(1+Assumptions!$B$175)</f>
        <v/>
      </c>
      <c r="AC94" s="8">
        <f>AC18*Assumptions!$B$216*AC83*(1+Assumptions!$B$175)</f>
        <v/>
      </c>
      <c r="AD94" s="8">
        <f>AD18*Assumptions!$B$216*AD83*(1+Assumptions!$B$175)</f>
        <v/>
      </c>
      <c r="AE94" s="8">
        <f>AE18*Assumptions!$B$216*AE83*(1+Assumptions!$B$175)</f>
        <v/>
      </c>
      <c r="AF94" s="8">
        <f>AF18*Assumptions!$B$216*AF83*(1+Assumptions!$B$175)</f>
        <v/>
      </c>
      <c r="AG94" s="8">
        <f>AG18*Assumptions!$B$216*AG83*(1+Assumptions!$B$175)</f>
        <v/>
      </c>
      <c r="AH94" s="8">
        <f>AH18*Assumptions!$B$216*AH83*(1+Assumptions!$B$175)</f>
        <v/>
      </c>
      <c r="AI94" s="8">
        <f>AI18*Assumptions!$B$216*AI83*(1+Assumptions!$B$175)</f>
        <v/>
      </c>
      <c r="AJ94" s="8">
        <f>AJ18*Assumptions!$B$216*AJ83*(1+Assumptions!$B$175)</f>
        <v/>
      </c>
      <c r="AK94" s="8">
        <f>AK18*Assumptions!$B$216*AK83*(1+Assumptions!$B$175)</f>
        <v/>
      </c>
      <c r="AL94" s="8">
        <f>AL18*Assumptions!$B$216*AL83*(1+Assumptions!$B$175)</f>
        <v/>
      </c>
      <c r="AM94" s="8">
        <f>AM18*Assumptions!$B$216*AM83*(1+Assumptions!$B$175)</f>
        <v/>
      </c>
      <c r="AN94" s="8">
        <f>AN18*Assumptions!$B$216*AN83*(1+Assumptions!$B$175)</f>
        <v/>
      </c>
      <c r="AO94" s="8">
        <f>AO18*Assumptions!$B$216*AO83*(1+Assumptions!$B$175)</f>
        <v/>
      </c>
      <c r="AP94" s="8">
        <f>AP18*Assumptions!$B$216*AP83*(1+Assumptions!$B$175)</f>
        <v/>
      </c>
      <c r="AQ94" s="8">
        <f>AQ18*Assumptions!$B$216*AQ83*(1+Assumptions!$B$175)</f>
        <v/>
      </c>
      <c r="AR94" s="8">
        <f>AR18*Assumptions!$B$216*AR83*(1+Assumptions!$B$175)</f>
        <v/>
      </c>
      <c r="AS94" s="8">
        <f>AS18*Assumptions!$B$216*AS83*(1+Assumptions!$B$175)</f>
        <v/>
      </c>
      <c r="AT94" s="8">
        <f>AT18*Assumptions!$B$216*AT83*(1+Assumptions!$B$175)</f>
        <v/>
      </c>
      <c r="AU94" s="8">
        <f>AU18*Assumptions!$B$216*AU83*(1+Assumptions!$B$175)</f>
        <v/>
      </c>
      <c r="AV94" s="8">
        <f>AV18*Assumptions!$B$216*AV83*(1+Assumptions!$B$175)</f>
        <v/>
      </c>
      <c r="AW94" s="8">
        <f>AW18*Assumptions!$B$216*AW83*(1+Assumptions!$B$175)</f>
        <v/>
      </c>
      <c r="AX94" s="8">
        <f>AX18*Assumptions!$B$216*AX83*(1+Assumptions!$B$175)</f>
        <v/>
      </c>
      <c r="AY94" s="8">
        <f>AY18*Assumptions!$B$216*AY83*(1+Assumptions!$B$175)</f>
        <v/>
      </c>
      <c r="AZ94" s="8">
        <f>AZ18*Assumptions!$B$216*AZ83*(1+Assumptions!$B$175)</f>
        <v/>
      </c>
      <c r="BA94" s="8">
        <f>BA18*Assumptions!$B$216*BA83*(1+Assumptions!$B$175)</f>
        <v/>
      </c>
      <c r="BB94" s="8">
        <f>BB18*Assumptions!$B$216*BB83*(1+Assumptions!$B$175)</f>
        <v/>
      </c>
      <c r="BC94" s="8">
        <f>BC18*Assumptions!$B$216*BC83*(1+Assumptions!$B$175)</f>
        <v/>
      </c>
      <c r="BD94" s="8">
        <f>BD18*Assumptions!$B$216*BD83*(1+Assumptions!$B$175)</f>
        <v/>
      </c>
      <c r="BE94" s="8">
        <f>BE18*Assumptions!$B$216*BE83*(1+Assumptions!$B$175)</f>
        <v/>
      </c>
      <c r="BF94" s="8">
        <f>BF18*Assumptions!$B$216*BF83*(1+Assumptions!$B$175)</f>
        <v/>
      </c>
      <c r="BG94" s="8">
        <f>BG18*Assumptions!$B$216*BG83*(1+Assumptions!$B$175)</f>
        <v/>
      </c>
      <c r="BH94" s="8">
        <f>BH18*Assumptions!$B$216*BH83*(1+Assumptions!$B$175)</f>
        <v/>
      </c>
      <c r="BI94" s="8">
        <f>BI18*Assumptions!$B$216*BI83*(1+Assumptions!$B$175)</f>
        <v/>
      </c>
      <c r="BJ94" s="8">
        <f>BJ18*Assumptions!$B$216*BJ83*(1+Assumptions!$B$175)</f>
        <v/>
      </c>
    </row>
    <row r="95">
      <c r="A95" s="4" t="inlineStr">
        <is>
          <t>Engineers (scale-up I)</t>
        </is>
      </c>
      <c r="B95" s="17" t="inlineStr">
        <is>
          <t>R</t>
        </is>
      </c>
      <c r="C95" s="8">
        <f>C19*Assumptions!$B$217*C83*(1+Assumptions!$B$175)</f>
        <v/>
      </c>
      <c r="D95" s="8">
        <f>D19*Assumptions!$B$217*D83*(1+Assumptions!$B$175)</f>
        <v/>
      </c>
      <c r="E95" s="8">
        <f>E19*Assumptions!$B$217*E83*(1+Assumptions!$B$175)</f>
        <v/>
      </c>
      <c r="F95" s="8">
        <f>F19*Assumptions!$B$217*F83*(1+Assumptions!$B$175)</f>
        <v/>
      </c>
      <c r="G95" s="8">
        <f>G19*Assumptions!$B$217*G83*(1+Assumptions!$B$175)</f>
        <v/>
      </c>
      <c r="H95" s="8">
        <f>H19*Assumptions!$B$217*H83*(1+Assumptions!$B$175)</f>
        <v/>
      </c>
      <c r="I95" s="8">
        <f>I19*Assumptions!$B$217*I83*(1+Assumptions!$B$175)</f>
        <v/>
      </c>
      <c r="J95" s="8">
        <f>J19*Assumptions!$B$217*J83*(1+Assumptions!$B$175)</f>
        <v/>
      </c>
      <c r="K95" s="8">
        <f>K19*Assumptions!$B$217*K83*(1+Assumptions!$B$175)</f>
        <v/>
      </c>
      <c r="L95" s="8">
        <f>L19*Assumptions!$B$217*L83*(1+Assumptions!$B$175)</f>
        <v/>
      </c>
      <c r="M95" s="8">
        <f>M19*Assumptions!$B$217*M83*(1+Assumptions!$B$175)</f>
        <v/>
      </c>
      <c r="N95" s="8">
        <f>N19*Assumptions!$B$217*N83*(1+Assumptions!$B$175)</f>
        <v/>
      </c>
      <c r="O95" s="8">
        <f>O19*Assumptions!$B$217*O83*(1+Assumptions!$B$175)</f>
        <v/>
      </c>
      <c r="P95" s="8">
        <f>P19*Assumptions!$B$217*P83*(1+Assumptions!$B$175)</f>
        <v/>
      </c>
      <c r="Q95" s="8">
        <f>Q19*Assumptions!$B$217*Q83*(1+Assumptions!$B$175)</f>
        <v/>
      </c>
      <c r="R95" s="8">
        <f>R19*Assumptions!$B$217*R83*(1+Assumptions!$B$175)</f>
        <v/>
      </c>
      <c r="S95" s="8">
        <f>S19*Assumptions!$B$217*S83*(1+Assumptions!$B$175)</f>
        <v/>
      </c>
      <c r="T95" s="8">
        <f>T19*Assumptions!$B$217*T83*(1+Assumptions!$B$175)</f>
        <v/>
      </c>
      <c r="U95" s="8">
        <f>U19*Assumptions!$B$217*U83*(1+Assumptions!$B$175)</f>
        <v/>
      </c>
      <c r="V95" s="8">
        <f>V19*Assumptions!$B$217*V83*(1+Assumptions!$B$175)</f>
        <v/>
      </c>
      <c r="W95" s="8">
        <f>W19*Assumptions!$B$217*W83*(1+Assumptions!$B$175)</f>
        <v/>
      </c>
      <c r="X95" s="8">
        <f>X19*Assumptions!$B$217*X83*(1+Assumptions!$B$175)</f>
        <v/>
      </c>
      <c r="Y95" s="8">
        <f>Y19*Assumptions!$B$217*Y83*(1+Assumptions!$B$175)</f>
        <v/>
      </c>
      <c r="Z95" s="8">
        <f>Z19*Assumptions!$B$217*Z83*(1+Assumptions!$B$175)</f>
        <v/>
      </c>
      <c r="AA95" s="8">
        <f>AA19*Assumptions!$B$217*AA83*(1+Assumptions!$B$175)</f>
        <v/>
      </c>
      <c r="AB95" s="8">
        <f>AB19*Assumptions!$B$217*AB83*(1+Assumptions!$B$175)</f>
        <v/>
      </c>
      <c r="AC95" s="8">
        <f>AC19*Assumptions!$B$217*AC83*(1+Assumptions!$B$175)</f>
        <v/>
      </c>
      <c r="AD95" s="8">
        <f>AD19*Assumptions!$B$217*AD83*(1+Assumptions!$B$175)</f>
        <v/>
      </c>
      <c r="AE95" s="8">
        <f>AE19*Assumptions!$B$217*AE83*(1+Assumptions!$B$175)</f>
        <v/>
      </c>
      <c r="AF95" s="8">
        <f>AF19*Assumptions!$B$217*AF83*(1+Assumptions!$B$175)</f>
        <v/>
      </c>
      <c r="AG95" s="8">
        <f>AG19*Assumptions!$B$217*AG83*(1+Assumptions!$B$175)</f>
        <v/>
      </c>
      <c r="AH95" s="8">
        <f>AH19*Assumptions!$B$217*AH83*(1+Assumptions!$B$175)</f>
        <v/>
      </c>
      <c r="AI95" s="8">
        <f>AI19*Assumptions!$B$217*AI83*(1+Assumptions!$B$175)</f>
        <v/>
      </c>
      <c r="AJ95" s="8">
        <f>AJ19*Assumptions!$B$217*AJ83*(1+Assumptions!$B$175)</f>
        <v/>
      </c>
      <c r="AK95" s="8">
        <f>AK19*Assumptions!$B$217*AK83*(1+Assumptions!$B$175)</f>
        <v/>
      </c>
      <c r="AL95" s="8">
        <f>AL19*Assumptions!$B$217*AL83*(1+Assumptions!$B$175)</f>
        <v/>
      </c>
      <c r="AM95" s="8">
        <f>AM19*Assumptions!$B$217*AM83*(1+Assumptions!$B$175)</f>
        <v/>
      </c>
      <c r="AN95" s="8">
        <f>AN19*Assumptions!$B$217*AN83*(1+Assumptions!$B$175)</f>
        <v/>
      </c>
      <c r="AO95" s="8">
        <f>AO19*Assumptions!$B$217*AO83*(1+Assumptions!$B$175)</f>
        <v/>
      </c>
      <c r="AP95" s="8">
        <f>AP19*Assumptions!$B$217*AP83*(1+Assumptions!$B$175)</f>
        <v/>
      </c>
      <c r="AQ95" s="8">
        <f>AQ19*Assumptions!$B$217*AQ83*(1+Assumptions!$B$175)</f>
        <v/>
      </c>
      <c r="AR95" s="8">
        <f>AR19*Assumptions!$B$217*AR83*(1+Assumptions!$B$175)</f>
        <v/>
      </c>
      <c r="AS95" s="8">
        <f>AS19*Assumptions!$B$217*AS83*(1+Assumptions!$B$175)</f>
        <v/>
      </c>
      <c r="AT95" s="8">
        <f>AT19*Assumptions!$B$217*AT83*(1+Assumptions!$B$175)</f>
        <v/>
      </c>
      <c r="AU95" s="8">
        <f>AU19*Assumptions!$B$217*AU83*(1+Assumptions!$B$175)</f>
        <v/>
      </c>
      <c r="AV95" s="8">
        <f>AV19*Assumptions!$B$217*AV83*(1+Assumptions!$B$175)</f>
        <v/>
      </c>
      <c r="AW95" s="8">
        <f>AW19*Assumptions!$B$217*AW83*(1+Assumptions!$B$175)</f>
        <v/>
      </c>
      <c r="AX95" s="8">
        <f>AX19*Assumptions!$B$217*AX83*(1+Assumptions!$B$175)</f>
        <v/>
      </c>
      <c r="AY95" s="8">
        <f>AY19*Assumptions!$B$217*AY83*(1+Assumptions!$B$175)</f>
        <v/>
      </c>
      <c r="AZ95" s="8">
        <f>AZ19*Assumptions!$B$217*AZ83*(1+Assumptions!$B$175)</f>
        <v/>
      </c>
      <c r="BA95" s="8">
        <f>BA19*Assumptions!$B$217*BA83*(1+Assumptions!$B$175)</f>
        <v/>
      </c>
      <c r="BB95" s="8">
        <f>BB19*Assumptions!$B$217*BB83*(1+Assumptions!$B$175)</f>
        <v/>
      </c>
      <c r="BC95" s="8">
        <f>BC19*Assumptions!$B$217*BC83*(1+Assumptions!$B$175)</f>
        <v/>
      </c>
      <c r="BD95" s="8">
        <f>BD19*Assumptions!$B$217*BD83*(1+Assumptions!$B$175)</f>
        <v/>
      </c>
      <c r="BE95" s="8">
        <f>BE19*Assumptions!$B$217*BE83*(1+Assumptions!$B$175)</f>
        <v/>
      </c>
      <c r="BF95" s="8">
        <f>BF19*Assumptions!$B$217*BF83*(1+Assumptions!$B$175)</f>
        <v/>
      </c>
      <c r="BG95" s="8">
        <f>BG19*Assumptions!$B$217*BG83*(1+Assumptions!$B$175)</f>
        <v/>
      </c>
      <c r="BH95" s="8">
        <f>BH19*Assumptions!$B$217*BH83*(1+Assumptions!$B$175)</f>
        <v/>
      </c>
      <c r="BI95" s="8">
        <f>BI19*Assumptions!$B$217*BI83*(1+Assumptions!$B$175)</f>
        <v/>
      </c>
      <c r="BJ95" s="8">
        <f>BJ19*Assumptions!$B$217*BJ83*(1+Assumptions!$B$175)</f>
        <v/>
      </c>
    </row>
    <row r="96">
      <c r="A96" s="4" t="inlineStr">
        <is>
          <t>VP Engineering</t>
        </is>
      </c>
      <c r="B96" s="17" t="inlineStr">
        <is>
          <t>R</t>
        </is>
      </c>
      <c r="C96" s="8">
        <f>C20*Assumptions!$B$218*C83*(1+Assumptions!$B$175)</f>
        <v/>
      </c>
      <c r="D96" s="8">
        <f>D20*Assumptions!$B$218*D83*(1+Assumptions!$B$175)</f>
        <v/>
      </c>
      <c r="E96" s="8">
        <f>E20*Assumptions!$B$218*E83*(1+Assumptions!$B$175)</f>
        <v/>
      </c>
      <c r="F96" s="8">
        <f>F20*Assumptions!$B$218*F83*(1+Assumptions!$B$175)</f>
        <v/>
      </c>
      <c r="G96" s="8">
        <f>G20*Assumptions!$B$218*G83*(1+Assumptions!$B$175)</f>
        <v/>
      </c>
      <c r="H96" s="8">
        <f>H20*Assumptions!$B$218*H83*(1+Assumptions!$B$175)</f>
        <v/>
      </c>
      <c r="I96" s="8">
        <f>I20*Assumptions!$B$218*I83*(1+Assumptions!$B$175)</f>
        <v/>
      </c>
      <c r="J96" s="8">
        <f>J20*Assumptions!$B$218*J83*(1+Assumptions!$B$175)</f>
        <v/>
      </c>
      <c r="K96" s="8">
        <f>K20*Assumptions!$B$218*K83*(1+Assumptions!$B$175)</f>
        <v/>
      </c>
      <c r="L96" s="8">
        <f>L20*Assumptions!$B$218*L83*(1+Assumptions!$B$175)</f>
        <v/>
      </c>
      <c r="M96" s="8">
        <f>M20*Assumptions!$B$218*M83*(1+Assumptions!$B$175)</f>
        <v/>
      </c>
      <c r="N96" s="8">
        <f>N20*Assumptions!$B$218*N83*(1+Assumptions!$B$175)</f>
        <v/>
      </c>
      <c r="O96" s="8">
        <f>O20*Assumptions!$B$218*O83*(1+Assumptions!$B$175)</f>
        <v/>
      </c>
      <c r="P96" s="8">
        <f>P20*Assumptions!$B$218*P83*(1+Assumptions!$B$175)</f>
        <v/>
      </c>
      <c r="Q96" s="8">
        <f>Q20*Assumptions!$B$218*Q83*(1+Assumptions!$B$175)</f>
        <v/>
      </c>
      <c r="R96" s="8">
        <f>R20*Assumptions!$B$218*R83*(1+Assumptions!$B$175)</f>
        <v/>
      </c>
      <c r="S96" s="8">
        <f>S20*Assumptions!$B$218*S83*(1+Assumptions!$B$175)</f>
        <v/>
      </c>
      <c r="T96" s="8">
        <f>T20*Assumptions!$B$218*T83*(1+Assumptions!$B$175)</f>
        <v/>
      </c>
      <c r="U96" s="8">
        <f>U20*Assumptions!$B$218*U83*(1+Assumptions!$B$175)</f>
        <v/>
      </c>
      <c r="V96" s="8">
        <f>V20*Assumptions!$B$218*V83*(1+Assumptions!$B$175)</f>
        <v/>
      </c>
      <c r="W96" s="8">
        <f>W20*Assumptions!$B$218*W83*(1+Assumptions!$B$175)</f>
        <v/>
      </c>
      <c r="X96" s="8">
        <f>X20*Assumptions!$B$218*X83*(1+Assumptions!$B$175)</f>
        <v/>
      </c>
      <c r="Y96" s="8">
        <f>Y20*Assumptions!$B$218*Y83*(1+Assumptions!$B$175)</f>
        <v/>
      </c>
      <c r="Z96" s="8">
        <f>Z20*Assumptions!$B$218*Z83*(1+Assumptions!$B$175)</f>
        <v/>
      </c>
      <c r="AA96" s="8">
        <f>AA20*Assumptions!$B$218*AA83*(1+Assumptions!$B$175)</f>
        <v/>
      </c>
      <c r="AB96" s="8">
        <f>AB20*Assumptions!$B$218*AB83*(1+Assumptions!$B$175)</f>
        <v/>
      </c>
      <c r="AC96" s="8">
        <f>AC20*Assumptions!$B$218*AC83*(1+Assumptions!$B$175)</f>
        <v/>
      </c>
      <c r="AD96" s="8">
        <f>AD20*Assumptions!$B$218*AD83*(1+Assumptions!$B$175)</f>
        <v/>
      </c>
      <c r="AE96" s="8">
        <f>AE20*Assumptions!$B$218*AE83*(1+Assumptions!$B$175)</f>
        <v/>
      </c>
      <c r="AF96" s="8">
        <f>AF20*Assumptions!$B$218*AF83*(1+Assumptions!$B$175)</f>
        <v/>
      </c>
      <c r="AG96" s="8">
        <f>AG20*Assumptions!$B$218*AG83*(1+Assumptions!$B$175)</f>
        <v/>
      </c>
      <c r="AH96" s="8">
        <f>AH20*Assumptions!$B$218*AH83*(1+Assumptions!$B$175)</f>
        <v/>
      </c>
      <c r="AI96" s="8">
        <f>AI20*Assumptions!$B$218*AI83*(1+Assumptions!$B$175)</f>
        <v/>
      </c>
      <c r="AJ96" s="8">
        <f>AJ20*Assumptions!$B$218*AJ83*(1+Assumptions!$B$175)</f>
        <v/>
      </c>
      <c r="AK96" s="8">
        <f>AK20*Assumptions!$B$218*AK83*(1+Assumptions!$B$175)</f>
        <v/>
      </c>
      <c r="AL96" s="8">
        <f>AL20*Assumptions!$B$218*AL83*(1+Assumptions!$B$175)</f>
        <v/>
      </c>
      <c r="AM96" s="8">
        <f>AM20*Assumptions!$B$218*AM83*(1+Assumptions!$B$175)</f>
        <v/>
      </c>
      <c r="AN96" s="8">
        <f>AN20*Assumptions!$B$218*AN83*(1+Assumptions!$B$175)</f>
        <v/>
      </c>
      <c r="AO96" s="8">
        <f>AO20*Assumptions!$B$218*AO83*(1+Assumptions!$B$175)</f>
        <v/>
      </c>
      <c r="AP96" s="8">
        <f>AP20*Assumptions!$B$218*AP83*(1+Assumptions!$B$175)</f>
        <v/>
      </c>
      <c r="AQ96" s="8">
        <f>AQ20*Assumptions!$B$218*AQ83*(1+Assumptions!$B$175)</f>
        <v/>
      </c>
      <c r="AR96" s="8">
        <f>AR20*Assumptions!$B$218*AR83*(1+Assumptions!$B$175)</f>
        <v/>
      </c>
      <c r="AS96" s="8">
        <f>AS20*Assumptions!$B$218*AS83*(1+Assumptions!$B$175)</f>
        <v/>
      </c>
      <c r="AT96" s="8">
        <f>AT20*Assumptions!$B$218*AT83*(1+Assumptions!$B$175)</f>
        <v/>
      </c>
      <c r="AU96" s="8">
        <f>AU20*Assumptions!$B$218*AU83*(1+Assumptions!$B$175)</f>
        <v/>
      </c>
      <c r="AV96" s="8">
        <f>AV20*Assumptions!$B$218*AV83*(1+Assumptions!$B$175)</f>
        <v/>
      </c>
      <c r="AW96" s="8">
        <f>AW20*Assumptions!$B$218*AW83*(1+Assumptions!$B$175)</f>
        <v/>
      </c>
      <c r="AX96" s="8">
        <f>AX20*Assumptions!$B$218*AX83*(1+Assumptions!$B$175)</f>
        <v/>
      </c>
      <c r="AY96" s="8">
        <f>AY20*Assumptions!$B$218*AY83*(1+Assumptions!$B$175)</f>
        <v/>
      </c>
      <c r="AZ96" s="8">
        <f>AZ20*Assumptions!$B$218*AZ83*(1+Assumptions!$B$175)</f>
        <v/>
      </c>
      <c r="BA96" s="8">
        <f>BA20*Assumptions!$B$218*BA83*(1+Assumptions!$B$175)</f>
        <v/>
      </c>
      <c r="BB96" s="8">
        <f>BB20*Assumptions!$B$218*BB83*(1+Assumptions!$B$175)</f>
        <v/>
      </c>
      <c r="BC96" s="8">
        <f>BC20*Assumptions!$B$218*BC83*(1+Assumptions!$B$175)</f>
        <v/>
      </c>
      <c r="BD96" s="8">
        <f>BD20*Assumptions!$B$218*BD83*(1+Assumptions!$B$175)</f>
        <v/>
      </c>
      <c r="BE96" s="8">
        <f>BE20*Assumptions!$B$218*BE83*(1+Assumptions!$B$175)</f>
        <v/>
      </c>
      <c r="BF96" s="8">
        <f>BF20*Assumptions!$B$218*BF83*(1+Assumptions!$B$175)</f>
        <v/>
      </c>
      <c r="BG96" s="8">
        <f>BG20*Assumptions!$B$218*BG83*(1+Assumptions!$B$175)</f>
        <v/>
      </c>
      <c r="BH96" s="8">
        <f>BH20*Assumptions!$B$218*BH83*(1+Assumptions!$B$175)</f>
        <v/>
      </c>
      <c r="BI96" s="8">
        <f>BI20*Assumptions!$B$218*BI83*(1+Assumptions!$B$175)</f>
        <v/>
      </c>
      <c r="BJ96" s="8">
        <f>BJ20*Assumptions!$B$218*BJ83*(1+Assumptions!$B$175)</f>
        <v/>
      </c>
    </row>
    <row r="97">
      <c r="A97" s="4" t="inlineStr">
        <is>
          <t>Product manager #2</t>
        </is>
      </c>
      <c r="B97" s="17" t="inlineStr">
        <is>
          <t>R</t>
        </is>
      </c>
      <c r="C97" s="8">
        <f>C21*Assumptions!$B$219*C83*(1+Assumptions!$B$175)</f>
        <v/>
      </c>
      <c r="D97" s="8">
        <f>D21*Assumptions!$B$219*D83*(1+Assumptions!$B$175)</f>
        <v/>
      </c>
      <c r="E97" s="8">
        <f>E21*Assumptions!$B$219*E83*(1+Assumptions!$B$175)</f>
        <v/>
      </c>
      <c r="F97" s="8">
        <f>F21*Assumptions!$B$219*F83*(1+Assumptions!$B$175)</f>
        <v/>
      </c>
      <c r="G97" s="8">
        <f>G21*Assumptions!$B$219*G83*(1+Assumptions!$B$175)</f>
        <v/>
      </c>
      <c r="H97" s="8">
        <f>H21*Assumptions!$B$219*H83*(1+Assumptions!$B$175)</f>
        <v/>
      </c>
      <c r="I97" s="8">
        <f>I21*Assumptions!$B$219*I83*(1+Assumptions!$B$175)</f>
        <v/>
      </c>
      <c r="J97" s="8">
        <f>J21*Assumptions!$B$219*J83*(1+Assumptions!$B$175)</f>
        <v/>
      </c>
      <c r="K97" s="8">
        <f>K21*Assumptions!$B$219*K83*(1+Assumptions!$B$175)</f>
        <v/>
      </c>
      <c r="L97" s="8">
        <f>L21*Assumptions!$B$219*L83*(1+Assumptions!$B$175)</f>
        <v/>
      </c>
      <c r="M97" s="8">
        <f>M21*Assumptions!$B$219*M83*(1+Assumptions!$B$175)</f>
        <v/>
      </c>
      <c r="N97" s="8">
        <f>N21*Assumptions!$B$219*N83*(1+Assumptions!$B$175)</f>
        <v/>
      </c>
      <c r="O97" s="8">
        <f>O21*Assumptions!$B$219*O83*(1+Assumptions!$B$175)</f>
        <v/>
      </c>
      <c r="P97" s="8">
        <f>P21*Assumptions!$B$219*P83*(1+Assumptions!$B$175)</f>
        <v/>
      </c>
      <c r="Q97" s="8">
        <f>Q21*Assumptions!$B$219*Q83*(1+Assumptions!$B$175)</f>
        <v/>
      </c>
      <c r="R97" s="8">
        <f>R21*Assumptions!$B$219*R83*(1+Assumptions!$B$175)</f>
        <v/>
      </c>
      <c r="S97" s="8">
        <f>S21*Assumptions!$B$219*S83*(1+Assumptions!$B$175)</f>
        <v/>
      </c>
      <c r="T97" s="8">
        <f>T21*Assumptions!$B$219*T83*(1+Assumptions!$B$175)</f>
        <v/>
      </c>
      <c r="U97" s="8">
        <f>U21*Assumptions!$B$219*U83*(1+Assumptions!$B$175)</f>
        <v/>
      </c>
      <c r="V97" s="8">
        <f>V21*Assumptions!$B$219*V83*(1+Assumptions!$B$175)</f>
        <v/>
      </c>
      <c r="W97" s="8">
        <f>W21*Assumptions!$B$219*W83*(1+Assumptions!$B$175)</f>
        <v/>
      </c>
      <c r="X97" s="8">
        <f>X21*Assumptions!$B$219*X83*(1+Assumptions!$B$175)</f>
        <v/>
      </c>
      <c r="Y97" s="8">
        <f>Y21*Assumptions!$B$219*Y83*(1+Assumptions!$B$175)</f>
        <v/>
      </c>
      <c r="Z97" s="8">
        <f>Z21*Assumptions!$B$219*Z83*(1+Assumptions!$B$175)</f>
        <v/>
      </c>
      <c r="AA97" s="8">
        <f>AA21*Assumptions!$B$219*AA83*(1+Assumptions!$B$175)</f>
        <v/>
      </c>
      <c r="AB97" s="8">
        <f>AB21*Assumptions!$B$219*AB83*(1+Assumptions!$B$175)</f>
        <v/>
      </c>
      <c r="AC97" s="8">
        <f>AC21*Assumptions!$B$219*AC83*(1+Assumptions!$B$175)</f>
        <v/>
      </c>
      <c r="AD97" s="8">
        <f>AD21*Assumptions!$B$219*AD83*(1+Assumptions!$B$175)</f>
        <v/>
      </c>
      <c r="AE97" s="8">
        <f>AE21*Assumptions!$B$219*AE83*(1+Assumptions!$B$175)</f>
        <v/>
      </c>
      <c r="AF97" s="8">
        <f>AF21*Assumptions!$B$219*AF83*(1+Assumptions!$B$175)</f>
        <v/>
      </c>
      <c r="AG97" s="8">
        <f>AG21*Assumptions!$B$219*AG83*(1+Assumptions!$B$175)</f>
        <v/>
      </c>
      <c r="AH97" s="8">
        <f>AH21*Assumptions!$B$219*AH83*(1+Assumptions!$B$175)</f>
        <v/>
      </c>
      <c r="AI97" s="8">
        <f>AI21*Assumptions!$B$219*AI83*(1+Assumptions!$B$175)</f>
        <v/>
      </c>
      <c r="AJ97" s="8">
        <f>AJ21*Assumptions!$B$219*AJ83*(1+Assumptions!$B$175)</f>
        <v/>
      </c>
      <c r="AK97" s="8">
        <f>AK21*Assumptions!$B$219*AK83*(1+Assumptions!$B$175)</f>
        <v/>
      </c>
      <c r="AL97" s="8">
        <f>AL21*Assumptions!$B$219*AL83*(1+Assumptions!$B$175)</f>
        <v/>
      </c>
      <c r="AM97" s="8">
        <f>AM21*Assumptions!$B$219*AM83*(1+Assumptions!$B$175)</f>
        <v/>
      </c>
      <c r="AN97" s="8">
        <f>AN21*Assumptions!$B$219*AN83*(1+Assumptions!$B$175)</f>
        <v/>
      </c>
      <c r="AO97" s="8">
        <f>AO21*Assumptions!$B$219*AO83*(1+Assumptions!$B$175)</f>
        <v/>
      </c>
      <c r="AP97" s="8">
        <f>AP21*Assumptions!$B$219*AP83*(1+Assumptions!$B$175)</f>
        <v/>
      </c>
      <c r="AQ97" s="8">
        <f>AQ21*Assumptions!$B$219*AQ83*(1+Assumptions!$B$175)</f>
        <v/>
      </c>
      <c r="AR97" s="8">
        <f>AR21*Assumptions!$B$219*AR83*(1+Assumptions!$B$175)</f>
        <v/>
      </c>
      <c r="AS97" s="8">
        <f>AS21*Assumptions!$B$219*AS83*(1+Assumptions!$B$175)</f>
        <v/>
      </c>
      <c r="AT97" s="8">
        <f>AT21*Assumptions!$B$219*AT83*(1+Assumptions!$B$175)</f>
        <v/>
      </c>
      <c r="AU97" s="8">
        <f>AU21*Assumptions!$B$219*AU83*(1+Assumptions!$B$175)</f>
        <v/>
      </c>
      <c r="AV97" s="8">
        <f>AV21*Assumptions!$B$219*AV83*(1+Assumptions!$B$175)</f>
        <v/>
      </c>
      <c r="AW97" s="8">
        <f>AW21*Assumptions!$B$219*AW83*(1+Assumptions!$B$175)</f>
        <v/>
      </c>
      <c r="AX97" s="8">
        <f>AX21*Assumptions!$B$219*AX83*(1+Assumptions!$B$175)</f>
        <v/>
      </c>
      <c r="AY97" s="8">
        <f>AY21*Assumptions!$B$219*AY83*(1+Assumptions!$B$175)</f>
        <v/>
      </c>
      <c r="AZ97" s="8">
        <f>AZ21*Assumptions!$B$219*AZ83*(1+Assumptions!$B$175)</f>
        <v/>
      </c>
      <c r="BA97" s="8">
        <f>BA21*Assumptions!$B$219*BA83*(1+Assumptions!$B$175)</f>
        <v/>
      </c>
      <c r="BB97" s="8">
        <f>BB21*Assumptions!$B$219*BB83*(1+Assumptions!$B$175)</f>
        <v/>
      </c>
      <c r="BC97" s="8">
        <f>BC21*Assumptions!$B$219*BC83*(1+Assumptions!$B$175)</f>
        <v/>
      </c>
      <c r="BD97" s="8">
        <f>BD21*Assumptions!$B$219*BD83*(1+Assumptions!$B$175)</f>
        <v/>
      </c>
      <c r="BE97" s="8">
        <f>BE21*Assumptions!$B$219*BE83*(1+Assumptions!$B$175)</f>
        <v/>
      </c>
      <c r="BF97" s="8">
        <f>BF21*Assumptions!$B$219*BF83*(1+Assumptions!$B$175)</f>
        <v/>
      </c>
      <c r="BG97" s="8">
        <f>BG21*Assumptions!$B$219*BG83*(1+Assumptions!$B$175)</f>
        <v/>
      </c>
      <c r="BH97" s="8">
        <f>BH21*Assumptions!$B$219*BH83*(1+Assumptions!$B$175)</f>
        <v/>
      </c>
      <c r="BI97" s="8">
        <f>BI21*Assumptions!$B$219*BI83*(1+Assumptions!$B$175)</f>
        <v/>
      </c>
      <c r="BJ97" s="8">
        <f>BJ21*Assumptions!$B$219*BJ83*(1+Assumptions!$B$175)</f>
        <v/>
      </c>
    </row>
    <row r="98">
      <c r="A98" s="4" t="inlineStr">
        <is>
          <t>Engineers (scale-up II)</t>
        </is>
      </c>
      <c r="B98" s="17" t="inlineStr">
        <is>
          <t>R</t>
        </is>
      </c>
      <c r="C98" s="8">
        <f>C22*Assumptions!$B$220*C83*(1+Assumptions!$B$175)</f>
        <v/>
      </c>
      <c r="D98" s="8">
        <f>D22*Assumptions!$B$220*D83*(1+Assumptions!$B$175)</f>
        <v/>
      </c>
      <c r="E98" s="8">
        <f>E22*Assumptions!$B$220*E83*(1+Assumptions!$B$175)</f>
        <v/>
      </c>
      <c r="F98" s="8">
        <f>F22*Assumptions!$B$220*F83*(1+Assumptions!$B$175)</f>
        <v/>
      </c>
      <c r="G98" s="8">
        <f>G22*Assumptions!$B$220*G83*(1+Assumptions!$B$175)</f>
        <v/>
      </c>
      <c r="H98" s="8">
        <f>H22*Assumptions!$B$220*H83*(1+Assumptions!$B$175)</f>
        <v/>
      </c>
      <c r="I98" s="8">
        <f>I22*Assumptions!$B$220*I83*(1+Assumptions!$B$175)</f>
        <v/>
      </c>
      <c r="J98" s="8">
        <f>J22*Assumptions!$B$220*J83*(1+Assumptions!$B$175)</f>
        <v/>
      </c>
      <c r="K98" s="8">
        <f>K22*Assumptions!$B$220*K83*(1+Assumptions!$B$175)</f>
        <v/>
      </c>
      <c r="L98" s="8">
        <f>L22*Assumptions!$B$220*L83*(1+Assumptions!$B$175)</f>
        <v/>
      </c>
      <c r="M98" s="8">
        <f>M22*Assumptions!$B$220*M83*(1+Assumptions!$B$175)</f>
        <v/>
      </c>
      <c r="N98" s="8">
        <f>N22*Assumptions!$B$220*N83*(1+Assumptions!$B$175)</f>
        <v/>
      </c>
      <c r="O98" s="8">
        <f>O22*Assumptions!$B$220*O83*(1+Assumptions!$B$175)</f>
        <v/>
      </c>
      <c r="P98" s="8">
        <f>P22*Assumptions!$B$220*P83*(1+Assumptions!$B$175)</f>
        <v/>
      </c>
      <c r="Q98" s="8">
        <f>Q22*Assumptions!$B$220*Q83*(1+Assumptions!$B$175)</f>
        <v/>
      </c>
      <c r="R98" s="8">
        <f>R22*Assumptions!$B$220*R83*(1+Assumptions!$B$175)</f>
        <v/>
      </c>
      <c r="S98" s="8">
        <f>S22*Assumptions!$B$220*S83*(1+Assumptions!$B$175)</f>
        <v/>
      </c>
      <c r="T98" s="8">
        <f>T22*Assumptions!$B$220*T83*(1+Assumptions!$B$175)</f>
        <v/>
      </c>
      <c r="U98" s="8">
        <f>U22*Assumptions!$B$220*U83*(1+Assumptions!$B$175)</f>
        <v/>
      </c>
      <c r="V98" s="8">
        <f>V22*Assumptions!$B$220*V83*(1+Assumptions!$B$175)</f>
        <v/>
      </c>
      <c r="W98" s="8">
        <f>W22*Assumptions!$B$220*W83*(1+Assumptions!$B$175)</f>
        <v/>
      </c>
      <c r="X98" s="8">
        <f>X22*Assumptions!$B$220*X83*(1+Assumptions!$B$175)</f>
        <v/>
      </c>
      <c r="Y98" s="8">
        <f>Y22*Assumptions!$B$220*Y83*(1+Assumptions!$B$175)</f>
        <v/>
      </c>
      <c r="Z98" s="8">
        <f>Z22*Assumptions!$B$220*Z83*(1+Assumptions!$B$175)</f>
        <v/>
      </c>
      <c r="AA98" s="8">
        <f>AA22*Assumptions!$B$220*AA83*(1+Assumptions!$B$175)</f>
        <v/>
      </c>
      <c r="AB98" s="8">
        <f>AB22*Assumptions!$B$220*AB83*(1+Assumptions!$B$175)</f>
        <v/>
      </c>
      <c r="AC98" s="8">
        <f>AC22*Assumptions!$B$220*AC83*(1+Assumptions!$B$175)</f>
        <v/>
      </c>
      <c r="AD98" s="8">
        <f>AD22*Assumptions!$B$220*AD83*(1+Assumptions!$B$175)</f>
        <v/>
      </c>
      <c r="AE98" s="8">
        <f>AE22*Assumptions!$B$220*AE83*(1+Assumptions!$B$175)</f>
        <v/>
      </c>
      <c r="AF98" s="8">
        <f>AF22*Assumptions!$B$220*AF83*(1+Assumptions!$B$175)</f>
        <v/>
      </c>
      <c r="AG98" s="8">
        <f>AG22*Assumptions!$B$220*AG83*(1+Assumptions!$B$175)</f>
        <v/>
      </c>
      <c r="AH98" s="8">
        <f>AH22*Assumptions!$B$220*AH83*(1+Assumptions!$B$175)</f>
        <v/>
      </c>
      <c r="AI98" s="8">
        <f>AI22*Assumptions!$B$220*AI83*(1+Assumptions!$B$175)</f>
        <v/>
      </c>
      <c r="AJ98" s="8">
        <f>AJ22*Assumptions!$B$220*AJ83*(1+Assumptions!$B$175)</f>
        <v/>
      </c>
      <c r="AK98" s="8">
        <f>AK22*Assumptions!$B$220*AK83*(1+Assumptions!$B$175)</f>
        <v/>
      </c>
      <c r="AL98" s="8">
        <f>AL22*Assumptions!$B$220*AL83*(1+Assumptions!$B$175)</f>
        <v/>
      </c>
      <c r="AM98" s="8">
        <f>AM22*Assumptions!$B$220*AM83*(1+Assumptions!$B$175)</f>
        <v/>
      </c>
      <c r="AN98" s="8">
        <f>AN22*Assumptions!$B$220*AN83*(1+Assumptions!$B$175)</f>
        <v/>
      </c>
      <c r="AO98" s="8">
        <f>AO22*Assumptions!$B$220*AO83*(1+Assumptions!$B$175)</f>
        <v/>
      </c>
      <c r="AP98" s="8">
        <f>AP22*Assumptions!$B$220*AP83*(1+Assumptions!$B$175)</f>
        <v/>
      </c>
      <c r="AQ98" s="8">
        <f>AQ22*Assumptions!$B$220*AQ83*(1+Assumptions!$B$175)</f>
        <v/>
      </c>
      <c r="AR98" s="8">
        <f>AR22*Assumptions!$B$220*AR83*(1+Assumptions!$B$175)</f>
        <v/>
      </c>
      <c r="AS98" s="8">
        <f>AS22*Assumptions!$B$220*AS83*(1+Assumptions!$B$175)</f>
        <v/>
      </c>
      <c r="AT98" s="8">
        <f>AT22*Assumptions!$B$220*AT83*(1+Assumptions!$B$175)</f>
        <v/>
      </c>
      <c r="AU98" s="8">
        <f>AU22*Assumptions!$B$220*AU83*(1+Assumptions!$B$175)</f>
        <v/>
      </c>
      <c r="AV98" s="8">
        <f>AV22*Assumptions!$B$220*AV83*(1+Assumptions!$B$175)</f>
        <v/>
      </c>
      <c r="AW98" s="8">
        <f>AW22*Assumptions!$B$220*AW83*(1+Assumptions!$B$175)</f>
        <v/>
      </c>
      <c r="AX98" s="8">
        <f>AX22*Assumptions!$B$220*AX83*(1+Assumptions!$B$175)</f>
        <v/>
      </c>
      <c r="AY98" s="8">
        <f>AY22*Assumptions!$B$220*AY83*(1+Assumptions!$B$175)</f>
        <v/>
      </c>
      <c r="AZ98" s="8">
        <f>AZ22*Assumptions!$B$220*AZ83*(1+Assumptions!$B$175)</f>
        <v/>
      </c>
      <c r="BA98" s="8">
        <f>BA22*Assumptions!$B$220*BA83*(1+Assumptions!$B$175)</f>
        <v/>
      </c>
      <c r="BB98" s="8">
        <f>BB22*Assumptions!$B$220*BB83*(1+Assumptions!$B$175)</f>
        <v/>
      </c>
      <c r="BC98" s="8">
        <f>BC22*Assumptions!$B$220*BC83*(1+Assumptions!$B$175)</f>
        <v/>
      </c>
      <c r="BD98" s="8">
        <f>BD22*Assumptions!$B$220*BD83*(1+Assumptions!$B$175)</f>
        <v/>
      </c>
      <c r="BE98" s="8">
        <f>BE22*Assumptions!$B$220*BE83*(1+Assumptions!$B$175)</f>
        <v/>
      </c>
      <c r="BF98" s="8">
        <f>BF22*Assumptions!$B$220*BF83*(1+Assumptions!$B$175)</f>
        <v/>
      </c>
      <c r="BG98" s="8">
        <f>BG22*Assumptions!$B$220*BG83*(1+Assumptions!$B$175)</f>
        <v/>
      </c>
      <c r="BH98" s="8">
        <f>BH22*Assumptions!$B$220*BH83*(1+Assumptions!$B$175)</f>
        <v/>
      </c>
      <c r="BI98" s="8">
        <f>BI22*Assumptions!$B$220*BI83*(1+Assumptions!$B$175)</f>
        <v/>
      </c>
      <c r="BJ98" s="8">
        <f>BJ22*Assumptions!$B$220*BJ83*(1+Assumptions!$B$175)</f>
        <v/>
      </c>
    </row>
    <row r="99">
      <c r="A99" s="4" t="inlineStr">
        <is>
          <t>Data / AI engineers</t>
        </is>
      </c>
      <c r="B99" s="17" t="inlineStr">
        <is>
          <t>R</t>
        </is>
      </c>
      <c r="C99" s="8">
        <f>C23*Assumptions!$B$221*C83*(1+Assumptions!$B$175)</f>
        <v/>
      </c>
      <c r="D99" s="8">
        <f>D23*Assumptions!$B$221*D83*(1+Assumptions!$B$175)</f>
        <v/>
      </c>
      <c r="E99" s="8">
        <f>E23*Assumptions!$B$221*E83*(1+Assumptions!$B$175)</f>
        <v/>
      </c>
      <c r="F99" s="8">
        <f>F23*Assumptions!$B$221*F83*(1+Assumptions!$B$175)</f>
        <v/>
      </c>
      <c r="G99" s="8">
        <f>G23*Assumptions!$B$221*G83*(1+Assumptions!$B$175)</f>
        <v/>
      </c>
      <c r="H99" s="8">
        <f>H23*Assumptions!$B$221*H83*(1+Assumptions!$B$175)</f>
        <v/>
      </c>
      <c r="I99" s="8">
        <f>I23*Assumptions!$B$221*I83*(1+Assumptions!$B$175)</f>
        <v/>
      </c>
      <c r="J99" s="8">
        <f>J23*Assumptions!$B$221*J83*(1+Assumptions!$B$175)</f>
        <v/>
      </c>
      <c r="K99" s="8">
        <f>K23*Assumptions!$B$221*K83*(1+Assumptions!$B$175)</f>
        <v/>
      </c>
      <c r="L99" s="8">
        <f>L23*Assumptions!$B$221*L83*(1+Assumptions!$B$175)</f>
        <v/>
      </c>
      <c r="M99" s="8">
        <f>M23*Assumptions!$B$221*M83*(1+Assumptions!$B$175)</f>
        <v/>
      </c>
      <c r="N99" s="8">
        <f>N23*Assumptions!$B$221*N83*(1+Assumptions!$B$175)</f>
        <v/>
      </c>
      <c r="O99" s="8">
        <f>O23*Assumptions!$B$221*O83*(1+Assumptions!$B$175)</f>
        <v/>
      </c>
      <c r="P99" s="8">
        <f>P23*Assumptions!$B$221*P83*(1+Assumptions!$B$175)</f>
        <v/>
      </c>
      <c r="Q99" s="8">
        <f>Q23*Assumptions!$B$221*Q83*(1+Assumptions!$B$175)</f>
        <v/>
      </c>
      <c r="R99" s="8">
        <f>R23*Assumptions!$B$221*R83*(1+Assumptions!$B$175)</f>
        <v/>
      </c>
      <c r="S99" s="8">
        <f>S23*Assumptions!$B$221*S83*(1+Assumptions!$B$175)</f>
        <v/>
      </c>
      <c r="T99" s="8">
        <f>T23*Assumptions!$B$221*T83*(1+Assumptions!$B$175)</f>
        <v/>
      </c>
      <c r="U99" s="8">
        <f>U23*Assumptions!$B$221*U83*(1+Assumptions!$B$175)</f>
        <v/>
      </c>
      <c r="V99" s="8">
        <f>V23*Assumptions!$B$221*V83*(1+Assumptions!$B$175)</f>
        <v/>
      </c>
      <c r="W99" s="8">
        <f>W23*Assumptions!$B$221*W83*(1+Assumptions!$B$175)</f>
        <v/>
      </c>
      <c r="X99" s="8">
        <f>X23*Assumptions!$B$221*X83*(1+Assumptions!$B$175)</f>
        <v/>
      </c>
      <c r="Y99" s="8">
        <f>Y23*Assumptions!$B$221*Y83*(1+Assumptions!$B$175)</f>
        <v/>
      </c>
      <c r="Z99" s="8">
        <f>Z23*Assumptions!$B$221*Z83*(1+Assumptions!$B$175)</f>
        <v/>
      </c>
      <c r="AA99" s="8">
        <f>AA23*Assumptions!$B$221*AA83*(1+Assumptions!$B$175)</f>
        <v/>
      </c>
      <c r="AB99" s="8">
        <f>AB23*Assumptions!$B$221*AB83*(1+Assumptions!$B$175)</f>
        <v/>
      </c>
      <c r="AC99" s="8">
        <f>AC23*Assumptions!$B$221*AC83*(1+Assumptions!$B$175)</f>
        <v/>
      </c>
      <c r="AD99" s="8">
        <f>AD23*Assumptions!$B$221*AD83*(1+Assumptions!$B$175)</f>
        <v/>
      </c>
      <c r="AE99" s="8">
        <f>AE23*Assumptions!$B$221*AE83*(1+Assumptions!$B$175)</f>
        <v/>
      </c>
      <c r="AF99" s="8">
        <f>AF23*Assumptions!$B$221*AF83*(1+Assumptions!$B$175)</f>
        <v/>
      </c>
      <c r="AG99" s="8">
        <f>AG23*Assumptions!$B$221*AG83*(1+Assumptions!$B$175)</f>
        <v/>
      </c>
      <c r="AH99" s="8">
        <f>AH23*Assumptions!$B$221*AH83*(1+Assumptions!$B$175)</f>
        <v/>
      </c>
      <c r="AI99" s="8">
        <f>AI23*Assumptions!$B$221*AI83*(1+Assumptions!$B$175)</f>
        <v/>
      </c>
      <c r="AJ99" s="8">
        <f>AJ23*Assumptions!$B$221*AJ83*(1+Assumptions!$B$175)</f>
        <v/>
      </c>
      <c r="AK99" s="8">
        <f>AK23*Assumptions!$B$221*AK83*(1+Assumptions!$B$175)</f>
        <v/>
      </c>
      <c r="AL99" s="8">
        <f>AL23*Assumptions!$B$221*AL83*(1+Assumptions!$B$175)</f>
        <v/>
      </c>
      <c r="AM99" s="8">
        <f>AM23*Assumptions!$B$221*AM83*(1+Assumptions!$B$175)</f>
        <v/>
      </c>
      <c r="AN99" s="8">
        <f>AN23*Assumptions!$B$221*AN83*(1+Assumptions!$B$175)</f>
        <v/>
      </c>
      <c r="AO99" s="8">
        <f>AO23*Assumptions!$B$221*AO83*(1+Assumptions!$B$175)</f>
        <v/>
      </c>
      <c r="AP99" s="8">
        <f>AP23*Assumptions!$B$221*AP83*(1+Assumptions!$B$175)</f>
        <v/>
      </c>
      <c r="AQ99" s="8">
        <f>AQ23*Assumptions!$B$221*AQ83*(1+Assumptions!$B$175)</f>
        <v/>
      </c>
      <c r="AR99" s="8">
        <f>AR23*Assumptions!$B$221*AR83*(1+Assumptions!$B$175)</f>
        <v/>
      </c>
      <c r="AS99" s="8">
        <f>AS23*Assumptions!$B$221*AS83*(1+Assumptions!$B$175)</f>
        <v/>
      </c>
      <c r="AT99" s="8">
        <f>AT23*Assumptions!$B$221*AT83*(1+Assumptions!$B$175)</f>
        <v/>
      </c>
      <c r="AU99" s="8">
        <f>AU23*Assumptions!$B$221*AU83*(1+Assumptions!$B$175)</f>
        <v/>
      </c>
      <c r="AV99" s="8">
        <f>AV23*Assumptions!$B$221*AV83*(1+Assumptions!$B$175)</f>
        <v/>
      </c>
      <c r="AW99" s="8">
        <f>AW23*Assumptions!$B$221*AW83*(1+Assumptions!$B$175)</f>
        <v/>
      </c>
      <c r="AX99" s="8">
        <f>AX23*Assumptions!$B$221*AX83*(1+Assumptions!$B$175)</f>
        <v/>
      </c>
      <c r="AY99" s="8">
        <f>AY23*Assumptions!$B$221*AY83*(1+Assumptions!$B$175)</f>
        <v/>
      </c>
      <c r="AZ99" s="8">
        <f>AZ23*Assumptions!$B$221*AZ83*(1+Assumptions!$B$175)</f>
        <v/>
      </c>
      <c r="BA99" s="8">
        <f>BA23*Assumptions!$B$221*BA83*(1+Assumptions!$B$175)</f>
        <v/>
      </c>
      <c r="BB99" s="8">
        <f>BB23*Assumptions!$B$221*BB83*(1+Assumptions!$B$175)</f>
        <v/>
      </c>
      <c r="BC99" s="8">
        <f>BC23*Assumptions!$B$221*BC83*(1+Assumptions!$B$175)</f>
        <v/>
      </c>
      <c r="BD99" s="8">
        <f>BD23*Assumptions!$B$221*BD83*(1+Assumptions!$B$175)</f>
        <v/>
      </c>
      <c r="BE99" s="8">
        <f>BE23*Assumptions!$B$221*BE83*(1+Assumptions!$B$175)</f>
        <v/>
      </c>
      <c r="BF99" s="8">
        <f>BF23*Assumptions!$B$221*BF83*(1+Assumptions!$B$175)</f>
        <v/>
      </c>
      <c r="BG99" s="8">
        <f>BG23*Assumptions!$B$221*BG83*(1+Assumptions!$B$175)</f>
        <v/>
      </c>
      <c r="BH99" s="8">
        <f>BH23*Assumptions!$B$221*BH83*(1+Assumptions!$B$175)</f>
        <v/>
      </c>
      <c r="BI99" s="8">
        <f>BI23*Assumptions!$B$221*BI83*(1+Assumptions!$B$175)</f>
        <v/>
      </c>
      <c r="BJ99" s="8">
        <f>BJ23*Assumptions!$B$221*BJ83*(1+Assumptions!$B$175)</f>
        <v/>
      </c>
    </row>
    <row r="100">
      <c r="A100" s="4" t="inlineStr">
        <is>
          <t>Engineers (scale-up III)</t>
        </is>
      </c>
      <c r="B100" s="17" t="inlineStr">
        <is>
          <t>R</t>
        </is>
      </c>
      <c r="C100" s="8">
        <f>C24*Assumptions!$B$222*C83*(1+Assumptions!$B$175)</f>
        <v/>
      </c>
      <c r="D100" s="8">
        <f>D24*Assumptions!$B$222*D83*(1+Assumptions!$B$175)</f>
        <v/>
      </c>
      <c r="E100" s="8">
        <f>E24*Assumptions!$B$222*E83*(1+Assumptions!$B$175)</f>
        <v/>
      </c>
      <c r="F100" s="8">
        <f>F24*Assumptions!$B$222*F83*(1+Assumptions!$B$175)</f>
        <v/>
      </c>
      <c r="G100" s="8">
        <f>G24*Assumptions!$B$222*G83*(1+Assumptions!$B$175)</f>
        <v/>
      </c>
      <c r="H100" s="8">
        <f>H24*Assumptions!$B$222*H83*(1+Assumptions!$B$175)</f>
        <v/>
      </c>
      <c r="I100" s="8">
        <f>I24*Assumptions!$B$222*I83*(1+Assumptions!$B$175)</f>
        <v/>
      </c>
      <c r="J100" s="8">
        <f>J24*Assumptions!$B$222*J83*(1+Assumptions!$B$175)</f>
        <v/>
      </c>
      <c r="K100" s="8">
        <f>K24*Assumptions!$B$222*K83*(1+Assumptions!$B$175)</f>
        <v/>
      </c>
      <c r="L100" s="8">
        <f>L24*Assumptions!$B$222*L83*(1+Assumptions!$B$175)</f>
        <v/>
      </c>
      <c r="M100" s="8">
        <f>M24*Assumptions!$B$222*M83*(1+Assumptions!$B$175)</f>
        <v/>
      </c>
      <c r="N100" s="8">
        <f>N24*Assumptions!$B$222*N83*(1+Assumptions!$B$175)</f>
        <v/>
      </c>
      <c r="O100" s="8">
        <f>O24*Assumptions!$B$222*O83*(1+Assumptions!$B$175)</f>
        <v/>
      </c>
      <c r="P100" s="8">
        <f>P24*Assumptions!$B$222*P83*(1+Assumptions!$B$175)</f>
        <v/>
      </c>
      <c r="Q100" s="8">
        <f>Q24*Assumptions!$B$222*Q83*(1+Assumptions!$B$175)</f>
        <v/>
      </c>
      <c r="R100" s="8">
        <f>R24*Assumptions!$B$222*R83*(1+Assumptions!$B$175)</f>
        <v/>
      </c>
      <c r="S100" s="8">
        <f>S24*Assumptions!$B$222*S83*(1+Assumptions!$B$175)</f>
        <v/>
      </c>
      <c r="T100" s="8">
        <f>T24*Assumptions!$B$222*T83*(1+Assumptions!$B$175)</f>
        <v/>
      </c>
      <c r="U100" s="8">
        <f>U24*Assumptions!$B$222*U83*(1+Assumptions!$B$175)</f>
        <v/>
      </c>
      <c r="V100" s="8">
        <f>V24*Assumptions!$B$222*V83*(1+Assumptions!$B$175)</f>
        <v/>
      </c>
      <c r="W100" s="8">
        <f>W24*Assumptions!$B$222*W83*(1+Assumptions!$B$175)</f>
        <v/>
      </c>
      <c r="X100" s="8">
        <f>X24*Assumptions!$B$222*X83*(1+Assumptions!$B$175)</f>
        <v/>
      </c>
      <c r="Y100" s="8">
        <f>Y24*Assumptions!$B$222*Y83*(1+Assumptions!$B$175)</f>
        <v/>
      </c>
      <c r="Z100" s="8">
        <f>Z24*Assumptions!$B$222*Z83*(1+Assumptions!$B$175)</f>
        <v/>
      </c>
      <c r="AA100" s="8">
        <f>AA24*Assumptions!$B$222*AA83*(1+Assumptions!$B$175)</f>
        <v/>
      </c>
      <c r="AB100" s="8">
        <f>AB24*Assumptions!$B$222*AB83*(1+Assumptions!$B$175)</f>
        <v/>
      </c>
      <c r="AC100" s="8">
        <f>AC24*Assumptions!$B$222*AC83*(1+Assumptions!$B$175)</f>
        <v/>
      </c>
      <c r="AD100" s="8">
        <f>AD24*Assumptions!$B$222*AD83*(1+Assumptions!$B$175)</f>
        <v/>
      </c>
      <c r="AE100" s="8">
        <f>AE24*Assumptions!$B$222*AE83*(1+Assumptions!$B$175)</f>
        <v/>
      </c>
      <c r="AF100" s="8">
        <f>AF24*Assumptions!$B$222*AF83*(1+Assumptions!$B$175)</f>
        <v/>
      </c>
      <c r="AG100" s="8">
        <f>AG24*Assumptions!$B$222*AG83*(1+Assumptions!$B$175)</f>
        <v/>
      </c>
      <c r="AH100" s="8">
        <f>AH24*Assumptions!$B$222*AH83*(1+Assumptions!$B$175)</f>
        <v/>
      </c>
      <c r="AI100" s="8">
        <f>AI24*Assumptions!$B$222*AI83*(1+Assumptions!$B$175)</f>
        <v/>
      </c>
      <c r="AJ100" s="8">
        <f>AJ24*Assumptions!$B$222*AJ83*(1+Assumptions!$B$175)</f>
        <v/>
      </c>
      <c r="AK100" s="8">
        <f>AK24*Assumptions!$B$222*AK83*(1+Assumptions!$B$175)</f>
        <v/>
      </c>
      <c r="AL100" s="8">
        <f>AL24*Assumptions!$B$222*AL83*(1+Assumptions!$B$175)</f>
        <v/>
      </c>
      <c r="AM100" s="8">
        <f>AM24*Assumptions!$B$222*AM83*(1+Assumptions!$B$175)</f>
        <v/>
      </c>
      <c r="AN100" s="8">
        <f>AN24*Assumptions!$B$222*AN83*(1+Assumptions!$B$175)</f>
        <v/>
      </c>
      <c r="AO100" s="8">
        <f>AO24*Assumptions!$B$222*AO83*(1+Assumptions!$B$175)</f>
        <v/>
      </c>
      <c r="AP100" s="8">
        <f>AP24*Assumptions!$B$222*AP83*(1+Assumptions!$B$175)</f>
        <v/>
      </c>
      <c r="AQ100" s="8">
        <f>AQ24*Assumptions!$B$222*AQ83*(1+Assumptions!$B$175)</f>
        <v/>
      </c>
      <c r="AR100" s="8">
        <f>AR24*Assumptions!$B$222*AR83*(1+Assumptions!$B$175)</f>
        <v/>
      </c>
      <c r="AS100" s="8">
        <f>AS24*Assumptions!$B$222*AS83*(1+Assumptions!$B$175)</f>
        <v/>
      </c>
      <c r="AT100" s="8">
        <f>AT24*Assumptions!$B$222*AT83*(1+Assumptions!$B$175)</f>
        <v/>
      </c>
      <c r="AU100" s="8">
        <f>AU24*Assumptions!$B$222*AU83*(1+Assumptions!$B$175)</f>
        <v/>
      </c>
      <c r="AV100" s="8">
        <f>AV24*Assumptions!$B$222*AV83*(1+Assumptions!$B$175)</f>
        <v/>
      </c>
      <c r="AW100" s="8">
        <f>AW24*Assumptions!$B$222*AW83*(1+Assumptions!$B$175)</f>
        <v/>
      </c>
      <c r="AX100" s="8">
        <f>AX24*Assumptions!$B$222*AX83*(1+Assumptions!$B$175)</f>
        <v/>
      </c>
      <c r="AY100" s="8">
        <f>AY24*Assumptions!$B$222*AY83*(1+Assumptions!$B$175)</f>
        <v/>
      </c>
      <c r="AZ100" s="8">
        <f>AZ24*Assumptions!$B$222*AZ83*(1+Assumptions!$B$175)</f>
        <v/>
      </c>
      <c r="BA100" s="8">
        <f>BA24*Assumptions!$B$222*BA83*(1+Assumptions!$B$175)</f>
        <v/>
      </c>
      <c r="BB100" s="8">
        <f>BB24*Assumptions!$B$222*BB83*(1+Assumptions!$B$175)</f>
        <v/>
      </c>
      <c r="BC100" s="8">
        <f>BC24*Assumptions!$B$222*BC83*(1+Assumptions!$B$175)</f>
        <v/>
      </c>
      <c r="BD100" s="8">
        <f>BD24*Assumptions!$B$222*BD83*(1+Assumptions!$B$175)</f>
        <v/>
      </c>
      <c r="BE100" s="8">
        <f>BE24*Assumptions!$B$222*BE83*(1+Assumptions!$B$175)</f>
        <v/>
      </c>
      <c r="BF100" s="8">
        <f>BF24*Assumptions!$B$222*BF83*(1+Assumptions!$B$175)</f>
        <v/>
      </c>
      <c r="BG100" s="8">
        <f>BG24*Assumptions!$B$222*BG83*(1+Assumptions!$B$175)</f>
        <v/>
      </c>
      <c r="BH100" s="8">
        <f>BH24*Assumptions!$B$222*BH83*(1+Assumptions!$B$175)</f>
        <v/>
      </c>
      <c r="BI100" s="8">
        <f>BI24*Assumptions!$B$222*BI83*(1+Assumptions!$B$175)</f>
        <v/>
      </c>
      <c r="BJ100" s="8">
        <f>BJ24*Assumptions!$B$222*BJ83*(1+Assumptions!$B$175)</f>
        <v/>
      </c>
    </row>
    <row r="101">
      <c r="A101" s="4" t="inlineStr">
        <is>
          <t>Engineers (scale-up IV: social adapters &amp; integrations at scale)</t>
        </is>
      </c>
      <c r="B101" s="17" t="inlineStr">
        <is>
          <t>R</t>
        </is>
      </c>
      <c r="C101" s="8">
        <f>C25*Assumptions!$B$223*C83*(1+Assumptions!$B$175)</f>
        <v/>
      </c>
      <c r="D101" s="8">
        <f>D25*Assumptions!$B$223*D83*(1+Assumptions!$B$175)</f>
        <v/>
      </c>
      <c r="E101" s="8">
        <f>E25*Assumptions!$B$223*E83*(1+Assumptions!$B$175)</f>
        <v/>
      </c>
      <c r="F101" s="8">
        <f>F25*Assumptions!$B$223*F83*(1+Assumptions!$B$175)</f>
        <v/>
      </c>
      <c r="G101" s="8">
        <f>G25*Assumptions!$B$223*G83*(1+Assumptions!$B$175)</f>
        <v/>
      </c>
      <c r="H101" s="8">
        <f>H25*Assumptions!$B$223*H83*(1+Assumptions!$B$175)</f>
        <v/>
      </c>
      <c r="I101" s="8">
        <f>I25*Assumptions!$B$223*I83*(1+Assumptions!$B$175)</f>
        <v/>
      </c>
      <c r="J101" s="8">
        <f>J25*Assumptions!$B$223*J83*(1+Assumptions!$B$175)</f>
        <v/>
      </c>
      <c r="K101" s="8">
        <f>K25*Assumptions!$B$223*K83*(1+Assumptions!$B$175)</f>
        <v/>
      </c>
      <c r="L101" s="8">
        <f>L25*Assumptions!$B$223*L83*(1+Assumptions!$B$175)</f>
        <v/>
      </c>
      <c r="M101" s="8">
        <f>M25*Assumptions!$B$223*M83*(1+Assumptions!$B$175)</f>
        <v/>
      </c>
      <c r="N101" s="8">
        <f>N25*Assumptions!$B$223*N83*(1+Assumptions!$B$175)</f>
        <v/>
      </c>
      <c r="O101" s="8">
        <f>O25*Assumptions!$B$223*O83*(1+Assumptions!$B$175)</f>
        <v/>
      </c>
      <c r="P101" s="8">
        <f>P25*Assumptions!$B$223*P83*(1+Assumptions!$B$175)</f>
        <v/>
      </c>
      <c r="Q101" s="8">
        <f>Q25*Assumptions!$B$223*Q83*(1+Assumptions!$B$175)</f>
        <v/>
      </c>
      <c r="R101" s="8">
        <f>R25*Assumptions!$B$223*R83*(1+Assumptions!$B$175)</f>
        <v/>
      </c>
      <c r="S101" s="8">
        <f>S25*Assumptions!$B$223*S83*(1+Assumptions!$B$175)</f>
        <v/>
      </c>
      <c r="T101" s="8">
        <f>T25*Assumptions!$B$223*T83*(1+Assumptions!$B$175)</f>
        <v/>
      </c>
      <c r="U101" s="8">
        <f>U25*Assumptions!$B$223*U83*(1+Assumptions!$B$175)</f>
        <v/>
      </c>
      <c r="V101" s="8">
        <f>V25*Assumptions!$B$223*V83*(1+Assumptions!$B$175)</f>
        <v/>
      </c>
      <c r="W101" s="8">
        <f>W25*Assumptions!$B$223*W83*(1+Assumptions!$B$175)</f>
        <v/>
      </c>
      <c r="X101" s="8">
        <f>X25*Assumptions!$B$223*X83*(1+Assumptions!$B$175)</f>
        <v/>
      </c>
      <c r="Y101" s="8">
        <f>Y25*Assumptions!$B$223*Y83*(1+Assumptions!$B$175)</f>
        <v/>
      </c>
      <c r="Z101" s="8">
        <f>Z25*Assumptions!$B$223*Z83*(1+Assumptions!$B$175)</f>
        <v/>
      </c>
      <c r="AA101" s="8">
        <f>AA25*Assumptions!$B$223*AA83*(1+Assumptions!$B$175)</f>
        <v/>
      </c>
      <c r="AB101" s="8">
        <f>AB25*Assumptions!$B$223*AB83*(1+Assumptions!$B$175)</f>
        <v/>
      </c>
      <c r="AC101" s="8">
        <f>AC25*Assumptions!$B$223*AC83*(1+Assumptions!$B$175)</f>
        <v/>
      </c>
      <c r="AD101" s="8">
        <f>AD25*Assumptions!$B$223*AD83*(1+Assumptions!$B$175)</f>
        <v/>
      </c>
      <c r="AE101" s="8">
        <f>AE25*Assumptions!$B$223*AE83*(1+Assumptions!$B$175)</f>
        <v/>
      </c>
      <c r="AF101" s="8">
        <f>AF25*Assumptions!$B$223*AF83*(1+Assumptions!$B$175)</f>
        <v/>
      </c>
      <c r="AG101" s="8">
        <f>AG25*Assumptions!$B$223*AG83*(1+Assumptions!$B$175)</f>
        <v/>
      </c>
      <c r="AH101" s="8">
        <f>AH25*Assumptions!$B$223*AH83*(1+Assumptions!$B$175)</f>
        <v/>
      </c>
      <c r="AI101" s="8">
        <f>AI25*Assumptions!$B$223*AI83*(1+Assumptions!$B$175)</f>
        <v/>
      </c>
      <c r="AJ101" s="8">
        <f>AJ25*Assumptions!$B$223*AJ83*(1+Assumptions!$B$175)</f>
        <v/>
      </c>
      <c r="AK101" s="8">
        <f>AK25*Assumptions!$B$223*AK83*(1+Assumptions!$B$175)</f>
        <v/>
      </c>
      <c r="AL101" s="8">
        <f>AL25*Assumptions!$B$223*AL83*(1+Assumptions!$B$175)</f>
        <v/>
      </c>
      <c r="AM101" s="8">
        <f>AM25*Assumptions!$B$223*AM83*(1+Assumptions!$B$175)</f>
        <v/>
      </c>
      <c r="AN101" s="8">
        <f>AN25*Assumptions!$B$223*AN83*(1+Assumptions!$B$175)</f>
        <v/>
      </c>
      <c r="AO101" s="8">
        <f>AO25*Assumptions!$B$223*AO83*(1+Assumptions!$B$175)</f>
        <v/>
      </c>
      <c r="AP101" s="8">
        <f>AP25*Assumptions!$B$223*AP83*(1+Assumptions!$B$175)</f>
        <v/>
      </c>
      <c r="AQ101" s="8">
        <f>AQ25*Assumptions!$B$223*AQ83*(1+Assumptions!$B$175)</f>
        <v/>
      </c>
      <c r="AR101" s="8">
        <f>AR25*Assumptions!$B$223*AR83*(1+Assumptions!$B$175)</f>
        <v/>
      </c>
      <c r="AS101" s="8">
        <f>AS25*Assumptions!$B$223*AS83*(1+Assumptions!$B$175)</f>
        <v/>
      </c>
      <c r="AT101" s="8">
        <f>AT25*Assumptions!$B$223*AT83*(1+Assumptions!$B$175)</f>
        <v/>
      </c>
      <c r="AU101" s="8">
        <f>AU25*Assumptions!$B$223*AU83*(1+Assumptions!$B$175)</f>
        <v/>
      </c>
      <c r="AV101" s="8">
        <f>AV25*Assumptions!$B$223*AV83*(1+Assumptions!$B$175)</f>
        <v/>
      </c>
      <c r="AW101" s="8">
        <f>AW25*Assumptions!$B$223*AW83*(1+Assumptions!$B$175)</f>
        <v/>
      </c>
      <c r="AX101" s="8">
        <f>AX25*Assumptions!$B$223*AX83*(1+Assumptions!$B$175)</f>
        <v/>
      </c>
      <c r="AY101" s="8">
        <f>AY25*Assumptions!$B$223*AY83*(1+Assumptions!$B$175)</f>
        <v/>
      </c>
      <c r="AZ101" s="8">
        <f>AZ25*Assumptions!$B$223*AZ83*(1+Assumptions!$B$175)</f>
        <v/>
      </c>
      <c r="BA101" s="8">
        <f>BA25*Assumptions!$B$223*BA83*(1+Assumptions!$B$175)</f>
        <v/>
      </c>
      <c r="BB101" s="8">
        <f>BB25*Assumptions!$B$223*BB83*(1+Assumptions!$B$175)</f>
        <v/>
      </c>
      <c r="BC101" s="8">
        <f>BC25*Assumptions!$B$223*BC83*(1+Assumptions!$B$175)</f>
        <v/>
      </c>
      <c r="BD101" s="8">
        <f>BD25*Assumptions!$B$223*BD83*(1+Assumptions!$B$175)</f>
        <v/>
      </c>
      <c r="BE101" s="8">
        <f>BE25*Assumptions!$B$223*BE83*(1+Assumptions!$B$175)</f>
        <v/>
      </c>
      <c r="BF101" s="8">
        <f>BF25*Assumptions!$B$223*BF83*(1+Assumptions!$B$175)</f>
        <v/>
      </c>
      <c r="BG101" s="8">
        <f>BG25*Assumptions!$B$223*BG83*(1+Assumptions!$B$175)</f>
        <v/>
      </c>
      <c r="BH101" s="8">
        <f>BH25*Assumptions!$B$223*BH83*(1+Assumptions!$B$175)</f>
        <v/>
      </c>
      <c r="BI101" s="8">
        <f>BI25*Assumptions!$B$223*BI83*(1+Assumptions!$B$175)</f>
        <v/>
      </c>
      <c r="BJ101" s="8">
        <f>BJ25*Assumptions!$B$223*BJ83*(1+Assumptions!$B$175)</f>
        <v/>
      </c>
    </row>
    <row r="102">
      <c r="A102" s="4" t="inlineStr">
        <is>
          <t>Data &amp; AI team II</t>
        </is>
      </c>
      <c r="B102" s="17" t="inlineStr">
        <is>
          <t>R</t>
        </is>
      </c>
      <c r="C102" s="8">
        <f>C26*Assumptions!$B$224*C83*(1+Assumptions!$B$175)</f>
        <v/>
      </c>
      <c r="D102" s="8">
        <f>D26*Assumptions!$B$224*D83*(1+Assumptions!$B$175)</f>
        <v/>
      </c>
      <c r="E102" s="8">
        <f>E26*Assumptions!$B$224*E83*(1+Assumptions!$B$175)</f>
        <v/>
      </c>
      <c r="F102" s="8">
        <f>F26*Assumptions!$B$224*F83*(1+Assumptions!$B$175)</f>
        <v/>
      </c>
      <c r="G102" s="8">
        <f>G26*Assumptions!$B$224*G83*(1+Assumptions!$B$175)</f>
        <v/>
      </c>
      <c r="H102" s="8">
        <f>H26*Assumptions!$B$224*H83*(1+Assumptions!$B$175)</f>
        <v/>
      </c>
      <c r="I102" s="8">
        <f>I26*Assumptions!$B$224*I83*(1+Assumptions!$B$175)</f>
        <v/>
      </c>
      <c r="J102" s="8">
        <f>J26*Assumptions!$B$224*J83*(1+Assumptions!$B$175)</f>
        <v/>
      </c>
      <c r="K102" s="8">
        <f>K26*Assumptions!$B$224*K83*(1+Assumptions!$B$175)</f>
        <v/>
      </c>
      <c r="L102" s="8">
        <f>L26*Assumptions!$B$224*L83*(1+Assumptions!$B$175)</f>
        <v/>
      </c>
      <c r="M102" s="8">
        <f>M26*Assumptions!$B$224*M83*(1+Assumptions!$B$175)</f>
        <v/>
      </c>
      <c r="N102" s="8">
        <f>N26*Assumptions!$B$224*N83*(1+Assumptions!$B$175)</f>
        <v/>
      </c>
      <c r="O102" s="8">
        <f>O26*Assumptions!$B$224*O83*(1+Assumptions!$B$175)</f>
        <v/>
      </c>
      <c r="P102" s="8">
        <f>P26*Assumptions!$B$224*P83*(1+Assumptions!$B$175)</f>
        <v/>
      </c>
      <c r="Q102" s="8">
        <f>Q26*Assumptions!$B$224*Q83*(1+Assumptions!$B$175)</f>
        <v/>
      </c>
      <c r="R102" s="8">
        <f>R26*Assumptions!$B$224*R83*(1+Assumptions!$B$175)</f>
        <v/>
      </c>
      <c r="S102" s="8">
        <f>S26*Assumptions!$B$224*S83*(1+Assumptions!$B$175)</f>
        <v/>
      </c>
      <c r="T102" s="8">
        <f>T26*Assumptions!$B$224*T83*(1+Assumptions!$B$175)</f>
        <v/>
      </c>
      <c r="U102" s="8">
        <f>U26*Assumptions!$B$224*U83*(1+Assumptions!$B$175)</f>
        <v/>
      </c>
      <c r="V102" s="8">
        <f>V26*Assumptions!$B$224*V83*(1+Assumptions!$B$175)</f>
        <v/>
      </c>
      <c r="W102" s="8">
        <f>W26*Assumptions!$B$224*W83*(1+Assumptions!$B$175)</f>
        <v/>
      </c>
      <c r="X102" s="8">
        <f>X26*Assumptions!$B$224*X83*(1+Assumptions!$B$175)</f>
        <v/>
      </c>
      <c r="Y102" s="8">
        <f>Y26*Assumptions!$B$224*Y83*(1+Assumptions!$B$175)</f>
        <v/>
      </c>
      <c r="Z102" s="8">
        <f>Z26*Assumptions!$B$224*Z83*(1+Assumptions!$B$175)</f>
        <v/>
      </c>
      <c r="AA102" s="8">
        <f>AA26*Assumptions!$B$224*AA83*(1+Assumptions!$B$175)</f>
        <v/>
      </c>
      <c r="AB102" s="8">
        <f>AB26*Assumptions!$B$224*AB83*(1+Assumptions!$B$175)</f>
        <v/>
      </c>
      <c r="AC102" s="8">
        <f>AC26*Assumptions!$B$224*AC83*(1+Assumptions!$B$175)</f>
        <v/>
      </c>
      <c r="AD102" s="8">
        <f>AD26*Assumptions!$B$224*AD83*(1+Assumptions!$B$175)</f>
        <v/>
      </c>
      <c r="AE102" s="8">
        <f>AE26*Assumptions!$B$224*AE83*(1+Assumptions!$B$175)</f>
        <v/>
      </c>
      <c r="AF102" s="8">
        <f>AF26*Assumptions!$B$224*AF83*(1+Assumptions!$B$175)</f>
        <v/>
      </c>
      <c r="AG102" s="8">
        <f>AG26*Assumptions!$B$224*AG83*(1+Assumptions!$B$175)</f>
        <v/>
      </c>
      <c r="AH102" s="8">
        <f>AH26*Assumptions!$B$224*AH83*(1+Assumptions!$B$175)</f>
        <v/>
      </c>
      <c r="AI102" s="8">
        <f>AI26*Assumptions!$B$224*AI83*(1+Assumptions!$B$175)</f>
        <v/>
      </c>
      <c r="AJ102" s="8">
        <f>AJ26*Assumptions!$B$224*AJ83*(1+Assumptions!$B$175)</f>
        <v/>
      </c>
      <c r="AK102" s="8">
        <f>AK26*Assumptions!$B$224*AK83*(1+Assumptions!$B$175)</f>
        <v/>
      </c>
      <c r="AL102" s="8">
        <f>AL26*Assumptions!$B$224*AL83*(1+Assumptions!$B$175)</f>
        <v/>
      </c>
      <c r="AM102" s="8">
        <f>AM26*Assumptions!$B$224*AM83*(1+Assumptions!$B$175)</f>
        <v/>
      </c>
      <c r="AN102" s="8">
        <f>AN26*Assumptions!$B$224*AN83*(1+Assumptions!$B$175)</f>
        <v/>
      </c>
      <c r="AO102" s="8">
        <f>AO26*Assumptions!$B$224*AO83*(1+Assumptions!$B$175)</f>
        <v/>
      </c>
      <c r="AP102" s="8">
        <f>AP26*Assumptions!$B$224*AP83*(1+Assumptions!$B$175)</f>
        <v/>
      </c>
      <c r="AQ102" s="8">
        <f>AQ26*Assumptions!$B$224*AQ83*(1+Assumptions!$B$175)</f>
        <v/>
      </c>
      <c r="AR102" s="8">
        <f>AR26*Assumptions!$B$224*AR83*(1+Assumptions!$B$175)</f>
        <v/>
      </c>
      <c r="AS102" s="8">
        <f>AS26*Assumptions!$B$224*AS83*(1+Assumptions!$B$175)</f>
        <v/>
      </c>
      <c r="AT102" s="8">
        <f>AT26*Assumptions!$B$224*AT83*(1+Assumptions!$B$175)</f>
        <v/>
      </c>
      <c r="AU102" s="8">
        <f>AU26*Assumptions!$B$224*AU83*(1+Assumptions!$B$175)</f>
        <v/>
      </c>
      <c r="AV102" s="8">
        <f>AV26*Assumptions!$B$224*AV83*(1+Assumptions!$B$175)</f>
        <v/>
      </c>
      <c r="AW102" s="8">
        <f>AW26*Assumptions!$B$224*AW83*(1+Assumptions!$B$175)</f>
        <v/>
      </c>
      <c r="AX102" s="8">
        <f>AX26*Assumptions!$B$224*AX83*(1+Assumptions!$B$175)</f>
        <v/>
      </c>
      <c r="AY102" s="8">
        <f>AY26*Assumptions!$B$224*AY83*(1+Assumptions!$B$175)</f>
        <v/>
      </c>
      <c r="AZ102" s="8">
        <f>AZ26*Assumptions!$B$224*AZ83*(1+Assumptions!$B$175)</f>
        <v/>
      </c>
      <c r="BA102" s="8">
        <f>BA26*Assumptions!$B$224*BA83*(1+Assumptions!$B$175)</f>
        <v/>
      </c>
      <c r="BB102" s="8">
        <f>BB26*Assumptions!$B$224*BB83*(1+Assumptions!$B$175)</f>
        <v/>
      </c>
      <c r="BC102" s="8">
        <f>BC26*Assumptions!$B$224*BC83*(1+Assumptions!$B$175)</f>
        <v/>
      </c>
      <c r="BD102" s="8">
        <f>BD26*Assumptions!$B$224*BD83*(1+Assumptions!$B$175)</f>
        <v/>
      </c>
      <c r="BE102" s="8">
        <f>BE26*Assumptions!$B$224*BE83*(1+Assumptions!$B$175)</f>
        <v/>
      </c>
      <c r="BF102" s="8">
        <f>BF26*Assumptions!$B$224*BF83*(1+Assumptions!$B$175)</f>
        <v/>
      </c>
      <c r="BG102" s="8">
        <f>BG26*Assumptions!$B$224*BG83*(1+Assumptions!$B$175)</f>
        <v/>
      </c>
      <c r="BH102" s="8">
        <f>BH26*Assumptions!$B$224*BH83*(1+Assumptions!$B$175)</f>
        <v/>
      </c>
      <c r="BI102" s="8">
        <f>BI26*Assumptions!$B$224*BI83*(1+Assumptions!$B$175)</f>
        <v/>
      </c>
      <c r="BJ102" s="8">
        <f>BJ26*Assumptions!$B$224*BJ83*(1+Assumptions!$B$175)</f>
        <v/>
      </c>
    </row>
    <row r="103">
      <c r="A103" s="4" t="inlineStr">
        <is>
          <t>Head of Growth</t>
        </is>
      </c>
      <c r="B103" s="17" t="inlineStr">
        <is>
          <t>R</t>
        </is>
      </c>
      <c r="C103" s="8">
        <f>C27*Assumptions!$B$225*C83*(1+Assumptions!$B$175)</f>
        <v/>
      </c>
      <c r="D103" s="8">
        <f>D27*Assumptions!$B$225*D83*(1+Assumptions!$B$175)</f>
        <v/>
      </c>
      <c r="E103" s="8">
        <f>E27*Assumptions!$B$225*E83*(1+Assumptions!$B$175)</f>
        <v/>
      </c>
      <c r="F103" s="8">
        <f>F27*Assumptions!$B$225*F83*(1+Assumptions!$B$175)</f>
        <v/>
      </c>
      <c r="G103" s="8">
        <f>G27*Assumptions!$B$225*G83*(1+Assumptions!$B$175)</f>
        <v/>
      </c>
      <c r="H103" s="8">
        <f>H27*Assumptions!$B$225*H83*(1+Assumptions!$B$175)</f>
        <v/>
      </c>
      <c r="I103" s="8">
        <f>I27*Assumptions!$B$225*I83*(1+Assumptions!$B$175)</f>
        <v/>
      </c>
      <c r="J103" s="8">
        <f>J27*Assumptions!$B$225*J83*(1+Assumptions!$B$175)</f>
        <v/>
      </c>
      <c r="K103" s="8">
        <f>K27*Assumptions!$B$225*K83*(1+Assumptions!$B$175)</f>
        <v/>
      </c>
      <c r="L103" s="8">
        <f>L27*Assumptions!$B$225*L83*(1+Assumptions!$B$175)</f>
        <v/>
      </c>
      <c r="M103" s="8">
        <f>M27*Assumptions!$B$225*M83*(1+Assumptions!$B$175)</f>
        <v/>
      </c>
      <c r="N103" s="8">
        <f>N27*Assumptions!$B$225*N83*(1+Assumptions!$B$175)</f>
        <v/>
      </c>
      <c r="O103" s="8">
        <f>O27*Assumptions!$B$225*O83*(1+Assumptions!$B$175)</f>
        <v/>
      </c>
      <c r="P103" s="8">
        <f>P27*Assumptions!$B$225*P83*(1+Assumptions!$B$175)</f>
        <v/>
      </c>
      <c r="Q103" s="8">
        <f>Q27*Assumptions!$B$225*Q83*(1+Assumptions!$B$175)</f>
        <v/>
      </c>
      <c r="R103" s="8">
        <f>R27*Assumptions!$B$225*R83*(1+Assumptions!$B$175)</f>
        <v/>
      </c>
      <c r="S103" s="8">
        <f>S27*Assumptions!$B$225*S83*(1+Assumptions!$B$175)</f>
        <v/>
      </c>
      <c r="T103" s="8">
        <f>T27*Assumptions!$B$225*T83*(1+Assumptions!$B$175)</f>
        <v/>
      </c>
      <c r="U103" s="8">
        <f>U27*Assumptions!$B$225*U83*(1+Assumptions!$B$175)</f>
        <v/>
      </c>
      <c r="V103" s="8">
        <f>V27*Assumptions!$B$225*V83*(1+Assumptions!$B$175)</f>
        <v/>
      </c>
      <c r="W103" s="8">
        <f>W27*Assumptions!$B$225*W83*(1+Assumptions!$B$175)</f>
        <v/>
      </c>
      <c r="X103" s="8">
        <f>X27*Assumptions!$B$225*X83*(1+Assumptions!$B$175)</f>
        <v/>
      </c>
      <c r="Y103" s="8">
        <f>Y27*Assumptions!$B$225*Y83*(1+Assumptions!$B$175)</f>
        <v/>
      </c>
      <c r="Z103" s="8">
        <f>Z27*Assumptions!$B$225*Z83*(1+Assumptions!$B$175)</f>
        <v/>
      </c>
      <c r="AA103" s="8">
        <f>AA27*Assumptions!$B$225*AA83*(1+Assumptions!$B$175)</f>
        <v/>
      </c>
      <c r="AB103" s="8">
        <f>AB27*Assumptions!$B$225*AB83*(1+Assumptions!$B$175)</f>
        <v/>
      </c>
      <c r="AC103" s="8">
        <f>AC27*Assumptions!$B$225*AC83*(1+Assumptions!$B$175)</f>
        <v/>
      </c>
      <c r="AD103" s="8">
        <f>AD27*Assumptions!$B$225*AD83*(1+Assumptions!$B$175)</f>
        <v/>
      </c>
      <c r="AE103" s="8">
        <f>AE27*Assumptions!$B$225*AE83*(1+Assumptions!$B$175)</f>
        <v/>
      </c>
      <c r="AF103" s="8">
        <f>AF27*Assumptions!$B$225*AF83*(1+Assumptions!$B$175)</f>
        <v/>
      </c>
      <c r="AG103" s="8">
        <f>AG27*Assumptions!$B$225*AG83*(1+Assumptions!$B$175)</f>
        <v/>
      </c>
      <c r="AH103" s="8">
        <f>AH27*Assumptions!$B$225*AH83*(1+Assumptions!$B$175)</f>
        <v/>
      </c>
      <c r="AI103" s="8">
        <f>AI27*Assumptions!$B$225*AI83*(1+Assumptions!$B$175)</f>
        <v/>
      </c>
      <c r="AJ103" s="8">
        <f>AJ27*Assumptions!$B$225*AJ83*(1+Assumptions!$B$175)</f>
        <v/>
      </c>
      <c r="AK103" s="8">
        <f>AK27*Assumptions!$B$225*AK83*(1+Assumptions!$B$175)</f>
        <v/>
      </c>
      <c r="AL103" s="8">
        <f>AL27*Assumptions!$B$225*AL83*(1+Assumptions!$B$175)</f>
        <v/>
      </c>
      <c r="AM103" s="8">
        <f>AM27*Assumptions!$B$225*AM83*(1+Assumptions!$B$175)</f>
        <v/>
      </c>
      <c r="AN103" s="8">
        <f>AN27*Assumptions!$B$225*AN83*(1+Assumptions!$B$175)</f>
        <v/>
      </c>
      <c r="AO103" s="8">
        <f>AO27*Assumptions!$B$225*AO83*(1+Assumptions!$B$175)</f>
        <v/>
      </c>
      <c r="AP103" s="8">
        <f>AP27*Assumptions!$B$225*AP83*(1+Assumptions!$B$175)</f>
        <v/>
      </c>
      <c r="AQ103" s="8">
        <f>AQ27*Assumptions!$B$225*AQ83*(1+Assumptions!$B$175)</f>
        <v/>
      </c>
      <c r="AR103" s="8">
        <f>AR27*Assumptions!$B$225*AR83*(1+Assumptions!$B$175)</f>
        <v/>
      </c>
      <c r="AS103" s="8">
        <f>AS27*Assumptions!$B$225*AS83*(1+Assumptions!$B$175)</f>
        <v/>
      </c>
      <c r="AT103" s="8">
        <f>AT27*Assumptions!$B$225*AT83*(1+Assumptions!$B$175)</f>
        <v/>
      </c>
      <c r="AU103" s="8">
        <f>AU27*Assumptions!$B$225*AU83*(1+Assumptions!$B$175)</f>
        <v/>
      </c>
      <c r="AV103" s="8">
        <f>AV27*Assumptions!$B$225*AV83*(1+Assumptions!$B$175)</f>
        <v/>
      </c>
      <c r="AW103" s="8">
        <f>AW27*Assumptions!$B$225*AW83*(1+Assumptions!$B$175)</f>
        <v/>
      </c>
      <c r="AX103" s="8">
        <f>AX27*Assumptions!$B$225*AX83*(1+Assumptions!$B$175)</f>
        <v/>
      </c>
      <c r="AY103" s="8">
        <f>AY27*Assumptions!$B$225*AY83*(1+Assumptions!$B$175)</f>
        <v/>
      </c>
      <c r="AZ103" s="8">
        <f>AZ27*Assumptions!$B$225*AZ83*(1+Assumptions!$B$175)</f>
        <v/>
      </c>
      <c r="BA103" s="8">
        <f>BA27*Assumptions!$B$225*BA83*(1+Assumptions!$B$175)</f>
        <v/>
      </c>
      <c r="BB103" s="8">
        <f>BB27*Assumptions!$B$225*BB83*(1+Assumptions!$B$175)</f>
        <v/>
      </c>
      <c r="BC103" s="8">
        <f>BC27*Assumptions!$B$225*BC83*(1+Assumptions!$B$175)</f>
        <v/>
      </c>
      <c r="BD103" s="8">
        <f>BD27*Assumptions!$B$225*BD83*(1+Assumptions!$B$175)</f>
        <v/>
      </c>
      <c r="BE103" s="8">
        <f>BE27*Assumptions!$B$225*BE83*(1+Assumptions!$B$175)</f>
        <v/>
      </c>
      <c r="BF103" s="8">
        <f>BF27*Assumptions!$B$225*BF83*(1+Assumptions!$B$175)</f>
        <v/>
      </c>
      <c r="BG103" s="8">
        <f>BG27*Assumptions!$B$225*BG83*(1+Assumptions!$B$175)</f>
        <v/>
      </c>
      <c r="BH103" s="8">
        <f>BH27*Assumptions!$B$225*BH83*(1+Assumptions!$B$175)</f>
        <v/>
      </c>
      <c r="BI103" s="8">
        <f>BI27*Assumptions!$B$225*BI83*(1+Assumptions!$B$175)</f>
        <v/>
      </c>
      <c r="BJ103" s="8">
        <f>BJ27*Assumptions!$B$225*BJ83*(1+Assumptions!$B$175)</f>
        <v/>
      </c>
    </row>
    <row r="104">
      <c r="A104" s="4" t="inlineStr">
        <is>
          <t>Performance marketer</t>
        </is>
      </c>
      <c r="B104" s="17" t="inlineStr">
        <is>
          <t>R</t>
        </is>
      </c>
      <c r="C104" s="8">
        <f>C28*Assumptions!$B$226*C83*(1+Assumptions!$B$175)</f>
        <v/>
      </c>
      <c r="D104" s="8">
        <f>D28*Assumptions!$B$226*D83*(1+Assumptions!$B$175)</f>
        <v/>
      </c>
      <c r="E104" s="8">
        <f>E28*Assumptions!$B$226*E83*(1+Assumptions!$B$175)</f>
        <v/>
      </c>
      <c r="F104" s="8">
        <f>F28*Assumptions!$B$226*F83*(1+Assumptions!$B$175)</f>
        <v/>
      </c>
      <c r="G104" s="8">
        <f>G28*Assumptions!$B$226*G83*(1+Assumptions!$B$175)</f>
        <v/>
      </c>
      <c r="H104" s="8">
        <f>H28*Assumptions!$B$226*H83*(1+Assumptions!$B$175)</f>
        <v/>
      </c>
      <c r="I104" s="8">
        <f>I28*Assumptions!$B$226*I83*(1+Assumptions!$B$175)</f>
        <v/>
      </c>
      <c r="J104" s="8">
        <f>J28*Assumptions!$B$226*J83*(1+Assumptions!$B$175)</f>
        <v/>
      </c>
      <c r="K104" s="8">
        <f>K28*Assumptions!$B$226*K83*(1+Assumptions!$B$175)</f>
        <v/>
      </c>
      <c r="L104" s="8">
        <f>L28*Assumptions!$B$226*L83*(1+Assumptions!$B$175)</f>
        <v/>
      </c>
      <c r="M104" s="8">
        <f>M28*Assumptions!$B$226*M83*(1+Assumptions!$B$175)</f>
        <v/>
      </c>
      <c r="N104" s="8">
        <f>N28*Assumptions!$B$226*N83*(1+Assumptions!$B$175)</f>
        <v/>
      </c>
      <c r="O104" s="8">
        <f>O28*Assumptions!$B$226*O83*(1+Assumptions!$B$175)</f>
        <v/>
      </c>
      <c r="P104" s="8">
        <f>P28*Assumptions!$B$226*P83*(1+Assumptions!$B$175)</f>
        <v/>
      </c>
      <c r="Q104" s="8">
        <f>Q28*Assumptions!$B$226*Q83*(1+Assumptions!$B$175)</f>
        <v/>
      </c>
      <c r="R104" s="8">
        <f>R28*Assumptions!$B$226*R83*(1+Assumptions!$B$175)</f>
        <v/>
      </c>
      <c r="S104" s="8">
        <f>S28*Assumptions!$B$226*S83*(1+Assumptions!$B$175)</f>
        <v/>
      </c>
      <c r="T104" s="8">
        <f>T28*Assumptions!$B$226*T83*(1+Assumptions!$B$175)</f>
        <v/>
      </c>
      <c r="U104" s="8">
        <f>U28*Assumptions!$B$226*U83*(1+Assumptions!$B$175)</f>
        <v/>
      </c>
      <c r="V104" s="8">
        <f>V28*Assumptions!$B$226*V83*(1+Assumptions!$B$175)</f>
        <v/>
      </c>
      <c r="W104" s="8">
        <f>W28*Assumptions!$B$226*W83*(1+Assumptions!$B$175)</f>
        <v/>
      </c>
      <c r="X104" s="8">
        <f>X28*Assumptions!$B$226*X83*(1+Assumptions!$B$175)</f>
        <v/>
      </c>
      <c r="Y104" s="8">
        <f>Y28*Assumptions!$B$226*Y83*(1+Assumptions!$B$175)</f>
        <v/>
      </c>
      <c r="Z104" s="8">
        <f>Z28*Assumptions!$B$226*Z83*(1+Assumptions!$B$175)</f>
        <v/>
      </c>
      <c r="AA104" s="8">
        <f>AA28*Assumptions!$B$226*AA83*(1+Assumptions!$B$175)</f>
        <v/>
      </c>
      <c r="AB104" s="8">
        <f>AB28*Assumptions!$B$226*AB83*(1+Assumptions!$B$175)</f>
        <v/>
      </c>
      <c r="AC104" s="8">
        <f>AC28*Assumptions!$B$226*AC83*(1+Assumptions!$B$175)</f>
        <v/>
      </c>
      <c r="AD104" s="8">
        <f>AD28*Assumptions!$B$226*AD83*(1+Assumptions!$B$175)</f>
        <v/>
      </c>
      <c r="AE104" s="8">
        <f>AE28*Assumptions!$B$226*AE83*(1+Assumptions!$B$175)</f>
        <v/>
      </c>
      <c r="AF104" s="8">
        <f>AF28*Assumptions!$B$226*AF83*(1+Assumptions!$B$175)</f>
        <v/>
      </c>
      <c r="AG104" s="8">
        <f>AG28*Assumptions!$B$226*AG83*(1+Assumptions!$B$175)</f>
        <v/>
      </c>
      <c r="AH104" s="8">
        <f>AH28*Assumptions!$B$226*AH83*(1+Assumptions!$B$175)</f>
        <v/>
      </c>
      <c r="AI104" s="8">
        <f>AI28*Assumptions!$B$226*AI83*(1+Assumptions!$B$175)</f>
        <v/>
      </c>
      <c r="AJ104" s="8">
        <f>AJ28*Assumptions!$B$226*AJ83*(1+Assumptions!$B$175)</f>
        <v/>
      </c>
      <c r="AK104" s="8">
        <f>AK28*Assumptions!$B$226*AK83*(1+Assumptions!$B$175)</f>
        <v/>
      </c>
      <c r="AL104" s="8">
        <f>AL28*Assumptions!$B$226*AL83*(1+Assumptions!$B$175)</f>
        <v/>
      </c>
      <c r="AM104" s="8">
        <f>AM28*Assumptions!$B$226*AM83*(1+Assumptions!$B$175)</f>
        <v/>
      </c>
      <c r="AN104" s="8">
        <f>AN28*Assumptions!$B$226*AN83*(1+Assumptions!$B$175)</f>
        <v/>
      </c>
      <c r="AO104" s="8">
        <f>AO28*Assumptions!$B$226*AO83*(1+Assumptions!$B$175)</f>
        <v/>
      </c>
      <c r="AP104" s="8">
        <f>AP28*Assumptions!$B$226*AP83*(1+Assumptions!$B$175)</f>
        <v/>
      </c>
      <c r="AQ104" s="8">
        <f>AQ28*Assumptions!$B$226*AQ83*(1+Assumptions!$B$175)</f>
        <v/>
      </c>
      <c r="AR104" s="8">
        <f>AR28*Assumptions!$B$226*AR83*(1+Assumptions!$B$175)</f>
        <v/>
      </c>
      <c r="AS104" s="8">
        <f>AS28*Assumptions!$B$226*AS83*(1+Assumptions!$B$175)</f>
        <v/>
      </c>
      <c r="AT104" s="8">
        <f>AT28*Assumptions!$B$226*AT83*(1+Assumptions!$B$175)</f>
        <v/>
      </c>
      <c r="AU104" s="8">
        <f>AU28*Assumptions!$B$226*AU83*(1+Assumptions!$B$175)</f>
        <v/>
      </c>
      <c r="AV104" s="8">
        <f>AV28*Assumptions!$B$226*AV83*(1+Assumptions!$B$175)</f>
        <v/>
      </c>
      <c r="AW104" s="8">
        <f>AW28*Assumptions!$B$226*AW83*(1+Assumptions!$B$175)</f>
        <v/>
      </c>
      <c r="AX104" s="8">
        <f>AX28*Assumptions!$B$226*AX83*(1+Assumptions!$B$175)</f>
        <v/>
      </c>
      <c r="AY104" s="8">
        <f>AY28*Assumptions!$B$226*AY83*(1+Assumptions!$B$175)</f>
        <v/>
      </c>
      <c r="AZ104" s="8">
        <f>AZ28*Assumptions!$B$226*AZ83*(1+Assumptions!$B$175)</f>
        <v/>
      </c>
      <c r="BA104" s="8">
        <f>BA28*Assumptions!$B$226*BA83*(1+Assumptions!$B$175)</f>
        <v/>
      </c>
      <c r="BB104" s="8">
        <f>BB28*Assumptions!$B$226*BB83*(1+Assumptions!$B$175)</f>
        <v/>
      </c>
      <c r="BC104" s="8">
        <f>BC28*Assumptions!$B$226*BC83*(1+Assumptions!$B$175)</f>
        <v/>
      </c>
      <c r="BD104" s="8">
        <f>BD28*Assumptions!$B$226*BD83*(1+Assumptions!$B$175)</f>
        <v/>
      </c>
      <c r="BE104" s="8">
        <f>BE28*Assumptions!$B$226*BE83*(1+Assumptions!$B$175)</f>
        <v/>
      </c>
      <c r="BF104" s="8">
        <f>BF28*Assumptions!$B$226*BF83*(1+Assumptions!$B$175)</f>
        <v/>
      </c>
      <c r="BG104" s="8">
        <f>BG28*Assumptions!$B$226*BG83*(1+Assumptions!$B$175)</f>
        <v/>
      </c>
      <c r="BH104" s="8">
        <f>BH28*Assumptions!$B$226*BH83*(1+Assumptions!$B$175)</f>
        <v/>
      </c>
      <c r="BI104" s="8">
        <f>BI28*Assumptions!$B$226*BI83*(1+Assumptions!$B$175)</f>
        <v/>
      </c>
      <c r="BJ104" s="8">
        <f>BJ28*Assumptions!$B$226*BJ83*(1+Assumptions!$B$175)</f>
        <v/>
      </c>
    </row>
    <row r="105">
      <c r="A105" s="4" t="inlineStr">
        <is>
          <t>Multilingual content &amp; community</t>
        </is>
      </c>
      <c r="B105" s="17" t="inlineStr">
        <is>
          <t>R</t>
        </is>
      </c>
      <c r="C105" s="8">
        <f>C29*Assumptions!$B$227*C83*(1+Assumptions!$B$175)</f>
        <v/>
      </c>
      <c r="D105" s="8">
        <f>D29*Assumptions!$B$227*D83*(1+Assumptions!$B$175)</f>
        <v/>
      </c>
      <c r="E105" s="8">
        <f>E29*Assumptions!$B$227*E83*(1+Assumptions!$B$175)</f>
        <v/>
      </c>
      <c r="F105" s="8">
        <f>F29*Assumptions!$B$227*F83*(1+Assumptions!$B$175)</f>
        <v/>
      </c>
      <c r="G105" s="8">
        <f>G29*Assumptions!$B$227*G83*(1+Assumptions!$B$175)</f>
        <v/>
      </c>
      <c r="H105" s="8">
        <f>H29*Assumptions!$B$227*H83*(1+Assumptions!$B$175)</f>
        <v/>
      </c>
      <c r="I105" s="8">
        <f>I29*Assumptions!$B$227*I83*(1+Assumptions!$B$175)</f>
        <v/>
      </c>
      <c r="J105" s="8">
        <f>J29*Assumptions!$B$227*J83*(1+Assumptions!$B$175)</f>
        <v/>
      </c>
      <c r="K105" s="8">
        <f>K29*Assumptions!$B$227*K83*(1+Assumptions!$B$175)</f>
        <v/>
      </c>
      <c r="L105" s="8">
        <f>L29*Assumptions!$B$227*L83*(1+Assumptions!$B$175)</f>
        <v/>
      </c>
      <c r="M105" s="8">
        <f>M29*Assumptions!$B$227*M83*(1+Assumptions!$B$175)</f>
        <v/>
      </c>
      <c r="N105" s="8">
        <f>N29*Assumptions!$B$227*N83*(1+Assumptions!$B$175)</f>
        <v/>
      </c>
      <c r="O105" s="8">
        <f>O29*Assumptions!$B$227*O83*(1+Assumptions!$B$175)</f>
        <v/>
      </c>
      <c r="P105" s="8">
        <f>P29*Assumptions!$B$227*P83*(1+Assumptions!$B$175)</f>
        <v/>
      </c>
      <c r="Q105" s="8">
        <f>Q29*Assumptions!$B$227*Q83*(1+Assumptions!$B$175)</f>
        <v/>
      </c>
      <c r="R105" s="8">
        <f>R29*Assumptions!$B$227*R83*(1+Assumptions!$B$175)</f>
        <v/>
      </c>
      <c r="S105" s="8">
        <f>S29*Assumptions!$B$227*S83*(1+Assumptions!$B$175)</f>
        <v/>
      </c>
      <c r="T105" s="8">
        <f>T29*Assumptions!$B$227*T83*(1+Assumptions!$B$175)</f>
        <v/>
      </c>
      <c r="U105" s="8">
        <f>U29*Assumptions!$B$227*U83*(1+Assumptions!$B$175)</f>
        <v/>
      </c>
      <c r="V105" s="8">
        <f>V29*Assumptions!$B$227*V83*(1+Assumptions!$B$175)</f>
        <v/>
      </c>
      <c r="W105" s="8">
        <f>W29*Assumptions!$B$227*W83*(1+Assumptions!$B$175)</f>
        <v/>
      </c>
      <c r="X105" s="8">
        <f>X29*Assumptions!$B$227*X83*(1+Assumptions!$B$175)</f>
        <v/>
      </c>
      <c r="Y105" s="8">
        <f>Y29*Assumptions!$B$227*Y83*(1+Assumptions!$B$175)</f>
        <v/>
      </c>
      <c r="Z105" s="8">
        <f>Z29*Assumptions!$B$227*Z83*(1+Assumptions!$B$175)</f>
        <v/>
      </c>
      <c r="AA105" s="8">
        <f>AA29*Assumptions!$B$227*AA83*(1+Assumptions!$B$175)</f>
        <v/>
      </c>
      <c r="AB105" s="8">
        <f>AB29*Assumptions!$B$227*AB83*(1+Assumptions!$B$175)</f>
        <v/>
      </c>
      <c r="AC105" s="8">
        <f>AC29*Assumptions!$B$227*AC83*(1+Assumptions!$B$175)</f>
        <v/>
      </c>
      <c r="AD105" s="8">
        <f>AD29*Assumptions!$B$227*AD83*(1+Assumptions!$B$175)</f>
        <v/>
      </c>
      <c r="AE105" s="8">
        <f>AE29*Assumptions!$B$227*AE83*(1+Assumptions!$B$175)</f>
        <v/>
      </c>
      <c r="AF105" s="8">
        <f>AF29*Assumptions!$B$227*AF83*(1+Assumptions!$B$175)</f>
        <v/>
      </c>
      <c r="AG105" s="8">
        <f>AG29*Assumptions!$B$227*AG83*(1+Assumptions!$B$175)</f>
        <v/>
      </c>
      <c r="AH105" s="8">
        <f>AH29*Assumptions!$B$227*AH83*(1+Assumptions!$B$175)</f>
        <v/>
      </c>
      <c r="AI105" s="8">
        <f>AI29*Assumptions!$B$227*AI83*(1+Assumptions!$B$175)</f>
        <v/>
      </c>
      <c r="AJ105" s="8">
        <f>AJ29*Assumptions!$B$227*AJ83*(1+Assumptions!$B$175)</f>
        <v/>
      </c>
      <c r="AK105" s="8">
        <f>AK29*Assumptions!$B$227*AK83*(1+Assumptions!$B$175)</f>
        <v/>
      </c>
      <c r="AL105" s="8">
        <f>AL29*Assumptions!$B$227*AL83*(1+Assumptions!$B$175)</f>
        <v/>
      </c>
      <c r="AM105" s="8">
        <f>AM29*Assumptions!$B$227*AM83*(1+Assumptions!$B$175)</f>
        <v/>
      </c>
      <c r="AN105" s="8">
        <f>AN29*Assumptions!$B$227*AN83*(1+Assumptions!$B$175)</f>
        <v/>
      </c>
      <c r="AO105" s="8">
        <f>AO29*Assumptions!$B$227*AO83*(1+Assumptions!$B$175)</f>
        <v/>
      </c>
      <c r="AP105" s="8">
        <f>AP29*Assumptions!$B$227*AP83*(1+Assumptions!$B$175)</f>
        <v/>
      </c>
      <c r="AQ105" s="8">
        <f>AQ29*Assumptions!$B$227*AQ83*(1+Assumptions!$B$175)</f>
        <v/>
      </c>
      <c r="AR105" s="8">
        <f>AR29*Assumptions!$B$227*AR83*(1+Assumptions!$B$175)</f>
        <v/>
      </c>
      <c r="AS105" s="8">
        <f>AS29*Assumptions!$B$227*AS83*(1+Assumptions!$B$175)</f>
        <v/>
      </c>
      <c r="AT105" s="8">
        <f>AT29*Assumptions!$B$227*AT83*(1+Assumptions!$B$175)</f>
        <v/>
      </c>
      <c r="AU105" s="8">
        <f>AU29*Assumptions!$B$227*AU83*(1+Assumptions!$B$175)</f>
        <v/>
      </c>
      <c r="AV105" s="8">
        <f>AV29*Assumptions!$B$227*AV83*(1+Assumptions!$B$175)</f>
        <v/>
      </c>
      <c r="AW105" s="8">
        <f>AW29*Assumptions!$B$227*AW83*(1+Assumptions!$B$175)</f>
        <v/>
      </c>
      <c r="AX105" s="8">
        <f>AX29*Assumptions!$B$227*AX83*(1+Assumptions!$B$175)</f>
        <v/>
      </c>
      <c r="AY105" s="8">
        <f>AY29*Assumptions!$B$227*AY83*(1+Assumptions!$B$175)</f>
        <v/>
      </c>
      <c r="AZ105" s="8">
        <f>AZ29*Assumptions!$B$227*AZ83*(1+Assumptions!$B$175)</f>
        <v/>
      </c>
      <c r="BA105" s="8">
        <f>BA29*Assumptions!$B$227*BA83*(1+Assumptions!$B$175)</f>
        <v/>
      </c>
      <c r="BB105" s="8">
        <f>BB29*Assumptions!$B$227*BB83*(1+Assumptions!$B$175)</f>
        <v/>
      </c>
      <c r="BC105" s="8">
        <f>BC29*Assumptions!$B$227*BC83*(1+Assumptions!$B$175)</f>
        <v/>
      </c>
      <c r="BD105" s="8">
        <f>BD29*Assumptions!$B$227*BD83*(1+Assumptions!$B$175)</f>
        <v/>
      </c>
      <c r="BE105" s="8">
        <f>BE29*Assumptions!$B$227*BE83*(1+Assumptions!$B$175)</f>
        <v/>
      </c>
      <c r="BF105" s="8">
        <f>BF29*Assumptions!$B$227*BF83*(1+Assumptions!$B$175)</f>
        <v/>
      </c>
      <c r="BG105" s="8">
        <f>BG29*Assumptions!$B$227*BG83*(1+Assumptions!$B$175)</f>
        <v/>
      </c>
      <c r="BH105" s="8">
        <f>BH29*Assumptions!$B$227*BH83*(1+Assumptions!$B$175)</f>
        <v/>
      </c>
      <c r="BI105" s="8">
        <f>BI29*Assumptions!$B$227*BI83*(1+Assumptions!$B$175)</f>
        <v/>
      </c>
      <c r="BJ105" s="8">
        <f>BJ29*Assumptions!$B$227*BJ83*(1+Assumptions!$B$175)</f>
        <v/>
      </c>
    </row>
    <row r="106">
      <c r="A106" s="4" t="inlineStr">
        <is>
          <t>Lifecycle &amp; growth marketers</t>
        </is>
      </c>
      <c r="B106" s="17" t="inlineStr">
        <is>
          <t>R</t>
        </is>
      </c>
      <c r="C106" s="8">
        <f>C30*Assumptions!$B$228*C83*(1+Assumptions!$B$175)</f>
        <v/>
      </c>
      <c r="D106" s="8">
        <f>D30*Assumptions!$B$228*D83*(1+Assumptions!$B$175)</f>
        <v/>
      </c>
      <c r="E106" s="8">
        <f>E30*Assumptions!$B$228*E83*(1+Assumptions!$B$175)</f>
        <v/>
      </c>
      <c r="F106" s="8">
        <f>F30*Assumptions!$B$228*F83*(1+Assumptions!$B$175)</f>
        <v/>
      </c>
      <c r="G106" s="8">
        <f>G30*Assumptions!$B$228*G83*(1+Assumptions!$B$175)</f>
        <v/>
      </c>
      <c r="H106" s="8">
        <f>H30*Assumptions!$B$228*H83*(1+Assumptions!$B$175)</f>
        <v/>
      </c>
      <c r="I106" s="8">
        <f>I30*Assumptions!$B$228*I83*(1+Assumptions!$B$175)</f>
        <v/>
      </c>
      <c r="J106" s="8">
        <f>J30*Assumptions!$B$228*J83*(1+Assumptions!$B$175)</f>
        <v/>
      </c>
      <c r="K106" s="8">
        <f>K30*Assumptions!$B$228*K83*(1+Assumptions!$B$175)</f>
        <v/>
      </c>
      <c r="L106" s="8">
        <f>L30*Assumptions!$B$228*L83*(1+Assumptions!$B$175)</f>
        <v/>
      </c>
      <c r="M106" s="8">
        <f>M30*Assumptions!$B$228*M83*(1+Assumptions!$B$175)</f>
        <v/>
      </c>
      <c r="N106" s="8">
        <f>N30*Assumptions!$B$228*N83*(1+Assumptions!$B$175)</f>
        <v/>
      </c>
      <c r="O106" s="8">
        <f>O30*Assumptions!$B$228*O83*(1+Assumptions!$B$175)</f>
        <v/>
      </c>
      <c r="P106" s="8">
        <f>P30*Assumptions!$B$228*P83*(1+Assumptions!$B$175)</f>
        <v/>
      </c>
      <c r="Q106" s="8">
        <f>Q30*Assumptions!$B$228*Q83*(1+Assumptions!$B$175)</f>
        <v/>
      </c>
      <c r="R106" s="8">
        <f>R30*Assumptions!$B$228*R83*(1+Assumptions!$B$175)</f>
        <v/>
      </c>
      <c r="S106" s="8">
        <f>S30*Assumptions!$B$228*S83*(1+Assumptions!$B$175)</f>
        <v/>
      </c>
      <c r="T106" s="8">
        <f>T30*Assumptions!$B$228*T83*(1+Assumptions!$B$175)</f>
        <v/>
      </c>
      <c r="U106" s="8">
        <f>U30*Assumptions!$B$228*U83*(1+Assumptions!$B$175)</f>
        <v/>
      </c>
      <c r="V106" s="8">
        <f>V30*Assumptions!$B$228*V83*(1+Assumptions!$B$175)</f>
        <v/>
      </c>
      <c r="W106" s="8">
        <f>W30*Assumptions!$B$228*W83*(1+Assumptions!$B$175)</f>
        <v/>
      </c>
      <c r="X106" s="8">
        <f>X30*Assumptions!$B$228*X83*(1+Assumptions!$B$175)</f>
        <v/>
      </c>
      <c r="Y106" s="8">
        <f>Y30*Assumptions!$B$228*Y83*(1+Assumptions!$B$175)</f>
        <v/>
      </c>
      <c r="Z106" s="8">
        <f>Z30*Assumptions!$B$228*Z83*(1+Assumptions!$B$175)</f>
        <v/>
      </c>
      <c r="AA106" s="8">
        <f>AA30*Assumptions!$B$228*AA83*(1+Assumptions!$B$175)</f>
        <v/>
      </c>
      <c r="AB106" s="8">
        <f>AB30*Assumptions!$B$228*AB83*(1+Assumptions!$B$175)</f>
        <v/>
      </c>
      <c r="AC106" s="8">
        <f>AC30*Assumptions!$B$228*AC83*(1+Assumptions!$B$175)</f>
        <v/>
      </c>
      <c r="AD106" s="8">
        <f>AD30*Assumptions!$B$228*AD83*(1+Assumptions!$B$175)</f>
        <v/>
      </c>
      <c r="AE106" s="8">
        <f>AE30*Assumptions!$B$228*AE83*(1+Assumptions!$B$175)</f>
        <v/>
      </c>
      <c r="AF106" s="8">
        <f>AF30*Assumptions!$B$228*AF83*(1+Assumptions!$B$175)</f>
        <v/>
      </c>
      <c r="AG106" s="8">
        <f>AG30*Assumptions!$B$228*AG83*(1+Assumptions!$B$175)</f>
        <v/>
      </c>
      <c r="AH106" s="8">
        <f>AH30*Assumptions!$B$228*AH83*(1+Assumptions!$B$175)</f>
        <v/>
      </c>
      <c r="AI106" s="8">
        <f>AI30*Assumptions!$B$228*AI83*(1+Assumptions!$B$175)</f>
        <v/>
      </c>
      <c r="AJ106" s="8">
        <f>AJ30*Assumptions!$B$228*AJ83*(1+Assumptions!$B$175)</f>
        <v/>
      </c>
      <c r="AK106" s="8">
        <f>AK30*Assumptions!$B$228*AK83*(1+Assumptions!$B$175)</f>
        <v/>
      </c>
      <c r="AL106" s="8">
        <f>AL30*Assumptions!$B$228*AL83*(1+Assumptions!$B$175)</f>
        <v/>
      </c>
      <c r="AM106" s="8">
        <f>AM30*Assumptions!$B$228*AM83*(1+Assumptions!$B$175)</f>
        <v/>
      </c>
      <c r="AN106" s="8">
        <f>AN30*Assumptions!$B$228*AN83*(1+Assumptions!$B$175)</f>
        <v/>
      </c>
      <c r="AO106" s="8">
        <f>AO30*Assumptions!$B$228*AO83*(1+Assumptions!$B$175)</f>
        <v/>
      </c>
      <c r="AP106" s="8">
        <f>AP30*Assumptions!$B$228*AP83*(1+Assumptions!$B$175)</f>
        <v/>
      </c>
      <c r="AQ106" s="8">
        <f>AQ30*Assumptions!$B$228*AQ83*(1+Assumptions!$B$175)</f>
        <v/>
      </c>
      <c r="AR106" s="8">
        <f>AR30*Assumptions!$B$228*AR83*(1+Assumptions!$B$175)</f>
        <v/>
      </c>
      <c r="AS106" s="8">
        <f>AS30*Assumptions!$B$228*AS83*(1+Assumptions!$B$175)</f>
        <v/>
      </c>
      <c r="AT106" s="8">
        <f>AT30*Assumptions!$B$228*AT83*(1+Assumptions!$B$175)</f>
        <v/>
      </c>
      <c r="AU106" s="8">
        <f>AU30*Assumptions!$B$228*AU83*(1+Assumptions!$B$175)</f>
        <v/>
      </c>
      <c r="AV106" s="8">
        <f>AV30*Assumptions!$B$228*AV83*(1+Assumptions!$B$175)</f>
        <v/>
      </c>
      <c r="AW106" s="8">
        <f>AW30*Assumptions!$B$228*AW83*(1+Assumptions!$B$175)</f>
        <v/>
      </c>
      <c r="AX106" s="8">
        <f>AX30*Assumptions!$B$228*AX83*(1+Assumptions!$B$175)</f>
        <v/>
      </c>
      <c r="AY106" s="8">
        <f>AY30*Assumptions!$B$228*AY83*(1+Assumptions!$B$175)</f>
        <v/>
      </c>
      <c r="AZ106" s="8">
        <f>AZ30*Assumptions!$B$228*AZ83*(1+Assumptions!$B$175)</f>
        <v/>
      </c>
      <c r="BA106" s="8">
        <f>BA30*Assumptions!$B$228*BA83*(1+Assumptions!$B$175)</f>
        <v/>
      </c>
      <c r="BB106" s="8">
        <f>BB30*Assumptions!$B$228*BB83*(1+Assumptions!$B$175)</f>
        <v/>
      </c>
      <c r="BC106" s="8">
        <f>BC30*Assumptions!$B$228*BC83*(1+Assumptions!$B$175)</f>
        <v/>
      </c>
      <c r="BD106" s="8">
        <f>BD30*Assumptions!$B$228*BD83*(1+Assumptions!$B$175)</f>
        <v/>
      </c>
      <c r="BE106" s="8">
        <f>BE30*Assumptions!$B$228*BE83*(1+Assumptions!$B$175)</f>
        <v/>
      </c>
      <c r="BF106" s="8">
        <f>BF30*Assumptions!$B$228*BF83*(1+Assumptions!$B$175)</f>
        <v/>
      </c>
      <c r="BG106" s="8">
        <f>BG30*Assumptions!$B$228*BG83*(1+Assumptions!$B$175)</f>
        <v/>
      </c>
      <c r="BH106" s="8">
        <f>BH30*Assumptions!$B$228*BH83*(1+Assumptions!$B$175)</f>
        <v/>
      </c>
      <c r="BI106" s="8">
        <f>BI30*Assumptions!$B$228*BI83*(1+Assumptions!$B$175)</f>
        <v/>
      </c>
      <c r="BJ106" s="8">
        <f>BJ30*Assumptions!$B$228*BJ83*(1+Assumptions!$B$175)</f>
        <v/>
      </c>
    </row>
    <row r="107">
      <c r="A107" s="4" t="inlineStr">
        <is>
          <t>Marketing team expansion I</t>
        </is>
      </c>
      <c r="B107" s="17" t="inlineStr">
        <is>
          <t>R</t>
        </is>
      </c>
      <c r="C107" s="8">
        <f>C31*Assumptions!$B$229*C83*(1+Assumptions!$B$175)</f>
        <v/>
      </c>
      <c r="D107" s="8">
        <f>D31*Assumptions!$B$229*D83*(1+Assumptions!$B$175)</f>
        <v/>
      </c>
      <c r="E107" s="8">
        <f>E31*Assumptions!$B$229*E83*(1+Assumptions!$B$175)</f>
        <v/>
      </c>
      <c r="F107" s="8">
        <f>F31*Assumptions!$B$229*F83*(1+Assumptions!$B$175)</f>
        <v/>
      </c>
      <c r="G107" s="8">
        <f>G31*Assumptions!$B$229*G83*(1+Assumptions!$B$175)</f>
        <v/>
      </c>
      <c r="H107" s="8">
        <f>H31*Assumptions!$B$229*H83*(1+Assumptions!$B$175)</f>
        <v/>
      </c>
      <c r="I107" s="8">
        <f>I31*Assumptions!$B$229*I83*(1+Assumptions!$B$175)</f>
        <v/>
      </c>
      <c r="J107" s="8">
        <f>J31*Assumptions!$B$229*J83*(1+Assumptions!$B$175)</f>
        <v/>
      </c>
      <c r="K107" s="8">
        <f>K31*Assumptions!$B$229*K83*(1+Assumptions!$B$175)</f>
        <v/>
      </c>
      <c r="L107" s="8">
        <f>L31*Assumptions!$B$229*L83*(1+Assumptions!$B$175)</f>
        <v/>
      </c>
      <c r="M107" s="8">
        <f>M31*Assumptions!$B$229*M83*(1+Assumptions!$B$175)</f>
        <v/>
      </c>
      <c r="N107" s="8">
        <f>N31*Assumptions!$B$229*N83*(1+Assumptions!$B$175)</f>
        <v/>
      </c>
      <c r="O107" s="8">
        <f>O31*Assumptions!$B$229*O83*(1+Assumptions!$B$175)</f>
        <v/>
      </c>
      <c r="P107" s="8">
        <f>P31*Assumptions!$B$229*P83*(1+Assumptions!$B$175)</f>
        <v/>
      </c>
      <c r="Q107" s="8">
        <f>Q31*Assumptions!$B$229*Q83*(1+Assumptions!$B$175)</f>
        <v/>
      </c>
      <c r="R107" s="8">
        <f>R31*Assumptions!$B$229*R83*(1+Assumptions!$B$175)</f>
        <v/>
      </c>
      <c r="S107" s="8">
        <f>S31*Assumptions!$B$229*S83*(1+Assumptions!$B$175)</f>
        <v/>
      </c>
      <c r="T107" s="8">
        <f>T31*Assumptions!$B$229*T83*(1+Assumptions!$B$175)</f>
        <v/>
      </c>
      <c r="U107" s="8">
        <f>U31*Assumptions!$B$229*U83*(1+Assumptions!$B$175)</f>
        <v/>
      </c>
      <c r="V107" s="8">
        <f>V31*Assumptions!$B$229*V83*(1+Assumptions!$B$175)</f>
        <v/>
      </c>
      <c r="W107" s="8">
        <f>W31*Assumptions!$B$229*W83*(1+Assumptions!$B$175)</f>
        <v/>
      </c>
      <c r="X107" s="8">
        <f>X31*Assumptions!$B$229*X83*(1+Assumptions!$B$175)</f>
        <v/>
      </c>
      <c r="Y107" s="8">
        <f>Y31*Assumptions!$B$229*Y83*(1+Assumptions!$B$175)</f>
        <v/>
      </c>
      <c r="Z107" s="8">
        <f>Z31*Assumptions!$B$229*Z83*(1+Assumptions!$B$175)</f>
        <v/>
      </c>
      <c r="AA107" s="8">
        <f>AA31*Assumptions!$B$229*AA83*(1+Assumptions!$B$175)</f>
        <v/>
      </c>
      <c r="AB107" s="8">
        <f>AB31*Assumptions!$B$229*AB83*(1+Assumptions!$B$175)</f>
        <v/>
      </c>
      <c r="AC107" s="8">
        <f>AC31*Assumptions!$B$229*AC83*(1+Assumptions!$B$175)</f>
        <v/>
      </c>
      <c r="AD107" s="8">
        <f>AD31*Assumptions!$B$229*AD83*(1+Assumptions!$B$175)</f>
        <v/>
      </c>
      <c r="AE107" s="8">
        <f>AE31*Assumptions!$B$229*AE83*(1+Assumptions!$B$175)</f>
        <v/>
      </c>
      <c r="AF107" s="8">
        <f>AF31*Assumptions!$B$229*AF83*(1+Assumptions!$B$175)</f>
        <v/>
      </c>
      <c r="AG107" s="8">
        <f>AG31*Assumptions!$B$229*AG83*(1+Assumptions!$B$175)</f>
        <v/>
      </c>
      <c r="AH107" s="8">
        <f>AH31*Assumptions!$B$229*AH83*(1+Assumptions!$B$175)</f>
        <v/>
      </c>
      <c r="AI107" s="8">
        <f>AI31*Assumptions!$B$229*AI83*(1+Assumptions!$B$175)</f>
        <v/>
      </c>
      <c r="AJ107" s="8">
        <f>AJ31*Assumptions!$B$229*AJ83*(1+Assumptions!$B$175)</f>
        <v/>
      </c>
      <c r="AK107" s="8">
        <f>AK31*Assumptions!$B$229*AK83*(1+Assumptions!$B$175)</f>
        <v/>
      </c>
      <c r="AL107" s="8">
        <f>AL31*Assumptions!$B$229*AL83*(1+Assumptions!$B$175)</f>
        <v/>
      </c>
      <c r="AM107" s="8">
        <f>AM31*Assumptions!$B$229*AM83*(1+Assumptions!$B$175)</f>
        <v/>
      </c>
      <c r="AN107" s="8">
        <f>AN31*Assumptions!$B$229*AN83*(1+Assumptions!$B$175)</f>
        <v/>
      </c>
      <c r="AO107" s="8">
        <f>AO31*Assumptions!$B$229*AO83*(1+Assumptions!$B$175)</f>
        <v/>
      </c>
      <c r="AP107" s="8">
        <f>AP31*Assumptions!$B$229*AP83*(1+Assumptions!$B$175)</f>
        <v/>
      </c>
      <c r="AQ107" s="8">
        <f>AQ31*Assumptions!$B$229*AQ83*(1+Assumptions!$B$175)</f>
        <v/>
      </c>
      <c r="AR107" s="8">
        <f>AR31*Assumptions!$B$229*AR83*(1+Assumptions!$B$175)</f>
        <v/>
      </c>
      <c r="AS107" s="8">
        <f>AS31*Assumptions!$B$229*AS83*(1+Assumptions!$B$175)</f>
        <v/>
      </c>
      <c r="AT107" s="8">
        <f>AT31*Assumptions!$B$229*AT83*(1+Assumptions!$B$175)</f>
        <v/>
      </c>
      <c r="AU107" s="8">
        <f>AU31*Assumptions!$B$229*AU83*(1+Assumptions!$B$175)</f>
        <v/>
      </c>
      <c r="AV107" s="8">
        <f>AV31*Assumptions!$B$229*AV83*(1+Assumptions!$B$175)</f>
        <v/>
      </c>
      <c r="AW107" s="8">
        <f>AW31*Assumptions!$B$229*AW83*(1+Assumptions!$B$175)</f>
        <v/>
      </c>
      <c r="AX107" s="8">
        <f>AX31*Assumptions!$B$229*AX83*(1+Assumptions!$B$175)</f>
        <v/>
      </c>
      <c r="AY107" s="8">
        <f>AY31*Assumptions!$B$229*AY83*(1+Assumptions!$B$175)</f>
        <v/>
      </c>
      <c r="AZ107" s="8">
        <f>AZ31*Assumptions!$B$229*AZ83*(1+Assumptions!$B$175)</f>
        <v/>
      </c>
      <c r="BA107" s="8">
        <f>BA31*Assumptions!$B$229*BA83*(1+Assumptions!$B$175)</f>
        <v/>
      </c>
      <c r="BB107" s="8">
        <f>BB31*Assumptions!$B$229*BB83*(1+Assumptions!$B$175)</f>
        <v/>
      </c>
      <c r="BC107" s="8">
        <f>BC31*Assumptions!$B$229*BC83*(1+Assumptions!$B$175)</f>
        <v/>
      </c>
      <c r="BD107" s="8">
        <f>BD31*Assumptions!$B$229*BD83*(1+Assumptions!$B$175)</f>
        <v/>
      </c>
      <c r="BE107" s="8">
        <f>BE31*Assumptions!$B$229*BE83*(1+Assumptions!$B$175)</f>
        <v/>
      </c>
      <c r="BF107" s="8">
        <f>BF31*Assumptions!$B$229*BF83*(1+Assumptions!$B$175)</f>
        <v/>
      </c>
      <c r="BG107" s="8">
        <f>BG31*Assumptions!$B$229*BG83*(1+Assumptions!$B$175)</f>
        <v/>
      </c>
      <c r="BH107" s="8">
        <f>BH31*Assumptions!$B$229*BH83*(1+Assumptions!$B$175)</f>
        <v/>
      </c>
      <c r="BI107" s="8">
        <f>BI31*Assumptions!$B$229*BI83*(1+Assumptions!$B$175)</f>
        <v/>
      </c>
      <c r="BJ107" s="8">
        <f>BJ31*Assumptions!$B$229*BJ83*(1+Assumptions!$B$175)</f>
        <v/>
      </c>
    </row>
    <row r="108">
      <c r="A108" s="4" t="inlineStr">
        <is>
          <t>Marketing team expansion II</t>
        </is>
      </c>
      <c r="B108" s="17" t="inlineStr">
        <is>
          <t>R</t>
        </is>
      </c>
      <c r="C108" s="8">
        <f>C32*Assumptions!$B$230*C83*(1+Assumptions!$B$175)</f>
        <v/>
      </c>
      <c r="D108" s="8">
        <f>D32*Assumptions!$B$230*D83*(1+Assumptions!$B$175)</f>
        <v/>
      </c>
      <c r="E108" s="8">
        <f>E32*Assumptions!$B$230*E83*(1+Assumptions!$B$175)</f>
        <v/>
      </c>
      <c r="F108" s="8">
        <f>F32*Assumptions!$B$230*F83*(1+Assumptions!$B$175)</f>
        <v/>
      </c>
      <c r="G108" s="8">
        <f>G32*Assumptions!$B$230*G83*(1+Assumptions!$B$175)</f>
        <v/>
      </c>
      <c r="H108" s="8">
        <f>H32*Assumptions!$B$230*H83*(1+Assumptions!$B$175)</f>
        <v/>
      </c>
      <c r="I108" s="8">
        <f>I32*Assumptions!$B$230*I83*(1+Assumptions!$B$175)</f>
        <v/>
      </c>
      <c r="J108" s="8">
        <f>J32*Assumptions!$B$230*J83*(1+Assumptions!$B$175)</f>
        <v/>
      </c>
      <c r="K108" s="8">
        <f>K32*Assumptions!$B$230*K83*(1+Assumptions!$B$175)</f>
        <v/>
      </c>
      <c r="L108" s="8">
        <f>L32*Assumptions!$B$230*L83*(1+Assumptions!$B$175)</f>
        <v/>
      </c>
      <c r="M108" s="8">
        <f>M32*Assumptions!$B$230*M83*(1+Assumptions!$B$175)</f>
        <v/>
      </c>
      <c r="N108" s="8">
        <f>N32*Assumptions!$B$230*N83*(1+Assumptions!$B$175)</f>
        <v/>
      </c>
      <c r="O108" s="8">
        <f>O32*Assumptions!$B$230*O83*(1+Assumptions!$B$175)</f>
        <v/>
      </c>
      <c r="P108" s="8">
        <f>P32*Assumptions!$B$230*P83*(1+Assumptions!$B$175)</f>
        <v/>
      </c>
      <c r="Q108" s="8">
        <f>Q32*Assumptions!$B$230*Q83*(1+Assumptions!$B$175)</f>
        <v/>
      </c>
      <c r="R108" s="8">
        <f>R32*Assumptions!$B$230*R83*(1+Assumptions!$B$175)</f>
        <v/>
      </c>
      <c r="S108" s="8">
        <f>S32*Assumptions!$B$230*S83*(1+Assumptions!$B$175)</f>
        <v/>
      </c>
      <c r="T108" s="8">
        <f>T32*Assumptions!$B$230*T83*(1+Assumptions!$B$175)</f>
        <v/>
      </c>
      <c r="U108" s="8">
        <f>U32*Assumptions!$B$230*U83*(1+Assumptions!$B$175)</f>
        <v/>
      </c>
      <c r="V108" s="8">
        <f>V32*Assumptions!$B$230*V83*(1+Assumptions!$B$175)</f>
        <v/>
      </c>
      <c r="W108" s="8">
        <f>W32*Assumptions!$B$230*W83*(1+Assumptions!$B$175)</f>
        <v/>
      </c>
      <c r="X108" s="8">
        <f>X32*Assumptions!$B$230*X83*(1+Assumptions!$B$175)</f>
        <v/>
      </c>
      <c r="Y108" s="8">
        <f>Y32*Assumptions!$B$230*Y83*(1+Assumptions!$B$175)</f>
        <v/>
      </c>
      <c r="Z108" s="8">
        <f>Z32*Assumptions!$B$230*Z83*(1+Assumptions!$B$175)</f>
        <v/>
      </c>
      <c r="AA108" s="8">
        <f>AA32*Assumptions!$B$230*AA83*(1+Assumptions!$B$175)</f>
        <v/>
      </c>
      <c r="AB108" s="8">
        <f>AB32*Assumptions!$B$230*AB83*(1+Assumptions!$B$175)</f>
        <v/>
      </c>
      <c r="AC108" s="8">
        <f>AC32*Assumptions!$B$230*AC83*(1+Assumptions!$B$175)</f>
        <v/>
      </c>
      <c r="AD108" s="8">
        <f>AD32*Assumptions!$B$230*AD83*(1+Assumptions!$B$175)</f>
        <v/>
      </c>
      <c r="AE108" s="8">
        <f>AE32*Assumptions!$B$230*AE83*(1+Assumptions!$B$175)</f>
        <v/>
      </c>
      <c r="AF108" s="8">
        <f>AF32*Assumptions!$B$230*AF83*(1+Assumptions!$B$175)</f>
        <v/>
      </c>
      <c r="AG108" s="8">
        <f>AG32*Assumptions!$B$230*AG83*(1+Assumptions!$B$175)</f>
        <v/>
      </c>
      <c r="AH108" s="8">
        <f>AH32*Assumptions!$B$230*AH83*(1+Assumptions!$B$175)</f>
        <v/>
      </c>
      <c r="AI108" s="8">
        <f>AI32*Assumptions!$B$230*AI83*(1+Assumptions!$B$175)</f>
        <v/>
      </c>
      <c r="AJ108" s="8">
        <f>AJ32*Assumptions!$B$230*AJ83*(1+Assumptions!$B$175)</f>
        <v/>
      </c>
      <c r="AK108" s="8">
        <f>AK32*Assumptions!$B$230*AK83*(1+Assumptions!$B$175)</f>
        <v/>
      </c>
      <c r="AL108" s="8">
        <f>AL32*Assumptions!$B$230*AL83*(1+Assumptions!$B$175)</f>
        <v/>
      </c>
      <c r="AM108" s="8">
        <f>AM32*Assumptions!$B$230*AM83*(1+Assumptions!$B$175)</f>
        <v/>
      </c>
      <c r="AN108" s="8">
        <f>AN32*Assumptions!$B$230*AN83*(1+Assumptions!$B$175)</f>
        <v/>
      </c>
      <c r="AO108" s="8">
        <f>AO32*Assumptions!$B$230*AO83*(1+Assumptions!$B$175)</f>
        <v/>
      </c>
      <c r="AP108" s="8">
        <f>AP32*Assumptions!$B$230*AP83*(1+Assumptions!$B$175)</f>
        <v/>
      </c>
      <c r="AQ108" s="8">
        <f>AQ32*Assumptions!$B$230*AQ83*(1+Assumptions!$B$175)</f>
        <v/>
      </c>
      <c r="AR108" s="8">
        <f>AR32*Assumptions!$B$230*AR83*(1+Assumptions!$B$175)</f>
        <v/>
      </c>
      <c r="AS108" s="8">
        <f>AS32*Assumptions!$B$230*AS83*(1+Assumptions!$B$175)</f>
        <v/>
      </c>
      <c r="AT108" s="8">
        <f>AT32*Assumptions!$B$230*AT83*(1+Assumptions!$B$175)</f>
        <v/>
      </c>
      <c r="AU108" s="8">
        <f>AU32*Assumptions!$B$230*AU83*(1+Assumptions!$B$175)</f>
        <v/>
      </c>
      <c r="AV108" s="8">
        <f>AV32*Assumptions!$B$230*AV83*(1+Assumptions!$B$175)</f>
        <v/>
      </c>
      <c r="AW108" s="8">
        <f>AW32*Assumptions!$B$230*AW83*(1+Assumptions!$B$175)</f>
        <v/>
      </c>
      <c r="AX108" s="8">
        <f>AX32*Assumptions!$B$230*AX83*(1+Assumptions!$B$175)</f>
        <v/>
      </c>
      <c r="AY108" s="8">
        <f>AY32*Assumptions!$B$230*AY83*(1+Assumptions!$B$175)</f>
        <v/>
      </c>
      <c r="AZ108" s="8">
        <f>AZ32*Assumptions!$B$230*AZ83*(1+Assumptions!$B$175)</f>
        <v/>
      </c>
      <c r="BA108" s="8">
        <f>BA32*Assumptions!$B$230*BA83*(1+Assumptions!$B$175)</f>
        <v/>
      </c>
      <c r="BB108" s="8">
        <f>BB32*Assumptions!$B$230*BB83*(1+Assumptions!$B$175)</f>
        <v/>
      </c>
      <c r="BC108" s="8">
        <f>BC32*Assumptions!$B$230*BC83*(1+Assumptions!$B$175)</f>
        <v/>
      </c>
      <c r="BD108" s="8">
        <f>BD32*Assumptions!$B$230*BD83*(1+Assumptions!$B$175)</f>
        <v/>
      </c>
      <c r="BE108" s="8">
        <f>BE32*Assumptions!$B$230*BE83*(1+Assumptions!$B$175)</f>
        <v/>
      </c>
      <c r="BF108" s="8">
        <f>BF32*Assumptions!$B$230*BF83*(1+Assumptions!$B$175)</f>
        <v/>
      </c>
      <c r="BG108" s="8">
        <f>BG32*Assumptions!$B$230*BG83*(1+Assumptions!$B$175)</f>
        <v/>
      </c>
      <c r="BH108" s="8">
        <f>BH32*Assumptions!$B$230*BH83*(1+Assumptions!$B$175)</f>
        <v/>
      </c>
      <c r="BI108" s="8">
        <f>BI32*Assumptions!$B$230*BI83*(1+Assumptions!$B$175)</f>
        <v/>
      </c>
      <c r="BJ108" s="8">
        <f>BJ32*Assumptions!$B$230*BJ83*(1+Assumptions!$B$175)</f>
        <v/>
      </c>
    </row>
    <row r="109">
      <c r="A109" s="4" t="inlineStr">
        <is>
          <t>Marketing team expansion III</t>
        </is>
      </c>
      <c r="B109" s="17" t="inlineStr">
        <is>
          <t>R</t>
        </is>
      </c>
      <c r="C109" s="8">
        <f>C33*Assumptions!$B$231*C83*(1+Assumptions!$B$175)</f>
        <v/>
      </c>
      <c r="D109" s="8">
        <f>D33*Assumptions!$B$231*D83*(1+Assumptions!$B$175)</f>
        <v/>
      </c>
      <c r="E109" s="8">
        <f>E33*Assumptions!$B$231*E83*(1+Assumptions!$B$175)</f>
        <v/>
      </c>
      <c r="F109" s="8">
        <f>F33*Assumptions!$B$231*F83*(1+Assumptions!$B$175)</f>
        <v/>
      </c>
      <c r="G109" s="8">
        <f>G33*Assumptions!$B$231*G83*(1+Assumptions!$B$175)</f>
        <v/>
      </c>
      <c r="H109" s="8">
        <f>H33*Assumptions!$B$231*H83*(1+Assumptions!$B$175)</f>
        <v/>
      </c>
      <c r="I109" s="8">
        <f>I33*Assumptions!$B$231*I83*(1+Assumptions!$B$175)</f>
        <v/>
      </c>
      <c r="J109" s="8">
        <f>J33*Assumptions!$B$231*J83*(1+Assumptions!$B$175)</f>
        <v/>
      </c>
      <c r="K109" s="8">
        <f>K33*Assumptions!$B$231*K83*(1+Assumptions!$B$175)</f>
        <v/>
      </c>
      <c r="L109" s="8">
        <f>L33*Assumptions!$B$231*L83*(1+Assumptions!$B$175)</f>
        <v/>
      </c>
      <c r="M109" s="8">
        <f>M33*Assumptions!$B$231*M83*(1+Assumptions!$B$175)</f>
        <v/>
      </c>
      <c r="N109" s="8">
        <f>N33*Assumptions!$B$231*N83*(1+Assumptions!$B$175)</f>
        <v/>
      </c>
      <c r="O109" s="8">
        <f>O33*Assumptions!$B$231*O83*(1+Assumptions!$B$175)</f>
        <v/>
      </c>
      <c r="P109" s="8">
        <f>P33*Assumptions!$B$231*P83*(1+Assumptions!$B$175)</f>
        <v/>
      </c>
      <c r="Q109" s="8">
        <f>Q33*Assumptions!$B$231*Q83*(1+Assumptions!$B$175)</f>
        <v/>
      </c>
      <c r="R109" s="8">
        <f>R33*Assumptions!$B$231*R83*(1+Assumptions!$B$175)</f>
        <v/>
      </c>
      <c r="S109" s="8">
        <f>S33*Assumptions!$B$231*S83*(1+Assumptions!$B$175)</f>
        <v/>
      </c>
      <c r="T109" s="8">
        <f>T33*Assumptions!$B$231*T83*(1+Assumptions!$B$175)</f>
        <v/>
      </c>
      <c r="U109" s="8">
        <f>U33*Assumptions!$B$231*U83*(1+Assumptions!$B$175)</f>
        <v/>
      </c>
      <c r="V109" s="8">
        <f>V33*Assumptions!$B$231*V83*(1+Assumptions!$B$175)</f>
        <v/>
      </c>
      <c r="W109" s="8">
        <f>W33*Assumptions!$B$231*W83*(1+Assumptions!$B$175)</f>
        <v/>
      </c>
      <c r="X109" s="8">
        <f>X33*Assumptions!$B$231*X83*(1+Assumptions!$B$175)</f>
        <v/>
      </c>
      <c r="Y109" s="8">
        <f>Y33*Assumptions!$B$231*Y83*(1+Assumptions!$B$175)</f>
        <v/>
      </c>
      <c r="Z109" s="8">
        <f>Z33*Assumptions!$B$231*Z83*(1+Assumptions!$B$175)</f>
        <v/>
      </c>
      <c r="AA109" s="8">
        <f>AA33*Assumptions!$B$231*AA83*(1+Assumptions!$B$175)</f>
        <v/>
      </c>
      <c r="AB109" s="8">
        <f>AB33*Assumptions!$B$231*AB83*(1+Assumptions!$B$175)</f>
        <v/>
      </c>
      <c r="AC109" s="8">
        <f>AC33*Assumptions!$B$231*AC83*(1+Assumptions!$B$175)</f>
        <v/>
      </c>
      <c r="AD109" s="8">
        <f>AD33*Assumptions!$B$231*AD83*(1+Assumptions!$B$175)</f>
        <v/>
      </c>
      <c r="AE109" s="8">
        <f>AE33*Assumptions!$B$231*AE83*(1+Assumptions!$B$175)</f>
        <v/>
      </c>
      <c r="AF109" s="8">
        <f>AF33*Assumptions!$B$231*AF83*(1+Assumptions!$B$175)</f>
        <v/>
      </c>
      <c r="AG109" s="8">
        <f>AG33*Assumptions!$B$231*AG83*(1+Assumptions!$B$175)</f>
        <v/>
      </c>
      <c r="AH109" s="8">
        <f>AH33*Assumptions!$B$231*AH83*(1+Assumptions!$B$175)</f>
        <v/>
      </c>
      <c r="AI109" s="8">
        <f>AI33*Assumptions!$B$231*AI83*(1+Assumptions!$B$175)</f>
        <v/>
      </c>
      <c r="AJ109" s="8">
        <f>AJ33*Assumptions!$B$231*AJ83*(1+Assumptions!$B$175)</f>
        <v/>
      </c>
      <c r="AK109" s="8">
        <f>AK33*Assumptions!$B$231*AK83*(1+Assumptions!$B$175)</f>
        <v/>
      </c>
      <c r="AL109" s="8">
        <f>AL33*Assumptions!$B$231*AL83*(1+Assumptions!$B$175)</f>
        <v/>
      </c>
      <c r="AM109" s="8">
        <f>AM33*Assumptions!$B$231*AM83*(1+Assumptions!$B$175)</f>
        <v/>
      </c>
      <c r="AN109" s="8">
        <f>AN33*Assumptions!$B$231*AN83*(1+Assumptions!$B$175)</f>
        <v/>
      </c>
      <c r="AO109" s="8">
        <f>AO33*Assumptions!$B$231*AO83*(1+Assumptions!$B$175)</f>
        <v/>
      </c>
      <c r="AP109" s="8">
        <f>AP33*Assumptions!$B$231*AP83*(1+Assumptions!$B$175)</f>
        <v/>
      </c>
      <c r="AQ109" s="8">
        <f>AQ33*Assumptions!$B$231*AQ83*(1+Assumptions!$B$175)</f>
        <v/>
      </c>
      <c r="AR109" s="8">
        <f>AR33*Assumptions!$B$231*AR83*(1+Assumptions!$B$175)</f>
        <v/>
      </c>
      <c r="AS109" s="8">
        <f>AS33*Assumptions!$B$231*AS83*(1+Assumptions!$B$175)</f>
        <v/>
      </c>
      <c r="AT109" s="8">
        <f>AT33*Assumptions!$B$231*AT83*(1+Assumptions!$B$175)</f>
        <v/>
      </c>
      <c r="AU109" s="8">
        <f>AU33*Assumptions!$B$231*AU83*(1+Assumptions!$B$175)</f>
        <v/>
      </c>
      <c r="AV109" s="8">
        <f>AV33*Assumptions!$B$231*AV83*(1+Assumptions!$B$175)</f>
        <v/>
      </c>
      <c r="AW109" s="8">
        <f>AW33*Assumptions!$B$231*AW83*(1+Assumptions!$B$175)</f>
        <v/>
      </c>
      <c r="AX109" s="8">
        <f>AX33*Assumptions!$B$231*AX83*(1+Assumptions!$B$175)</f>
        <v/>
      </c>
      <c r="AY109" s="8">
        <f>AY33*Assumptions!$B$231*AY83*(1+Assumptions!$B$175)</f>
        <v/>
      </c>
      <c r="AZ109" s="8">
        <f>AZ33*Assumptions!$B$231*AZ83*(1+Assumptions!$B$175)</f>
        <v/>
      </c>
      <c r="BA109" s="8">
        <f>BA33*Assumptions!$B$231*BA83*(1+Assumptions!$B$175)</f>
        <v/>
      </c>
      <c r="BB109" s="8">
        <f>BB33*Assumptions!$B$231*BB83*(1+Assumptions!$B$175)</f>
        <v/>
      </c>
      <c r="BC109" s="8">
        <f>BC33*Assumptions!$B$231*BC83*(1+Assumptions!$B$175)</f>
        <v/>
      </c>
      <c r="BD109" s="8">
        <f>BD33*Assumptions!$B$231*BD83*(1+Assumptions!$B$175)</f>
        <v/>
      </c>
      <c r="BE109" s="8">
        <f>BE33*Assumptions!$B$231*BE83*(1+Assumptions!$B$175)</f>
        <v/>
      </c>
      <c r="BF109" s="8">
        <f>BF33*Assumptions!$B$231*BF83*(1+Assumptions!$B$175)</f>
        <v/>
      </c>
      <c r="BG109" s="8">
        <f>BG33*Assumptions!$B$231*BG83*(1+Assumptions!$B$175)</f>
        <v/>
      </c>
      <c r="BH109" s="8">
        <f>BH33*Assumptions!$B$231*BH83*(1+Assumptions!$B$175)</f>
        <v/>
      </c>
      <c r="BI109" s="8">
        <f>BI33*Assumptions!$B$231*BI83*(1+Assumptions!$B$175)</f>
        <v/>
      </c>
      <c r="BJ109" s="8">
        <f>BJ33*Assumptions!$B$231*BJ83*(1+Assumptions!$B$175)</f>
        <v/>
      </c>
    </row>
    <row r="110">
      <c r="A110" s="4" t="inlineStr">
        <is>
          <t>Partnerships manager #1 (agency programme)</t>
        </is>
      </c>
      <c r="B110" s="17" t="inlineStr">
        <is>
          <t>R</t>
        </is>
      </c>
      <c r="C110" s="8">
        <f>C34*Assumptions!$B$232*C83*(1+Assumptions!$B$175)</f>
        <v/>
      </c>
      <c r="D110" s="8">
        <f>D34*Assumptions!$B$232*D83*(1+Assumptions!$B$175)</f>
        <v/>
      </c>
      <c r="E110" s="8">
        <f>E34*Assumptions!$B$232*E83*(1+Assumptions!$B$175)</f>
        <v/>
      </c>
      <c r="F110" s="8">
        <f>F34*Assumptions!$B$232*F83*(1+Assumptions!$B$175)</f>
        <v/>
      </c>
      <c r="G110" s="8">
        <f>G34*Assumptions!$B$232*G83*(1+Assumptions!$B$175)</f>
        <v/>
      </c>
      <c r="H110" s="8">
        <f>H34*Assumptions!$B$232*H83*(1+Assumptions!$B$175)</f>
        <v/>
      </c>
      <c r="I110" s="8">
        <f>I34*Assumptions!$B$232*I83*(1+Assumptions!$B$175)</f>
        <v/>
      </c>
      <c r="J110" s="8">
        <f>J34*Assumptions!$B$232*J83*(1+Assumptions!$B$175)</f>
        <v/>
      </c>
      <c r="K110" s="8">
        <f>K34*Assumptions!$B$232*K83*(1+Assumptions!$B$175)</f>
        <v/>
      </c>
      <c r="L110" s="8">
        <f>L34*Assumptions!$B$232*L83*(1+Assumptions!$B$175)</f>
        <v/>
      </c>
      <c r="M110" s="8">
        <f>M34*Assumptions!$B$232*M83*(1+Assumptions!$B$175)</f>
        <v/>
      </c>
      <c r="N110" s="8">
        <f>N34*Assumptions!$B$232*N83*(1+Assumptions!$B$175)</f>
        <v/>
      </c>
      <c r="O110" s="8">
        <f>O34*Assumptions!$B$232*O83*(1+Assumptions!$B$175)</f>
        <v/>
      </c>
      <c r="P110" s="8">
        <f>P34*Assumptions!$B$232*P83*(1+Assumptions!$B$175)</f>
        <v/>
      </c>
      <c r="Q110" s="8">
        <f>Q34*Assumptions!$B$232*Q83*(1+Assumptions!$B$175)</f>
        <v/>
      </c>
      <c r="R110" s="8">
        <f>R34*Assumptions!$B$232*R83*(1+Assumptions!$B$175)</f>
        <v/>
      </c>
      <c r="S110" s="8">
        <f>S34*Assumptions!$B$232*S83*(1+Assumptions!$B$175)</f>
        <v/>
      </c>
      <c r="T110" s="8">
        <f>T34*Assumptions!$B$232*T83*(1+Assumptions!$B$175)</f>
        <v/>
      </c>
      <c r="U110" s="8">
        <f>U34*Assumptions!$B$232*U83*(1+Assumptions!$B$175)</f>
        <v/>
      </c>
      <c r="V110" s="8">
        <f>V34*Assumptions!$B$232*V83*(1+Assumptions!$B$175)</f>
        <v/>
      </c>
      <c r="W110" s="8">
        <f>W34*Assumptions!$B$232*W83*(1+Assumptions!$B$175)</f>
        <v/>
      </c>
      <c r="X110" s="8">
        <f>X34*Assumptions!$B$232*X83*(1+Assumptions!$B$175)</f>
        <v/>
      </c>
      <c r="Y110" s="8">
        <f>Y34*Assumptions!$B$232*Y83*(1+Assumptions!$B$175)</f>
        <v/>
      </c>
      <c r="Z110" s="8">
        <f>Z34*Assumptions!$B$232*Z83*(1+Assumptions!$B$175)</f>
        <v/>
      </c>
      <c r="AA110" s="8">
        <f>AA34*Assumptions!$B$232*AA83*(1+Assumptions!$B$175)</f>
        <v/>
      </c>
      <c r="AB110" s="8">
        <f>AB34*Assumptions!$B$232*AB83*(1+Assumptions!$B$175)</f>
        <v/>
      </c>
      <c r="AC110" s="8">
        <f>AC34*Assumptions!$B$232*AC83*(1+Assumptions!$B$175)</f>
        <v/>
      </c>
      <c r="AD110" s="8">
        <f>AD34*Assumptions!$B$232*AD83*(1+Assumptions!$B$175)</f>
        <v/>
      </c>
      <c r="AE110" s="8">
        <f>AE34*Assumptions!$B$232*AE83*(1+Assumptions!$B$175)</f>
        <v/>
      </c>
      <c r="AF110" s="8">
        <f>AF34*Assumptions!$B$232*AF83*(1+Assumptions!$B$175)</f>
        <v/>
      </c>
      <c r="AG110" s="8">
        <f>AG34*Assumptions!$B$232*AG83*(1+Assumptions!$B$175)</f>
        <v/>
      </c>
      <c r="AH110" s="8">
        <f>AH34*Assumptions!$B$232*AH83*(1+Assumptions!$B$175)</f>
        <v/>
      </c>
      <c r="AI110" s="8">
        <f>AI34*Assumptions!$B$232*AI83*(1+Assumptions!$B$175)</f>
        <v/>
      </c>
      <c r="AJ110" s="8">
        <f>AJ34*Assumptions!$B$232*AJ83*(1+Assumptions!$B$175)</f>
        <v/>
      </c>
      <c r="AK110" s="8">
        <f>AK34*Assumptions!$B$232*AK83*(1+Assumptions!$B$175)</f>
        <v/>
      </c>
      <c r="AL110" s="8">
        <f>AL34*Assumptions!$B$232*AL83*(1+Assumptions!$B$175)</f>
        <v/>
      </c>
      <c r="AM110" s="8">
        <f>AM34*Assumptions!$B$232*AM83*(1+Assumptions!$B$175)</f>
        <v/>
      </c>
      <c r="AN110" s="8">
        <f>AN34*Assumptions!$B$232*AN83*(1+Assumptions!$B$175)</f>
        <v/>
      </c>
      <c r="AO110" s="8">
        <f>AO34*Assumptions!$B$232*AO83*(1+Assumptions!$B$175)</f>
        <v/>
      </c>
      <c r="AP110" s="8">
        <f>AP34*Assumptions!$B$232*AP83*(1+Assumptions!$B$175)</f>
        <v/>
      </c>
      <c r="AQ110" s="8">
        <f>AQ34*Assumptions!$B$232*AQ83*(1+Assumptions!$B$175)</f>
        <v/>
      </c>
      <c r="AR110" s="8">
        <f>AR34*Assumptions!$B$232*AR83*(1+Assumptions!$B$175)</f>
        <v/>
      </c>
      <c r="AS110" s="8">
        <f>AS34*Assumptions!$B$232*AS83*(1+Assumptions!$B$175)</f>
        <v/>
      </c>
      <c r="AT110" s="8">
        <f>AT34*Assumptions!$B$232*AT83*(1+Assumptions!$B$175)</f>
        <v/>
      </c>
      <c r="AU110" s="8">
        <f>AU34*Assumptions!$B$232*AU83*(1+Assumptions!$B$175)</f>
        <v/>
      </c>
      <c r="AV110" s="8">
        <f>AV34*Assumptions!$B$232*AV83*(1+Assumptions!$B$175)</f>
        <v/>
      </c>
      <c r="AW110" s="8">
        <f>AW34*Assumptions!$B$232*AW83*(1+Assumptions!$B$175)</f>
        <v/>
      </c>
      <c r="AX110" s="8">
        <f>AX34*Assumptions!$B$232*AX83*(1+Assumptions!$B$175)</f>
        <v/>
      </c>
      <c r="AY110" s="8">
        <f>AY34*Assumptions!$B$232*AY83*(1+Assumptions!$B$175)</f>
        <v/>
      </c>
      <c r="AZ110" s="8">
        <f>AZ34*Assumptions!$B$232*AZ83*(1+Assumptions!$B$175)</f>
        <v/>
      </c>
      <c r="BA110" s="8">
        <f>BA34*Assumptions!$B$232*BA83*(1+Assumptions!$B$175)</f>
        <v/>
      </c>
      <c r="BB110" s="8">
        <f>BB34*Assumptions!$B$232*BB83*(1+Assumptions!$B$175)</f>
        <v/>
      </c>
      <c r="BC110" s="8">
        <f>BC34*Assumptions!$B$232*BC83*(1+Assumptions!$B$175)</f>
        <v/>
      </c>
      <c r="BD110" s="8">
        <f>BD34*Assumptions!$B$232*BD83*(1+Assumptions!$B$175)</f>
        <v/>
      </c>
      <c r="BE110" s="8">
        <f>BE34*Assumptions!$B$232*BE83*(1+Assumptions!$B$175)</f>
        <v/>
      </c>
      <c r="BF110" s="8">
        <f>BF34*Assumptions!$B$232*BF83*(1+Assumptions!$B$175)</f>
        <v/>
      </c>
      <c r="BG110" s="8">
        <f>BG34*Assumptions!$B$232*BG83*(1+Assumptions!$B$175)</f>
        <v/>
      </c>
      <c r="BH110" s="8">
        <f>BH34*Assumptions!$B$232*BH83*(1+Assumptions!$B$175)</f>
        <v/>
      </c>
      <c r="BI110" s="8">
        <f>BI34*Assumptions!$B$232*BI83*(1+Assumptions!$B$175)</f>
        <v/>
      </c>
      <c r="BJ110" s="8">
        <f>BJ34*Assumptions!$B$232*BJ83*(1+Assumptions!$B$175)</f>
        <v/>
      </c>
    </row>
    <row r="111">
      <c r="A111" s="4" t="inlineStr">
        <is>
          <t>Partnerships manager #2</t>
        </is>
      </c>
      <c r="B111" s="17" t="inlineStr">
        <is>
          <t>R</t>
        </is>
      </c>
      <c r="C111" s="8">
        <f>C35*Assumptions!$B$233*C83*(1+Assumptions!$B$175)</f>
        <v/>
      </c>
      <c r="D111" s="8">
        <f>D35*Assumptions!$B$233*D83*(1+Assumptions!$B$175)</f>
        <v/>
      </c>
      <c r="E111" s="8">
        <f>E35*Assumptions!$B$233*E83*(1+Assumptions!$B$175)</f>
        <v/>
      </c>
      <c r="F111" s="8">
        <f>F35*Assumptions!$B$233*F83*(1+Assumptions!$B$175)</f>
        <v/>
      </c>
      <c r="G111" s="8">
        <f>G35*Assumptions!$B$233*G83*(1+Assumptions!$B$175)</f>
        <v/>
      </c>
      <c r="H111" s="8">
        <f>H35*Assumptions!$B$233*H83*(1+Assumptions!$B$175)</f>
        <v/>
      </c>
      <c r="I111" s="8">
        <f>I35*Assumptions!$B$233*I83*(1+Assumptions!$B$175)</f>
        <v/>
      </c>
      <c r="J111" s="8">
        <f>J35*Assumptions!$B$233*J83*(1+Assumptions!$B$175)</f>
        <v/>
      </c>
      <c r="K111" s="8">
        <f>K35*Assumptions!$B$233*K83*(1+Assumptions!$B$175)</f>
        <v/>
      </c>
      <c r="L111" s="8">
        <f>L35*Assumptions!$B$233*L83*(1+Assumptions!$B$175)</f>
        <v/>
      </c>
      <c r="M111" s="8">
        <f>M35*Assumptions!$B$233*M83*(1+Assumptions!$B$175)</f>
        <v/>
      </c>
      <c r="N111" s="8">
        <f>N35*Assumptions!$B$233*N83*(1+Assumptions!$B$175)</f>
        <v/>
      </c>
      <c r="O111" s="8">
        <f>O35*Assumptions!$B$233*O83*(1+Assumptions!$B$175)</f>
        <v/>
      </c>
      <c r="P111" s="8">
        <f>P35*Assumptions!$B$233*P83*(1+Assumptions!$B$175)</f>
        <v/>
      </c>
      <c r="Q111" s="8">
        <f>Q35*Assumptions!$B$233*Q83*(1+Assumptions!$B$175)</f>
        <v/>
      </c>
      <c r="R111" s="8">
        <f>R35*Assumptions!$B$233*R83*(1+Assumptions!$B$175)</f>
        <v/>
      </c>
      <c r="S111" s="8">
        <f>S35*Assumptions!$B$233*S83*(1+Assumptions!$B$175)</f>
        <v/>
      </c>
      <c r="T111" s="8">
        <f>T35*Assumptions!$B$233*T83*(1+Assumptions!$B$175)</f>
        <v/>
      </c>
      <c r="U111" s="8">
        <f>U35*Assumptions!$B$233*U83*(1+Assumptions!$B$175)</f>
        <v/>
      </c>
      <c r="V111" s="8">
        <f>V35*Assumptions!$B$233*V83*(1+Assumptions!$B$175)</f>
        <v/>
      </c>
      <c r="W111" s="8">
        <f>W35*Assumptions!$B$233*W83*(1+Assumptions!$B$175)</f>
        <v/>
      </c>
      <c r="X111" s="8">
        <f>X35*Assumptions!$B$233*X83*(1+Assumptions!$B$175)</f>
        <v/>
      </c>
      <c r="Y111" s="8">
        <f>Y35*Assumptions!$B$233*Y83*(1+Assumptions!$B$175)</f>
        <v/>
      </c>
      <c r="Z111" s="8">
        <f>Z35*Assumptions!$B$233*Z83*(1+Assumptions!$B$175)</f>
        <v/>
      </c>
      <c r="AA111" s="8">
        <f>AA35*Assumptions!$B$233*AA83*(1+Assumptions!$B$175)</f>
        <v/>
      </c>
      <c r="AB111" s="8">
        <f>AB35*Assumptions!$B$233*AB83*(1+Assumptions!$B$175)</f>
        <v/>
      </c>
      <c r="AC111" s="8">
        <f>AC35*Assumptions!$B$233*AC83*(1+Assumptions!$B$175)</f>
        <v/>
      </c>
      <c r="AD111" s="8">
        <f>AD35*Assumptions!$B$233*AD83*(1+Assumptions!$B$175)</f>
        <v/>
      </c>
      <c r="AE111" s="8">
        <f>AE35*Assumptions!$B$233*AE83*(1+Assumptions!$B$175)</f>
        <v/>
      </c>
      <c r="AF111" s="8">
        <f>AF35*Assumptions!$B$233*AF83*(1+Assumptions!$B$175)</f>
        <v/>
      </c>
      <c r="AG111" s="8">
        <f>AG35*Assumptions!$B$233*AG83*(1+Assumptions!$B$175)</f>
        <v/>
      </c>
      <c r="AH111" s="8">
        <f>AH35*Assumptions!$B$233*AH83*(1+Assumptions!$B$175)</f>
        <v/>
      </c>
      <c r="AI111" s="8">
        <f>AI35*Assumptions!$B$233*AI83*(1+Assumptions!$B$175)</f>
        <v/>
      </c>
      <c r="AJ111" s="8">
        <f>AJ35*Assumptions!$B$233*AJ83*(1+Assumptions!$B$175)</f>
        <v/>
      </c>
      <c r="AK111" s="8">
        <f>AK35*Assumptions!$B$233*AK83*(1+Assumptions!$B$175)</f>
        <v/>
      </c>
      <c r="AL111" s="8">
        <f>AL35*Assumptions!$B$233*AL83*(1+Assumptions!$B$175)</f>
        <v/>
      </c>
      <c r="AM111" s="8">
        <f>AM35*Assumptions!$B$233*AM83*(1+Assumptions!$B$175)</f>
        <v/>
      </c>
      <c r="AN111" s="8">
        <f>AN35*Assumptions!$B$233*AN83*(1+Assumptions!$B$175)</f>
        <v/>
      </c>
      <c r="AO111" s="8">
        <f>AO35*Assumptions!$B$233*AO83*(1+Assumptions!$B$175)</f>
        <v/>
      </c>
      <c r="AP111" s="8">
        <f>AP35*Assumptions!$B$233*AP83*(1+Assumptions!$B$175)</f>
        <v/>
      </c>
      <c r="AQ111" s="8">
        <f>AQ35*Assumptions!$B$233*AQ83*(1+Assumptions!$B$175)</f>
        <v/>
      </c>
      <c r="AR111" s="8">
        <f>AR35*Assumptions!$B$233*AR83*(1+Assumptions!$B$175)</f>
        <v/>
      </c>
      <c r="AS111" s="8">
        <f>AS35*Assumptions!$B$233*AS83*(1+Assumptions!$B$175)</f>
        <v/>
      </c>
      <c r="AT111" s="8">
        <f>AT35*Assumptions!$B$233*AT83*(1+Assumptions!$B$175)</f>
        <v/>
      </c>
      <c r="AU111" s="8">
        <f>AU35*Assumptions!$B$233*AU83*(1+Assumptions!$B$175)</f>
        <v/>
      </c>
      <c r="AV111" s="8">
        <f>AV35*Assumptions!$B$233*AV83*(1+Assumptions!$B$175)</f>
        <v/>
      </c>
      <c r="AW111" s="8">
        <f>AW35*Assumptions!$B$233*AW83*(1+Assumptions!$B$175)</f>
        <v/>
      </c>
      <c r="AX111" s="8">
        <f>AX35*Assumptions!$B$233*AX83*(1+Assumptions!$B$175)</f>
        <v/>
      </c>
      <c r="AY111" s="8">
        <f>AY35*Assumptions!$B$233*AY83*(1+Assumptions!$B$175)</f>
        <v/>
      </c>
      <c r="AZ111" s="8">
        <f>AZ35*Assumptions!$B$233*AZ83*(1+Assumptions!$B$175)</f>
        <v/>
      </c>
      <c r="BA111" s="8">
        <f>BA35*Assumptions!$B$233*BA83*(1+Assumptions!$B$175)</f>
        <v/>
      </c>
      <c r="BB111" s="8">
        <f>BB35*Assumptions!$B$233*BB83*(1+Assumptions!$B$175)</f>
        <v/>
      </c>
      <c r="BC111" s="8">
        <f>BC35*Assumptions!$B$233*BC83*(1+Assumptions!$B$175)</f>
        <v/>
      </c>
      <c r="BD111" s="8">
        <f>BD35*Assumptions!$B$233*BD83*(1+Assumptions!$B$175)</f>
        <v/>
      </c>
      <c r="BE111" s="8">
        <f>BE35*Assumptions!$B$233*BE83*(1+Assumptions!$B$175)</f>
        <v/>
      </c>
      <c r="BF111" s="8">
        <f>BF35*Assumptions!$B$233*BF83*(1+Assumptions!$B$175)</f>
        <v/>
      </c>
      <c r="BG111" s="8">
        <f>BG35*Assumptions!$B$233*BG83*(1+Assumptions!$B$175)</f>
        <v/>
      </c>
      <c r="BH111" s="8">
        <f>BH35*Assumptions!$B$233*BH83*(1+Assumptions!$B$175)</f>
        <v/>
      </c>
      <c r="BI111" s="8">
        <f>BI35*Assumptions!$B$233*BI83*(1+Assumptions!$B$175)</f>
        <v/>
      </c>
      <c r="BJ111" s="8">
        <f>BJ35*Assumptions!$B$233*BJ83*(1+Assumptions!$B$175)</f>
        <v/>
      </c>
    </row>
    <row r="112">
      <c r="A112" s="4" t="inlineStr">
        <is>
          <t>Partnerships managers (scale-up I)</t>
        </is>
      </c>
      <c r="B112" s="17" t="inlineStr">
        <is>
          <t>R</t>
        </is>
      </c>
      <c r="C112" s="8">
        <f>C36*Assumptions!$B$234*C83*(1+Assumptions!$B$175)</f>
        <v/>
      </c>
      <c r="D112" s="8">
        <f>D36*Assumptions!$B$234*D83*(1+Assumptions!$B$175)</f>
        <v/>
      </c>
      <c r="E112" s="8">
        <f>E36*Assumptions!$B$234*E83*(1+Assumptions!$B$175)</f>
        <v/>
      </c>
      <c r="F112" s="8">
        <f>F36*Assumptions!$B$234*F83*(1+Assumptions!$B$175)</f>
        <v/>
      </c>
      <c r="G112" s="8">
        <f>G36*Assumptions!$B$234*G83*(1+Assumptions!$B$175)</f>
        <v/>
      </c>
      <c r="H112" s="8">
        <f>H36*Assumptions!$B$234*H83*(1+Assumptions!$B$175)</f>
        <v/>
      </c>
      <c r="I112" s="8">
        <f>I36*Assumptions!$B$234*I83*(1+Assumptions!$B$175)</f>
        <v/>
      </c>
      <c r="J112" s="8">
        <f>J36*Assumptions!$B$234*J83*(1+Assumptions!$B$175)</f>
        <v/>
      </c>
      <c r="K112" s="8">
        <f>K36*Assumptions!$B$234*K83*(1+Assumptions!$B$175)</f>
        <v/>
      </c>
      <c r="L112" s="8">
        <f>L36*Assumptions!$B$234*L83*(1+Assumptions!$B$175)</f>
        <v/>
      </c>
      <c r="M112" s="8">
        <f>M36*Assumptions!$B$234*M83*(1+Assumptions!$B$175)</f>
        <v/>
      </c>
      <c r="N112" s="8">
        <f>N36*Assumptions!$B$234*N83*(1+Assumptions!$B$175)</f>
        <v/>
      </c>
      <c r="O112" s="8">
        <f>O36*Assumptions!$B$234*O83*(1+Assumptions!$B$175)</f>
        <v/>
      </c>
      <c r="P112" s="8">
        <f>P36*Assumptions!$B$234*P83*(1+Assumptions!$B$175)</f>
        <v/>
      </c>
      <c r="Q112" s="8">
        <f>Q36*Assumptions!$B$234*Q83*(1+Assumptions!$B$175)</f>
        <v/>
      </c>
      <c r="R112" s="8">
        <f>R36*Assumptions!$B$234*R83*(1+Assumptions!$B$175)</f>
        <v/>
      </c>
      <c r="S112" s="8">
        <f>S36*Assumptions!$B$234*S83*(1+Assumptions!$B$175)</f>
        <v/>
      </c>
      <c r="T112" s="8">
        <f>T36*Assumptions!$B$234*T83*(1+Assumptions!$B$175)</f>
        <v/>
      </c>
      <c r="U112" s="8">
        <f>U36*Assumptions!$B$234*U83*(1+Assumptions!$B$175)</f>
        <v/>
      </c>
      <c r="V112" s="8">
        <f>V36*Assumptions!$B$234*V83*(1+Assumptions!$B$175)</f>
        <v/>
      </c>
      <c r="W112" s="8">
        <f>W36*Assumptions!$B$234*W83*(1+Assumptions!$B$175)</f>
        <v/>
      </c>
      <c r="X112" s="8">
        <f>X36*Assumptions!$B$234*X83*(1+Assumptions!$B$175)</f>
        <v/>
      </c>
      <c r="Y112" s="8">
        <f>Y36*Assumptions!$B$234*Y83*(1+Assumptions!$B$175)</f>
        <v/>
      </c>
      <c r="Z112" s="8">
        <f>Z36*Assumptions!$B$234*Z83*(1+Assumptions!$B$175)</f>
        <v/>
      </c>
      <c r="AA112" s="8">
        <f>AA36*Assumptions!$B$234*AA83*(1+Assumptions!$B$175)</f>
        <v/>
      </c>
      <c r="AB112" s="8">
        <f>AB36*Assumptions!$B$234*AB83*(1+Assumptions!$B$175)</f>
        <v/>
      </c>
      <c r="AC112" s="8">
        <f>AC36*Assumptions!$B$234*AC83*(1+Assumptions!$B$175)</f>
        <v/>
      </c>
      <c r="AD112" s="8">
        <f>AD36*Assumptions!$B$234*AD83*(1+Assumptions!$B$175)</f>
        <v/>
      </c>
      <c r="AE112" s="8">
        <f>AE36*Assumptions!$B$234*AE83*(1+Assumptions!$B$175)</f>
        <v/>
      </c>
      <c r="AF112" s="8">
        <f>AF36*Assumptions!$B$234*AF83*(1+Assumptions!$B$175)</f>
        <v/>
      </c>
      <c r="AG112" s="8">
        <f>AG36*Assumptions!$B$234*AG83*(1+Assumptions!$B$175)</f>
        <v/>
      </c>
      <c r="AH112" s="8">
        <f>AH36*Assumptions!$B$234*AH83*(1+Assumptions!$B$175)</f>
        <v/>
      </c>
      <c r="AI112" s="8">
        <f>AI36*Assumptions!$B$234*AI83*(1+Assumptions!$B$175)</f>
        <v/>
      </c>
      <c r="AJ112" s="8">
        <f>AJ36*Assumptions!$B$234*AJ83*(1+Assumptions!$B$175)</f>
        <v/>
      </c>
      <c r="AK112" s="8">
        <f>AK36*Assumptions!$B$234*AK83*(1+Assumptions!$B$175)</f>
        <v/>
      </c>
      <c r="AL112" s="8">
        <f>AL36*Assumptions!$B$234*AL83*(1+Assumptions!$B$175)</f>
        <v/>
      </c>
      <c r="AM112" s="8">
        <f>AM36*Assumptions!$B$234*AM83*(1+Assumptions!$B$175)</f>
        <v/>
      </c>
      <c r="AN112" s="8">
        <f>AN36*Assumptions!$B$234*AN83*(1+Assumptions!$B$175)</f>
        <v/>
      </c>
      <c r="AO112" s="8">
        <f>AO36*Assumptions!$B$234*AO83*(1+Assumptions!$B$175)</f>
        <v/>
      </c>
      <c r="AP112" s="8">
        <f>AP36*Assumptions!$B$234*AP83*(1+Assumptions!$B$175)</f>
        <v/>
      </c>
      <c r="AQ112" s="8">
        <f>AQ36*Assumptions!$B$234*AQ83*(1+Assumptions!$B$175)</f>
        <v/>
      </c>
      <c r="AR112" s="8">
        <f>AR36*Assumptions!$B$234*AR83*(1+Assumptions!$B$175)</f>
        <v/>
      </c>
      <c r="AS112" s="8">
        <f>AS36*Assumptions!$B$234*AS83*(1+Assumptions!$B$175)</f>
        <v/>
      </c>
      <c r="AT112" s="8">
        <f>AT36*Assumptions!$B$234*AT83*(1+Assumptions!$B$175)</f>
        <v/>
      </c>
      <c r="AU112" s="8">
        <f>AU36*Assumptions!$B$234*AU83*(1+Assumptions!$B$175)</f>
        <v/>
      </c>
      <c r="AV112" s="8">
        <f>AV36*Assumptions!$B$234*AV83*(1+Assumptions!$B$175)</f>
        <v/>
      </c>
      <c r="AW112" s="8">
        <f>AW36*Assumptions!$B$234*AW83*(1+Assumptions!$B$175)</f>
        <v/>
      </c>
      <c r="AX112" s="8">
        <f>AX36*Assumptions!$B$234*AX83*(1+Assumptions!$B$175)</f>
        <v/>
      </c>
      <c r="AY112" s="8">
        <f>AY36*Assumptions!$B$234*AY83*(1+Assumptions!$B$175)</f>
        <v/>
      </c>
      <c r="AZ112" s="8">
        <f>AZ36*Assumptions!$B$234*AZ83*(1+Assumptions!$B$175)</f>
        <v/>
      </c>
      <c r="BA112" s="8">
        <f>BA36*Assumptions!$B$234*BA83*(1+Assumptions!$B$175)</f>
        <v/>
      </c>
      <c r="BB112" s="8">
        <f>BB36*Assumptions!$B$234*BB83*(1+Assumptions!$B$175)</f>
        <v/>
      </c>
      <c r="BC112" s="8">
        <f>BC36*Assumptions!$B$234*BC83*(1+Assumptions!$B$175)</f>
        <v/>
      </c>
      <c r="BD112" s="8">
        <f>BD36*Assumptions!$B$234*BD83*(1+Assumptions!$B$175)</f>
        <v/>
      </c>
      <c r="BE112" s="8">
        <f>BE36*Assumptions!$B$234*BE83*(1+Assumptions!$B$175)</f>
        <v/>
      </c>
      <c r="BF112" s="8">
        <f>BF36*Assumptions!$B$234*BF83*(1+Assumptions!$B$175)</f>
        <v/>
      </c>
      <c r="BG112" s="8">
        <f>BG36*Assumptions!$B$234*BG83*(1+Assumptions!$B$175)</f>
        <v/>
      </c>
      <c r="BH112" s="8">
        <f>BH36*Assumptions!$B$234*BH83*(1+Assumptions!$B$175)</f>
        <v/>
      </c>
      <c r="BI112" s="8">
        <f>BI36*Assumptions!$B$234*BI83*(1+Assumptions!$B$175)</f>
        <v/>
      </c>
      <c r="BJ112" s="8">
        <f>BJ36*Assumptions!$B$234*BJ83*(1+Assumptions!$B$175)</f>
        <v/>
      </c>
    </row>
    <row r="113">
      <c r="A113" s="4" t="inlineStr">
        <is>
          <t>Partnerships managers (scale-up II)</t>
        </is>
      </c>
      <c r="B113" s="17" t="inlineStr">
        <is>
          <t>R</t>
        </is>
      </c>
      <c r="C113" s="8">
        <f>C37*Assumptions!$B$235*C83*(1+Assumptions!$B$175)</f>
        <v/>
      </c>
      <c r="D113" s="8">
        <f>D37*Assumptions!$B$235*D83*(1+Assumptions!$B$175)</f>
        <v/>
      </c>
      <c r="E113" s="8">
        <f>E37*Assumptions!$B$235*E83*(1+Assumptions!$B$175)</f>
        <v/>
      </c>
      <c r="F113" s="8">
        <f>F37*Assumptions!$B$235*F83*(1+Assumptions!$B$175)</f>
        <v/>
      </c>
      <c r="G113" s="8">
        <f>G37*Assumptions!$B$235*G83*(1+Assumptions!$B$175)</f>
        <v/>
      </c>
      <c r="H113" s="8">
        <f>H37*Assumptions!$B$235*H83*(1+Assumptions!$B$175)</f>
        <v/>
      </c>
      <c r="I113" s="8">
        <f>I37*Assumptions!$B$235*I83*(1+Assumptions!$B$175)</f>
        <v/>
      </c>
      <c r="J113" s="8">
        <f>J37*Assumptions!$B$235*J83*(1+Assumptions!$B$175)</f>
        <v/>
      </c>
      <c r="K113" s="8">
        <f>K37*Assumptions!$B$235*K83*(1+Assumptions!$B$175)</f>
        <v/>
      </c>
      <c r="L113" s="8">
        <f>L37*Assumptions!$B$235*L83*(1+Assumptions!$B$175)</f>
        <v/>
      </c>
      <c r="M113" s="8">
        <f>M37*Assumptions!$B$235*M83*(1+Assumptions!$B$175)</f>
        <v/>
      </c>
      <c r="N113" s="8">
        <f>N37*Assumptions!$B$235*N83*(1+Assumptions!$B$175)</f>
        <v/>
      </c>
      <c r="O113" s="8">
        <f>O37*Assumptions!$B$235*O83*(1+Assumptions!$B$175)</f>
        <v/>
      </c>
      <c r="P113" s="8">
        <f>P37*Assumptions!$B$235*P83*(1+Assumptions!$B$175)</f>
        <v/>
      </c>
      <c r="Q113" s="8">
        <f>Q37*Assumptions!$B$235*Q83*(1+Assumptions!$B$175)</f>
        <v/>
      </c>
      <c r="R113" s="8">
        <f>R37*Assumptions!$B$235*R83*(1+Assumptions!$B$175)</f>
        <v/>
      </c>
      <c r="S113" s="8">
        <f>S37*Assumptions!$B$235*S83*(1+Assumptions!$B$175)</f>
        <v/>
      </c>
      <c r="T113" s="8">
        <f>T37*Assumptions!$B$235*T83*(1+Assumptions!$B$175)</f>
        <v/>
      </c>
      <c r="U113" s="8">
        <f>U37*Assumptions!$B$235*U83*(1+Assumptions!$B$175)</f>
        <v/>
      </c>
      <c r="V113" s="8">
        <f>V37*Assumptions!$B$235*V83*(1+Assumptions!$B$175)</f>
        <v/>
      </c>
      <c r="W113" s="8">
        <f>W37*Assumptions!$B$235*W83*(1+Assumptions!$B$175)</f>
        <v/>
      </c>
      <c r="X113" s="8">
        <f>X37*Assumptions!$B$235*X83*(1+Assumptions!$B$175)</f>
        <v/>
      </c>
      <c r="Y113" s="8">
        <f>Y37*Assumptions!$B$235*Y83*(1+Assumptions!$B$175)</f>
        <v/>
      </c>
      <c r="Z113" s="8">
        <f>Z37*Assumptions!$B$235*Z83*(1+Assumptions!$B$175)</f>
        <v/>
      </c>
      <c r="AA113" s="8">
        <f>AA37*Assumptions!$B$235*AA83*(1+Assumptions!$B$175)</f>
        <v/>
      </c>
      <c r="AB113" s="8">
        <f>AB37*Assumptions!$B$235*AB83*(1+Assumptions!$B$175)</f>
        <v/>
      </c>
      <c r="AC113" s="8">
        <f>AC37*Assumptions!$B$235*AC83*(1+Assumptions!$B$175)</f>
        <v/>
      </c>
      <c r="AD113" s="8">
        <f>AD37*Assumptions!$B$235*AD83*(1+Assumptions!$B$175)</f>
        <v/>
      </c>
      <c r="AE113" s="8">
        <f>AE37*Assumptions!$B$235*AE83*(1+Assumptions!$B$175)</f>
        <v/>
      </c>
      <c r="AF113" s="8">
        <f>AF37*Assumptions!$B$235*AF83*(1+Assumptions!$B$175)</f>
        <v/>
      </c>
      <c r="AG113" s="8">
        <f>AG37*Assumptions!$B$235*AG83*(1+Assumptions!$B$175)</f>
        <v/>
      </c>
      <c r="AH113" s="8">
        <f>AH37*Assumptions!$B$235*AH83*(1+Assumptions!$B$175)</f>
        <v/>
      </c>
      <c r="AI113" s="8">
        <f>AI37*Assumptions!$B$235*AI83*(1+Assumptions!$B$175)</f>
        <v/>
      </c>
      <c r="AJ113" s="8">
        <f>AJ37*Assumptions!$B$235*AJ83*(1+Assumptions!$B$175)</f>
        <v/>
      </c>
      <c r="AK113" s="8">
        <f>AK37*Assumptions!$B$235*AK83*(1+Assumptions!$B$175)</f>
        <v/>
      </c>
      <c r="AL113" s="8">
        <f>AL37*Assumptions!$B$235*AL83*(1+Assumptions!$B$175)</f>
        <v/>
      </c>
      <c r="AM113" s="8">
        <f>AM37*Assumptions!$B$235*AM83*(1+Assumptions!$B$175)</f>
        <v/>
      </c>
      <c r="AN113" s="8">
        <f>AN37*Assumptions!$B$235*AN83*(1+Assumptions!$B$175)</f>
        <v/>
      </c>
      <c r="AO113" s="8">
        <f>AO37*Assumptions!$B$235*AO83*(1+Assumptions!$B$175)</f>
        <v/>
      </c>
      <c r="AP113" s="8">
        <f>AP37*Assumptions!$B$235*AP83*(1+Assumptions!$B$175)</f>
        <v/>
      </c>
      <c r="AQ113" s="8">
        <f>AQ37*Assumptions!$B$235*AQ83*(1+Assumptions!$B$175)</f>
        <v/>
      </c>
      <c r="AR113" s="8">
        <f>AR37*Assumptions!$B$235*AR83*(1+Assumptions!$B$175)</f>
        <v/>
      </c>
      <c r="AS113" s="8">
        <f>AS37*Assumptions!$B$235*AS83*(1+Assumptions!$B$175)</f>
        <v/>
      </c>
      <c r="AT113" s="8">
        <f>AT37*Assumptions!$B$235*AT83*(1+Assumptions!$B$175)</f>
        <v/>
      </c>
      <c r="AU113" s="8">
        <f>AU37*Assumptions!$B$235*AU83*(1+Assumptions!$B$175)</f>
        <v/>
      </c>
      <c r="AV113" s="8">
        <f>AV37*Assumptions!$B$235*AV83*(1+Assumptions!$B$175)</f>
        <v/>
      </c>
      <c r="AW113" s="8">
        <f>AW37*Assumptions!$B$235*AW83*(1+Assumptions!$B$175)</f>
        <v/>
      </c>
      <c r="AX113" s="8">
        <f>AX37*Assumptions!$B$235*AX83*(1+Assumptions!$B$175)</f>
        <v/>
      </c>
      <c r="AY113" s="8">
        <f>AY37*Assumptions!$B$235*AY83*(1+Assumptions!$B$175)</f>
        <v/>
      </c>
      <c r="AZ113" s="8">
        <f>AZ37*Assumptions!$B$235*AZ83*(1+Assumptions!$B$175)</f>
        <v/>
      </c>
      <c r="BA113" s="8">
        <f>BA37*Assumptions!$B$235*BA83*(1+Assumptions!$B$175)</f>
        <v/>
      </c>
      <c r="BB113" s="8">
        <f>BB37*Assumptions!$B$235*BB83*(1+Assumptions!$B$175)</f>
        <v/>
      </c>
      <c r="BC113" s="8">
        <f>BC37*Assumptions!$B$235*BC83*(1+Assumptions!$B$175)</f>
        <v/>
      </c>
      <c r="BD113" s="8">
        <f>BD37*Assumptions!$B$235*BD83*(1+Assumptions!$B$175)</f>
        <v/>
      </c>
      <c r="BE113" s="8">
        <f>BE37*Assumptions!$B$235*BE83*(1+Assumptions!$B$175)</f>
        <v/>
      </c>
      <c r="BF113" s="8">
        <f>BF37*Assumptions!$B$235*BF83*(1+Assumptions!$B$175)</f>
        <v/>
      </c>
      <c r="BG113" s="8">
        <f>BG37*Assumptions!$B$235*BG83*(1+Assumptions!$B$175)</f>
        <v/>
      </c>
      <c r="BH113" s="8">
        <f>BH37*Assumptions!$B$235*BH83*(1+Assumptions!$B$175)</f>
        <v/>
      </c>
      <c r="BI113" s="8">
        <f>BI37*Assumptions!$B$235*BI83*(1+Assumptions!$B$175)</f>
        <v/>
      </c>
      <c r="BJ113" s="8">
        <f>BJ37*Assumptions!$B$235*BJ83*(1+Assumptions!$B$175)</f>
        <v/>
      </c>
    </row>
    <row r="114">
      <c r="A114" s="4" t="inlineStr">
        <is>
          <t>SME onboarding &amp; sales-assist</t>
        </is>
      </c>
      <c r="B114" s="17" t="inlineStr">
        <is>
          <t>R</t>
        </is>
      </c>
      <c r="C114" s="8">
        <f>C38*Assumptions!$B$236*C83*(1+Assumptions!$B$175)</f>
        <v/>
      </c>
      <c r="D114" s="8">
        <f>D38*Assumptions!$B$236*D83*(1+Assumptions!$B$175)</f>
        <v/>
      </c>
      <c r="E114" s="8">
        <f>E38*Assumptions!$B$236*E83*(1+Assumptions!$B$175)</f>
        <v/>
      </c>
      <c r="F114" s="8">
        <f>F38*Assumptions!$B$236*F83*(1+Assumptions!$B$175)</f>
        <v/>
      </c>
      <c r="G114" s="8">
        <f>G38*Assumptions!$B$236*G83*(1+Assumptions!$B$175)</f>
        <v/>
      </c>
      <c r="H114" s="8">
        <f>H38*Assumptions!$B$236*H83*(1+Assumptions!$B$175)</f>
        <v/>
      </c>
      <c r="I114" s="8">
        <f>I38*Assumptions!$B$236*I83*(1+Assumptions!$B$175)</f>
        <v/>
      </c>
      <c r="J114" s="8">
        <f>J38*Assumptions!$B$236*J83*(1+Assumptions!$B$175)</f>
        <v/>
      </c>
      <c r="K114" s="8">
        <f>K38*Assumptions!$B$236*K83*(1+Assumptions!$B$175)</f>
        <v/>
      </c>
      <c r="L114" s="8">
        <f>L38*Assumptions!$B$236*L83*(1+Assumptions!$B$175)</f>
        <v/>
      </c>
      <c r="M114" s="8">
        <f>M38*Assumptions!$B$236*M83*(1+Assumptions!$B$175)</f>
        <v/>
      </c>
      <c r="N114" s="8">
        <f>N38*Assumptions!$B$236*N83*(1+Assumptions!$B$175)</f>
        <v/>
      </c>
      <c r="O114" s="8">
        <f>O38*Assumptions!$B$236*O83*(1+Assumptions!$B$175)</f>
        <v/>
      </c>
      <c r="P114" s="8">
        <f>P38*Assumptions!$B$236*P83*(1+Assumptions!$B$175)</f>
        <v/>
      </c>
      <c r="Q114" s="8">
        <f>Q38*Assumptions!$B$236*Q83*(1+Assumptions!$B$175)</f>
        <v/>
      </c>
      <c r="R114" s="8">
        <f>R38*Assumptions!$B$236*R83*(1+Assumptions!$B$175)</f>
        <v/>
      </c>
      <c r="S114" s="8">
        <f>S38*Assumptions!$B$236*S83*(1+Assumptions!$B$175)</f>
        <v/>
      </c>
      <c r="T114" s="8">
        <f>T38*Assumptions!$B$236*T83*(1+Assumptions!$B$175)</f>
        <v/>
      </c>
      <c r="U114" s="8">
        <f>U38*Assumptions!$B$236*U83*(1+Assumptions!$B$175)</f>
        <v/>
      </c>
      <c r="V114" s="8">
        <f>V38*Assumptions!$B$236*V83*(1+Assumptions!$B$175)</f>
        <v/>
      </c>
      <c r="W114" s="8">
        <f>W38*Assumptions!$B$236*W83*(1+Assumptions!$B$175)</f>
        <v/>
      </c>
      <c r="X114" s="8">
        <f>X38*Assumptions!$B$236*X83*(1+Assumptions!$B$175)</f>
        <v/>
      </c>
      <c r="Y114" s="8">
        <f>Y38*Assumptions!$B$236*Y83*(1+Assumptions!$B$175)</f>
        <v/>
      </c>
      <c r="Z114" s="8">
        <f>Z38*Assumptions!$B$236*Z83*(1+Assumptions!$B$175)</f>
        <v/>
      </c>
      <c r="AA114" s="8">
        <f>AA38*Assumptions!$B$236*AA83*(1+Assumptions!$B$175)</f>
        <v/>
      </c>
      <c r="AB114" s="8">
        <f>AB38*Assumptions!$B$236*AB83*(1+Assumptions!$B$175)</f>
        <v/>
      </c>
      <c r="AC114" s="8">
        <f>AC38*Assumptions!$B$236*AC83*(1+Assumptions!$B$175)</f>
        <v/>
      </c>
      <c r="AD114" s="8">
        <f>AD38*Assumptions!$B$236*AD83*(1+Assumptions!$B$175)</f>
        <v/>
      </c>
      <c r="AE114" s="8">
        <f>AE38*Assumptions!$B$236*AE83*(1+Assumptions!$B$175)</f>
        <v/>
      </c>
      <c r="AF114" s="8">
        <f>AF38*Assumptions!$B$236*AF83*(1+Assumptions!$B$175)</f>
        <v/>
      </c>
      <c r="AG114" s="8">
        <f>AG38*Assumptions!$B$236*AG83*(1+Assumptions!$B$175)</f>
        <v/>
      </c>
      <c r="AH114" s="8">
        <f>AH38*Assumptions!$B$236*AH83*(1+Assumptions!$B$175)</f>
        <v/>
      </c>
      <c r="AI114" s="8">
        <f>AI38*Assumptions!$B$236*AI83*(1+Assumptions!$B$175)</f>
        <v/>
      </c>
      <c r="AJ114" s="8">
        <f>AJ38*Assumptions!$B$236*AJ83*(1+Assumptions!$B$175)</f>
        <v/>
      </c>
      <c r="AK114" s="8">
        <f>AK38*Assumptions!$B$236*AK83*(1+Assumptions!$B$175)</f>
        <v/>
      </c>
      <c r="AL114" s="8">
        <f>AL38*Assumptions!$B$236*AL83*(1+Assumptions!$B$175)</f>
        <v/>
      </c>
      <c r="AM114" s="8">
        <f>AM38*Assumptions!$B$236*AM83*(1+Assumptions!$B$175)</f>
        <v/>
      </c>
      <c r="AN114" s="8">
        <f>AN38*Assumptions!$B$236*AN83*(1+Assumptions!$B$175)</f>
        <v/>
      </c>
      <c r="AO114" s="8">
        <f>AO38*Assumptions!$B$236*AO83*(1+Assumptions!$B$175)</f>
        <v/>
      </c>
      <c r="AP114" s="8">
        <f>AP38*Assumptions!$B$236*AP83*(1+Assumptions!$B$175)</f>
        <v/>
      </c>
      <c r="AQ114" s="8">
        <f>AQ38*Assumptions!$B$236*AQ83*(1+Assumptions!$B$175)</f>
        <v/>
      </c>
      <c r="AR114" s="8">
        <f>AR38*Assumptions!$B$236*AR83*(1+Assumptions!$B$175)</f>
        <v/>
      </c>
      <c r="AS114" s="8">
        <f>AS38*Assumptions!$B$236*AS83*(1+Assumptions!$B$175)</f>
        <v/>
      </c>
      <c r="AT114" s="8">
        <f>AT38*Assumptions!$B$236*AT83*(1+Assumptions!$B$175)</f>
        <v/>
      </c>
      <c r="AU114" s="8">
        <f>AU38*Assumptions!$B$236*AU83*(1+Assumptions!$B$175)</f>
        <v/>
      </c>
      <c r="AV114" s="8">
        <f>AV38*Assumptions!$B$236*AV83*(1+Assumptions!$B$175)</f>
        <v/>
      </c>
      <c r="AW114" s="8">
        <f>AW38*Assumptions!$B$236*AW83*(1+Assumptions!$B$175)</f>
        <v/>
      </c>
      <c r="AX114" s="8">
        <f>AX38*Assumptions!$B$236*AX83*(1+Assumptions!$B$175)</f>
        <v/>
      </c>
      <c r="AY114" s="8">
        <f>AY38*Assumptions!$B$236*AY83*(1+Assumptions!$B$175)</f>
        <v/>
      </c>
      <c r="AZ114" s="8">
        <f>AZ38*Assumptions!$B$236*AZ83*(1+Assumptions!$B$175)</f>
        <v/>
      </c>
      <c r="BA114" s="8">
        <f>BA38*Assumptions!$B$236*BA83*(1+Assumptions!$B$175)</f>
        <v/>
      </c>
      <c r="BB114" s="8">
        <f>BB38*Assumptions!$B$236*BB83*(1+Assumptions!$B$175)</f>
        <v/>
      </c>
      <c r="BC114" s="8">
        <f>BC38*Assumptions!$B$236*BC83*(1+Assumptions!$B$175)</f>
        <v/>
      </c>
      <c r="BD114" s="8">
        <f>BD38*Assumptions!$B$236*BD83*(1+Assumptions!$B$175)</f>
        <v/>
      </c>
      <c r="BE114" s="8">
        <f>BE38*Assumptions!$B$236*BE83*(1+Assumptions!$B$175)</f>
        <v/>
      </c>
      <c r="BF114" s="8">
        <f>BF38*Assumptions!$B$236*BF83*(1+Assumptions!$B$175)</f>
        <v/>
      </c>
      <c r="BG114" s="8">
        <f>BG38*Assumptions!$B$236*BG83*(1+Assumptions!$B$175)</f>
        <v/>
      </c>
      <c r="BH114" s="8">
        <f>BH38*Assumptions!$B$236*BH83*(1+Assumptions!$B$175)</f>
        <v/>
      </c>
      <c r="BI114" s="8">
        <f>BI38*Assumptions!$B$236*BI83*(1+Assumptions!$B$175)</f>
        <v/>
      </c>
      <c r="BJ114" s="8">
        <f>BJ38*Assumptions!$B$236*BJ83*(1+Assumptions!$B$175)</f>
        <v/>
      </c>
    </row>
    <row r="115">
      <c r="A115" s="4" t="inlineStr">
        <is>
          <t>Head of Sales &amp; Partnerships</t>
        </is>
      </c>
      <c r="B115" s="17" t="inlineStr">
        <is>
          <t>R</t>
        </is>
      </c>
      <c r="C115" s="8">
        <f>C39*Assumptions!$B$237*C83*(1+Assumptions!$B$175)</f>
        <v/>
      </c>
      <c r="D115" s="8">
        <f>D39*Assumptions!$B$237*D83*(1+Assumptions!$B$175)</f>
        <v/>
      </c>
      <c r="E115" s="8">
        <f>E39*Assumptions!$B$237*E83*(1+Assumptions!$B$175)</f>
        <v/>
      </c>
      <c r="F115" s="8">
        <f>F39*Assumptions!$B$237*F83*(1+Assumptions!$B$175)</f>
        <v/>
      </c>
      <c r="G115" s="8">
        <f>G39*Assumptions!$B$237*G83*(1+Assumptions!$B$175)</f>
        <v/>
      </c>
      <c r="H115" s="8">
        <f>H39*Assumptions!$B$237*H83*(1+Assumptions!$B$175)</f>
        <v/>
      </c>
      <c r="I115" s="8">
        <f>I39*Assumptions!$B$237*I83*(1+Assumptions!$B$175)</f>
        <v/>
      </c>
      <c r="J115" s="8">
        <f>J39*Assumptions!$B$237*J83*(1+Assumptions!$B$175)</f>
        <v/>
      </c>
      <c r="K115" s="8">
        <f>K39*Assumptions!$B$237*K83*(1+Assumptions!$B$175)</f>
        <v/>
      </c>
      <c r="L115" s="8">
        <f>L39*Assumptions!$B$237*L83*(1+Assumptions!$B$175)</f>
        <v/>
      </c>
      <c r="M115" s="8">
        <f>M39*Assumptions!$B$237*M83*(1+Assumptions!$B$175)</f>
        <v/>
      </c>
      <c r="N115" s="8">
        <f>N39*Assumptions!$B$237*N83*(1+Assumptions!$B$175)</f>
        <v/>
      </c>
      <c r="O115" s="8">
        <f>O39*Assumptions!$B$237*O83*(1+Assumptions!$B$175)</f>
        <v/>
      </c>
      <c r="P115" s="8">
        <f>P39*Assumptions!$B$237*P83*(1+Assumptions!$B$175)</f>
        <v/>
      </c>
      <c r="Q115" s="8">
        <f>Q39*Assumptions!$B$237*Q83*(1+Assumptions!$B$175)</f>
        <v/>
      </c>
      <c r="R115" s="8">
        <f>R39*Assumptions!$B$237*R83*(1+Assumptions!$B$175)</f>
        <v/>
      </c>
      <c r="S115" s="8">
        <f>S39*Assumptions!$B$237*S83*(1+Assumptions!$B$175)</f>
        <v/>
      </c>
      <c r="T115" s="8">
        <f>T39*Assumptions!$B$237*T83*(1+Assumptions!$B$175)</f>
        <v/>
      </c>
      <c r="U115" s="8">
        <f>U39*Assumptions!$B$237*U83*(1+Assumptions!$B$175)</f>
        <v/>
      </c>
      <c r="V115" s="8">
        <f>V39*Assumptions!$B$237*V83*(1+Assumptions!$B$175)</f>
        <v/>
      </c>
      <c r="W115" s="8">
        <f>W39*Assumptions!$B$237*W83*(1+Assumptions!$B$175)</f>
        <v/>
      </c>
      <c r="X115" s="8">
        <f>X39*Assumptions!$B$237*X83*(1+Assumptions!$B$175)</f>
        <v/>
      </c>
      <c r="Y115" s="8">
        <f>Y39*Assumptions!$B$237*Y83*(1+Assumptions!$B$175)</f>
        <v/>
      </c>
      <c r="Z115" s="8">
        <f>Z39*Assumptions!$B$237*Z83*(1+Assumptions!$B$175)</f>
        <v/>
      </c>
      <c r="AA115" s="8">
        <f>AA39*Assumptions!$B$237*AA83*(1+Assumptions!$B$175)</f>
        <v/>
      </c>
      <c r="AB115" s="8">
        <f>AB39*Assumptions!$B$237*AB83*(1+Assumptions!$B$175)</f>
        <v/>
      </c>
      <c r="AC115" s="8">
        <f>AC39*Assumptions!$B$237*AC83*(1+Assumptions!$B$175)</f>
        <v/>
      </c>
      <c r="AD115" s="8">
        <f>AD39*Assumptions!$B$237*AD83*(1+Assumptions!$B$175)</f>
        <v/>
      </c>
      <c r="AE115" s="8">
        <f>AE39*Assumptions!$B$237*AE83*(1+Assumptions!$B$175)</f>
        <v/>
      </c>
      <c r="AF115" s="8">
        <f>AF39*Assumptions!$B$237*AF83*(1+Assumptions!$B$175)</f>
        <v/>
      </c>
      <c r="AG115" s="8">
        <f>AG39*Assumptions!$B$237*AG83*(1+Assumptions!$B$175)</f>
        <v/>
      </c>
      <c r="AH115" s="8">
        <f>AH39*Assumptions!$B$237*AH83*(1+Assumptions!$B$175)</f>
        <v/>
      </c>
      <c r="AI115" s="8">
        <f>AI39*Assumptions!$B$237*AI83*(1+Assumptions!$B$175)</f>
        <v/>
      </c>
      <c r="AJ115" s="8">
        <f>AJ39*Assumptions!$B$237*AJ83*(1+Assumptions!$B$175)</f>
        <v/>
      </c>
      <c r="AK115" s="8">
        <f>AK39*Assumptions!$B$237*AK83*(1+Assumptions!$B$175)</f>
        <v/>
      </c>
      <c r="AL115" s="8">
        <f>AL39*Assumptions!$B$237*AL83*(1+Assumptions!$B$175)</f>
        <v/>
      </c>
      <c r="AM115" s="8">
        <f>AM39*Assumptions!$B$237*AM83*(1+Assumptions!$B$175)</f>
        <v/>
      </c>
      <c r="AN115" s="8">
        <f>AN39*Assumptions!$B$237*AN83*(1+Assumptions!$B$175)</f>
        <v/>
      </c>
      <c r="AO115" s="8">
        <f>AO39*Assumptions!$B$237*AO83*(1+Assumptions!$B$175)</f>
        <v/>
      </c>
      <c r="AP115" s="8">
        <f>AP39*Assumptions!$B$237*AP83*(1+Assumptions!$B$175)</f>
        <v/>
      </c>
      <c r="AQ115" s="8">
        <f>AQ39*Assumptions!$B$237*AQ83*(1+Assumptions!$B$175)</f>
        <v/>
      </c>
      <c r="AR115" s="8">
        <f>AR39*Assumptions!$B$237*AR83*(1+Assumptions!$B$175)</f>
        <v/>
      </c>
      <c r="AS115" s="8">
        <f>AS39*Assumptions!$B$237*AS83*(1+Assumptions!$B$175)</f>
        <v/>
      </c>
      <c r="AT115" s="8">
        <f>AT39*Assumptions!$B$237*AT83*(1+Assumptions!$B$175)</f>
        <v/>
      </c>
      <c r="AU115" s="8">
        <f>AU39*Assumptions!$B$237*AU83*(1+Assumptions!$B$175)</f>
        <v/>
      </c>
      <c r="AV115" s="8">
        <f>AV39*Assumptions!$B$237*AV83*(1+Assumptions!$B$175)</f>
        <v/>
      </c>
      <c r="AW115" s="8">
        <f>AW39*Assumptions!$B$237*AW83*(1+Assumptions!$B$175)</f>
        <v/>
      </c>
      <c r="AX115" s="8">
        <f>AX39*Assumptions!$B$237*AX83*(1+Assumptions!$B$175)</f>
        <v/>
      </c>
      <c r="AY115" s="8">
        <f>AY39*Assumptions!$B$237*AY83*(1+Assumptions!$B$175)</f>
        <v/>
      </c>
      <c r="AZ115" s="8">
        <f>AZ39*Assumptions!$B$237*AZ83*(1+Assumptions!$B$175)</f>
        <v/>
      </c>
      <c r="BA115" s="8">
        <f>BA39*Assumptions!$B$237*BA83*(1+Assumptions!$B$175)</f>
        <v/>
      </c>
      <c r="BB115" s="8">
        <f>BB39*Assumptions!$B$237*BB83*(1+Assumptions!$B$175)</f>
        <v/>
      </c>
      <c r="BC115" s="8">
        <f>BC39*Assumptions!$B$237*BC83*(1+Assumptions!$B$175)</f>
        <v/>
      </c>
      <c r="BD115" s="8">
        <f>BD39*Assumptions!$B$237*BD83*(1+Assumptions!$B$175)</f>
        <v/>
      </c>
      <c r="BE115" s="8">
        <f>BE39*Assumptions!$B$237*BE83*(1+Assumptions!$B$175)</f>
        <v/>
      </c>
      <c r="BF115" s="8">
        <f>BF39*Assumptions!$B$237*BF83*(1+Assumptions!$B$175)</f>
        <v/>
      </c>
      <c r="BG115" s="8">
        <f>BG39*Assumptions!$B$237*BG83*(1+Assumptions!$B$175)</f>
        <v/>
      </c>
      <c r="BH115" s="8">
        <f>BH39*Assumptions!$B$237*BH83*(1+Assumptions!$B$175)</f>
        <v/>
      </c>
      <c r="BI115" s="8">
        <f>BI39*Assumptions!$B$237*BI83*(1+Assumptions!$B$175)</f>
        <v/>
      </c>
      <c r="BJ115" s="8">
        <f>BJ39*Assumptions!$B$237*BJ83*(1+Assumptions!$B$175)</f>
        <v/>
      </c>
    </row>
    <row r="116">
      <c r="A116" s="4" t="inlineStr">
        <is>
          <t>SME account managers</t>
        </is>
      </c>
      <c r="B116" s="17" t="inlineStr">
        <is>
          <t>R</t>
        </is>
      </c>
      <c r="C116" s="8">
        <f>C40*Assumptions!$B$238*C83*(1+Assumptions!$B$175)</f>
        <v/>
      </c>
      <c r="D116" s="8">
        <f>D40*Assumptions!$B$238*D83*(1+Assumptions!$B$175)</f>
        <v/>
      </c>
      <c r="E116" s="8">
        <f>E40*Assumptions!$B$238*E83*(1+Assumptions!$B$175)</f>
        <v/>
      </c>
      <c r="F116" s="8">
        <f>F40*Assumptions!$B$238*F83*(1+Assumptions!$B$175)</f>
        <v/>
      </c>
      <c r="G116" s="8">
        <f>G40*Assumptions!$B$238*G83*(1+Assumptions!$B$175)</f>
        <v/>
      </c>
      <c r="H116" s="8">
        <f>H40*Assumptions!$B$238*H83*(1+Assumptions!$B$175)</f>
        <v/>
      </c>
      <c r="I116" s="8">
        <f>I40*Assumptions!$B$238*I83*(1+Assumptions!$B$175)</f>
        <v/>
      </c>
      <c r="J116" s="8">
        <f>J40*Assumptions!$B$238*J83*(1+Assumptions!$B$175)</f>
        <v/>
      </c>
      <c r="K116" s="8">
        <f>K40*Assumptions!$B$238*K83*(1+Assumptions!$B$175)</f>
        <v/>
      </c>
      <c r="L116" s="8">
        <f>L40*Assumptions!$B$238*L83*(1+Assumptions!$B$175)</f>
        <v/>
      </c>
      <c r="M116" s="8">
        <f>M40*Assumptions!$B$238*M83*(1+Assumptions!$B$175)</f>
        <v/>
      </c>
      <c r="N116" s="8">
        <f>N40*Assumptions!$B$238*N83*(1+Assumptions!$B$175)</f>
        <v/>
      </c>
      <c r="O116" s="8">
        <f>O40*Assumptions!$B$238*O83*(1+Assumptions!$B$175)</f>
        <v/>
      </c>
      <c r="P116" s="8">
        <f>P40*Assumptions!$B$238*P83*(1+Assumptions!$B$175)</f>
        <v/>
      </c>
      <c r="Q116" s="8">
        <f>Q40*Assumptions!$B$238*Q83*(1+Assumptions!$B$175)</f>
        <v/>
      </c>
      <c r="R116" s="8">
        <f>R40*Assumptions!$B$238*R83*(1+Assumptions!$B$175)</f>
        <v/>
      </c>
      <c r="S116" s="8">
        <f>S40*Assumptions!$B$238*S83*(1+Assumptions!$B$175)</f>
        <v/>
      </c>
      <c r="T116" s="8">
        <f>T40*Assumptions!$B$238*T83*(1+Assumptions!$B$175)</f>
        <v/>
      </c>
      <c r="U116" s="8">
        <f>U40*Assumptions!$B$238*U83*(1+Assumptions!$B$175)</f>
        <v/>
      </c>
      <c r="V116" s="8">
        <f>V40*Assumptions!$B$238*V83*(1+Assumptions!$B$175)</f>
        <v/>
      </c>
      <c r="W116" s="8">
        <f>W40*Assumptions!$B$238*W83*(1+Assumptions!$B$175)</f>
        <v/>
      </c>
      <c r="X116" s="8">
        <f>X40*Assumptions!$B$238*X83*(1+Assumptions!$B$175)</f>
        <v/>
      </c>
      <c r="Y116" s="8">
        <f>Y40*Assumptions!$B$238*Y83*(1+Assumptions!$B$175)</f>
        <v/>
      </c>
      <c r="Z116" s="8">
        <f>Z40*Assumptions!$B$238*Z83*(1+Assumptions!$B$175)</f>
        <v/>
      </c>
      <c r="AA116" s="8">
        <f>AA40*Assumptions!$B$238*AA83*(1+Assumptions!$B$175)</f>
        <v/>
      </c>
      <c r="AB116" s="8">
        <f>AB40*Assumptions!$B$238*AB83*(1+Assumptions!$B$175)</f>
        <v/>
      </c>
      <c r="AC116" s="8">
        <f>AC40*Assumptions!$B$238*AC83*(1+Assumptions!$B$175)</f>
        <v/>
      </c>
      <c r="AD116" s="8">
        <f>AD40*Assumptions!$B$238*AD83*(1+Assumptions!$B$175)</f>
        <v/>
      </c>
      <c r="AE116" s="8">
        <f>AE40*Assumptions!$B$238*AE83*(1+Assumptions!$B$175)</f>
        <v/>
      </c>
      <c r="AF116" s="8">
        <f>AF40*Assumptions!$B$238*AF83*(1+Assumptions!$B$175)</f>
        <v/>
      </c>
      <c r="AG116" s="8">
        <f>AG40*Assumptions!$B$238*AG83*(1+Assumptions!$B$175)</f>
        <v/>
      </c>
      <c r="AH116" s="8">
        <f>AH40*Assumptions!$B$238*AH83*(1+Assumptions!$B$175)</f>
        <v/>
      </c>
      <c r="AI116" s="8">
        <f>AI40*Assumptions!$B$238*AI83*(1+Assumptions!$B$175)</f>
        <v/>
      </c>
      <c r="AJ116" s="8">
        <f>AJ40*Assumptions!$B$238*AJ83*(1+Assumptions!$B$175)</f>
        <v/>
      </c>
      <c r="AK116" s="8">
        <f>AK40*Assumptions!$B$238*AK83*(1+Assumptions!$B$175)</f>
        <v/>
      </c>
      <c r="AL116" s="8">
        <f>AL40*Assumptions!$B$238*AL83*(1+Assumptions!$B$175)</f>
        <v/>
      </c>
      <c r="AM116" s="8">
        <f>AM40*Assumptions!$B$238*AM83*(1+Assumptions!$B$175)</f>
        <v/>
      </c>
      <c r="AN116" s="8">
        <f>AN40*Assumptions!$B$238*AN83*(1+Assumptions!$B$175)</f>
        <v/>
      </c>
      <c r="AO116" s="8">
        <f>AO40*Assumptions!$B$238*AO83*(1+Assumptions!$B$175)</f>
        <v/>
      </c>
      <c r="AP116" s="8">
        <f>AP40*Assumptions!$B$238*AP83*(1+Assumptions!$B$175)</f>
        <v/>
      </c>
      <c r="AQ116" s="8">
        <f>AQ40*Assumptions!$B$238*AQ83*(1+Assumptions!$B$175)</f>
        <v/>
      </c>
      <c r="AR116" s="8">
        <f>AR40*Assumptions!$B$238*AR83*(1+Assumptions!$B$175)</f>
        <v/>
      </c>
      <c r="AS116" s="8">
        <f>AS40*Assumptions!$B$238*AS83*(1+Assumptions!$B$175)</f>
        <v/>
      </c>
      <c r="AT116" s="8">
        <f>AT40*Assumptions!$B$238*AT83*(1+Assumptions!$B$175)</f>
        <v/>
      </c>
      <c r="AU116" s="8">
        <f>AU40*Assumptions!$B$238*AU83*(1+Assumptions!$B$175)</f>
        <v/>
      </c>
      <c r="AV116" s="8">
        <f>AV40*Assumptions!$B$238*AV83*(1+Assumptions!$B$175)</f>
        <v/>
      </c>
      <c r="AW116" s="8">
        <f>AW40*Assumptions!$B$238*AW83*(1+Assumptions!$B$175)</f>
        <v/>
      </c>
      <c r="AX116" s="8">
        <f>AX40*Assumptions!$B$238*AX83*(1+Assumptions!$B$175)</f>
        <v/>
      </c>
      <c r="AY116" s="8">
        <f>AY40*Assumptions!$B$238*AY83*(1+Assumptions!$B$175)</f>
        <v/>
      </c>
      <c r="AZ116" s="8">
        <f>AZ40*Assumptions!$B$238*AZ83*(1+Assumptions!$B$175)</f>
        <v/>
      </c>
      <c r="BA116" s="8">
        <f>BA40*Assumptions!$B$238*BA83*(1+Assumptions!$B$175)</f>
        <v/>
      </c>
      <c r="BB116" s="8">
        <f>BB40*Assumptions!$B$238*BB83*(1+Assumptions!$B$175)</f>
        <v/>
      </c>
      <c r="BC116" s="8">
        <f>BC40*Assumptions!$B$238*BC83*(1+Assumptions!$B$175)</f>
        <v/>
      </c>
      <c r="BD116" s="8">
        <f>BD40*Assumptions!$B$238*BD83*(1+Assumptions!$B$175)</f>
        <v/>
      </c>
      <c r="BE116" s="8">
        <f>BE40*Assumptions!$B$238*BE83*(1+Assumptions!$B$175)</f>
        <v/>
      </c>
      <c r="BF116" s="8">
        <f>BF40*Assumptions!$B$238*BF83*(1+Assumptions!$B$175)</f>
        <v/>
      </c>
      <c r="BG116" s="8">
        <f>BG40*Assumptions!$B$238*BG83*(1+Assumptions!$B$175)</f>
        <v/>
      </c>
      <c r="BH116" s="8">
        <f>BH40*Assumptions!$B$238*BH83*(1+Assumptions!$B$175)</f>
        <v/>
      </c>
      <c r="BI116" s="8">
        <f>BI40*Assumptions!$B$238*BI83*(1+Assumptions!$B$175)</f>
        <v/>
      </c>
      <c r="BJ116" s="8">
        <f>BJ40*Assumptions!$B$238*BJ83*(1+Assumptions!$B$175)</f>
        <v/>
      </c>
    </row>
    <row r="117">
      <c r="A117" s="4" t="inlineStr">
        <is>
          <t>Partnerships managers (scale-up III)</t>
        </is>
      </c>
      <c r="B117" s="17" t="inlineStr">
        <is>
          <t>R</t>
        </is>
      </c>
      <c r="C117" s="8">
        <f>C41*Assumptions!$B$239*C83*(1+Assumptions!$B$175)</f>
        <v/>
      </c>
      <c r="D117" s="8">
        <f>D41*Assumptions!$B$239*D83*(1+Assumptions!$B$175)</f>
        <v/>
      </c>
      <c r="E117" s="8">
        <f>E41*Assumptions!$B$239*E83*(1+Assumptions!$B$175)</f>
        <v/>
      </c>
      <c r="F117" s="8">
        <f>F41*Assumptions!$B$239*F83*(1+Assumptions!$B$175)</f>
        <v/>
      </c>
      <c r="G117" s="8">
        <f>G41*Assumptions!$B$239*G83*(1+Assumptions!$B$175)</f>
        <v/>
      </c>
      <c r="H117" s="8">
        <f>H41*Assumptions!$B$239*H83*(1+Assumptions!$B$175)</f>
        <v/>
      </c>
      <c r="I117" s="8">
        <f>I41*Assumptions!$B$239*I83*(1+Assumptions!$B$175)</f>
        <v/>
      </c>
      <c r="J117" s="8">
        <f>J41*Assumptions!$B$239*J83*(1+Assumptions!$B$175)</f>
        <v/>
      </c>
      <c r="K117" s="8">
        <f>K41*Assumptions!$B$239*K83*(1+Assumptions!$B$175)</f>
        <v/>
      </c>
      <c r="L117" s="8">
        <f>L41*Assumptions!$B$239*L83*(1+Assumptions!$B$175)</f>
        <v/>
      </c>
      <c r="M117" s="8">
        <f>M41*Assumptions!$B$239*M83*(1+Assumptions!$B$175)</f>
        <v/>
      </c>
      <c r="N117" s="8">
        <f>N41*Assumptions!$B$239*N83*(1+Assumptions!$B$175)</f>
        <v/>
      </c>
      <c r="O117" s="8">
        <f>O41*Assumptions!$B$239*O83*(1+Assumptions!$B$175)</f>
        <v/>
      </c>
      <c r="P117" s="8">
        <f>P41*Assumptions!$B$239*P83*(1+Assumptions!$B$175)</f>
        <v/>
      </c>
      <c r="Q117" s="8">
        <f>Q41*Assumptions!$B$239*Q83*(1+Assumptions!$B$175)</f>
        <v/>
      </c>
      <c r="R117" s="8">
        <f>R41*Assumptions!$B$239*R83*(1+Assumptions!$B$175)</f>
        <v/>
      </c>
      <c r="S117" s="8">
        <f>S41*Assumptions!$B$239*S83*(1+Assumptions!$B$175)</f>
        <v/>
      </c>
      <c r="T117" s="8">
        <f>T41*Assumptions!$B$239*T83*(1+Assumptions!$B$175)</f>
        <v/>
      </c>
      <c r="U117" s="8">
        <f>U41*Assumptions!$B$239*U83*(1+Assumptions!$B$175)</f>
        <v/>
      </c>
      <c r="V117" s="8">
        <f>V41*Assumptions!$B$239*V83*(1+Assumptions!$B$175)</f>
        <v/>
      </c>
      <c r="W117" s="8">
        <f>W41*Assumptions!$B$239*W83*(1+Assumptions!$B$175)</f>
        <v/>
      </c>
      <c r="X117" s="8">
        <f>X41*Assumptions!$B$239*X83*(1+Assumptions!$B$175)</f>
        <v/>
      </c>
      <c r="Y117" s="8">
        <f>Y41*Assumptions!$B$239*Y83*(1+Assumptions!$B$175)</f>
        <v/>
      </c>
      <c r="Z117" s="8">
        <f>Z41*Assumptions!$B$239*Z83*(1+Assumptions!$B$175)</f>
        <v/>
      </c>
      <c r="AA117" s="8">
        <f>AA41*Assumptions!$B$239*AA83*(1+Assumptions!$B$175)</f>
        <v/>
      </c>
      <c r="AB117" s="8">
        <f>AB41*Assumptions!$B$239*AB83*(1+Assumptions!$B$175)</f>
        <v/>
      </c>
      <c r="AC117" s="8">
        <f>AC41*Assumptions!$B$239*AC83*(1+Assumptions!$B$175)</f>
        <v/>
      </c>
      <c r="AD117" s="8">
        <f>AD41*Assumptions!$B$239*AD83*(1+Assumptions!$B$175)</f>
        <v/>
      </c>
      <c r="AE117" s="8">
        <f>AE41*Assumptions!$B$239*AE83*(1+Assumptions!$B$175)</f>
        <v/>
      </c>
      <c r="AF117" s="8">
        <f>AF41*Assumptions!$B$239*AF83*(1+Assumptions!$B$175)</f>
        <v/>
      </c>
      <c r="AG117" s="8">
        <f>AG41*Assumptions!$B$239*AG83*(1+Assumptions!$B$175)</f>
        <v/>
      </c>
      <c r="AH117" s="8">
        <f>AH41*Assumptions!$B$239*AH83*(1+Assumptions!$B$175)</f>
        <v/>
      </c>
      <c r="AI117" s="8">
        <f>AI41*Assumptions!$B$239*AI83*(1+Assumptions!$B$175)</f>
        <v/>
      </c>
      <c r="AJ117" s="8">
        <f>AJ41*Assumptions!$B$239*AJ83*(1+Assumptions!$B$175)</f>
        <v/>
      </c>
      <c r="AK117" s="8">
        <f>AK41*Assumptions!$B$239*AK83*(1+Assumptions!$B$175)</f>
        <v/>
      </c>
      <c r="AL117" s="8">
        <f>AL41*Assumptions!$B$239*AL83*(1+Assumptions!$B$175)</f>
        <v/>
      </c>
      <c r="AM117" s="8">
        <f>AM41*Assumptions!$B$239*AM83*(1+Assumptions!$B$175)</f>
        <v/>
      </c>
      <c r="AN117" s="8">
        <f>AN41*Assumptions!$B$239*AN83*(1+Assumptions!$B$175)</f>
        <v/>
      </c>
      <c r="AO117" s="8">
        <f>AO41*Assumptions!$B$239*AO83*(1+Assumptions!$B$175)</f>
        <v/>
      </c>
      <c r="AP117" s="8">
        <f>AP41*Assumptions!$B$239*AP83*(1+Assumptions!$B$175)</f>
        <v/>
      </c>
      <c r="AQ117" s="8">
        <f>AQ41*Assumptions!$B$239*AQ83*(1+Assumptions!$B$175)</f>
        <v/>
      </c>
      <c r="AR117" s="8">
        <f>AR41*Assumptions!$B$239*AR83*(1+Assumptions!$B$175)</f>
        <v/>
      </c>
      <c r="AS117" s="8">
        <f>AS41*Assumptions!$B$239*AS83*(1+Assumptions!$B$175)</f>
        <v/>
      </c>
      <c r="AT117" s="8">
        <f>AT41*Assumptions!$B$239*AT83*(1+Assumptions!$B$175)</f>
        <v/>
      </c>
      <c r="AU117" s="8">
        <f>AU41*Assumptions!$B$239*AU83*(1+Assumptions!$B$175)</f>
        <v/>
      </c>
      <c r="AV117" s="8">
        <f>AV41*Assumptions!$B$239*AV83*(1+Assumptions!$B$175)</f>
        <v/>
      </c>
      <c r="AW117" s="8">
        <f>AW41*Assumptions!$B$239*AW83*(1+Assumptions!$B$175)</f>
        <v/>
      </c>
      <c r="AX117" s="8">
        <f>AX41*Assumptions!$B$239*AX83*(1+Assumptions!$B$175)</f>
        <v/>
      </c>
      <c r="AY117" s="8">
        <f>AY41*Assumptions!$B$239*AY83*(1+Assumptions!$B$175)</f>
        <v/>
      </c>
      <c r="AZ117" s="8">
        <f>AZ41*Assumptions!$B$239*AZ83*(1+Assumptions!$B$175)</f>
        <v/>
      </c>
      <c r="BA117" s="8">
        <f>BA41*Assumptions!$B$239*BA83*(1+Assumptions!$B$175)</f>
        <v/>
      </c>
      <c r="BB117" s="8">
        <f>BB41*Assumptions!$B$239*BB83*(1+Assumptions!$B$175)</f>
        <v/>
      </c>
      <c r="BC117" s="8">
        <f>BC41*Assumptions!$B$239*BC83*(1+Assumptions!$B$175)</f>
        <v/>
      </c>
      <c r="BD117" s="8">
        <f>BD41*Assumptions!$B$239*BD83*(1+Assumptions!$B$175)</f>
        <v/>
      </c>
      <c r="BE117" s="8">
        <f>BE41*Assumptions!$B$239*BE83*(1+Assumptions!$B$175)</f>
        <v/>
      </c>
      <c r="BF117" s="8">
        <f>BF41*Assumptions!$B$239*BF83*(1+Assumptions!$B$175)</f>
        <v/>
      </c>
      <c r="BG117" s="8">
        <f>BG41*Assumptions!$B$239*BG83*(1+Assumptions!$B$175)</f>
        <v/>
      </c>
      <c r="BH117" s="8">
        <f>BH41*Assumptions!$B$239*BH83*(1+Assumptions!$B$175)</f>
        <v/>
      </c>
      <c r="BI117" s="8">
        <f>BI41*Assumptions!$B$239*BI83*(1+Assumptions!$B$175)</f>
        <v/>
      </c>
      <c r="BJ117" s="8">
        <f>BJ41*Assumptions!$B$239*BJ83*(1+Assumptions!$B$175)</f>
        <v/>
      </c>
    </row>
    <row r="118">
      <c r="A118" s="4" t="inlineStr">
        <is>
          <t>SME account managers II</t>
        </is>
      </c>
      <c r="B118" s="17" t="inlineStr">
        <is>
          <t>R</t>
        </is>
      </c>
      <c r="C118" s="8">
        <f>C42*Assumptions!$B$240*C83*(1+Assumptions!$B$175)</f>
        <v/>
      </c>
      <c r="D118" s="8">
        <f>D42*Assumptions!$B$240*D83*(1+Assumptions!$B$175)</f>
        <v/>
      </c>
      <c r="E118" s="8">
        <f>E42*Assumptions!$B$240*E83*(1+Assumptions!$B$175)</f>
        <v/>
      </c>
      <c r="F118" s="8">
        <f>F42*Assumptions!$B$240*F83*(1+Assumptions!$B$175)</f>
        <v/>
      </c>
      <c r="G118" s="8">
        <f>G42*Assumptions!$B$240*G83*(1+Assumptions!$B$175)</f>
        <v/>
      </c>
      <c r="H118" s="8">
        <f>H42*Assumptions!$B$240*H83*(1+Assumptions!$B$175)</f>
        <v/>
      </c>
      <c r="I118" s="8">
        <f>I42*Assumptions!$B$240*I83*(1+Assumptions!$B$175)</f>
        <v/>
      </c>
      <c r="J118" s="8">
        <f>J42*Assumptions!$B$240*J83*(1+Assumptions!$B$175)</f>
        <v/>
      </c>
      <c r="K118" s="8">
        <f>K42*Assumptions!$B$240*K83*(1+Assumptions!$B$175)</f>
        <v/>
      </c>
      <c r="L118" s="8">
        <f>L42*Assumptions!$B$240*L83*(1+Assumptions!$B$175)</f>
        <v/>
      </c>
      <c r="M118" s="8">
        <f>M42*Assumptions!$B$240*M83*(1+Assumptions!$B$175)</f>
        <v/>
      </c>
      <c r="N118" s="8">
        <f>N42*Assumptions!$B$240*N83*(1+Assumptions!$B$175)</f>
        <v/>
      </c>
      <c r="O118" s="8">
        <f>O42*Assumptions!$B$240*O83*(1+Assumptions!$B$175)</f>
        <v/>
      </c>
      <c r="P118" s="8">
        <f>P42*Assumptions!$B$240*P83*(1+Assumptions!$B$175)</f>
        <v/>
      </c>
      <c r="Q118" s="8">
        <f>Q42*Assumptions!$B$240*Q83*(1+Assumptions!$B$175)</f>
        <v/>
      </c>
      <c r="R118" s="8">
        <f>R42*Assumptions!$B$240*R83*(1+Assumptions!$B$175)</f>
        <v/>
      </c>
      <c r="S118" s="8">
        <f>S42*Assumptions!$B$240*S83*(1+Assumptions!$B$175)</f>
        <v/>
      </c>
      <c r="T118" s="8">
        <f>T42*Assumptions!$B$240*T83*(1+Assumptions!$B$175)</f>
        <v/>
      </c>
      <c r="U118" s="8">
        <f>U42*Assumptions!$B$240*U83*(1+Assumptions!$B$175)</f>
        <v/>
      </c>
      <c r="V118" s="8">
        <f>V42*Assumptions!$B$240*V83*(1+Assumptions!$B$175)</f>
        <v/>
      </c>
      <c r="W118" s="8">
        <f>W42*Assumptions!$B$240*W83*(1+Assumptions!$B$175)</f>
        <v/>
      </c>
      <c r="X118" s="8">
        <f>X42*Assumptions!$B$240*X83*(1+Assumptions!$B$175)</f>
        <v/>
      </c>
      <c r="Y118" s="8">
        <f>Y42*Assumptions!$B$240*Y83*(1+Assumptions!$B$175)</f>
        <v/>
      </c>
      <c r="Z118" s="8">
        <f>Z42*Assumptions!$B$240*Z83*(1+Assumptions!$B$175)</f>
        <v/>
      </c>
      <c r="AA118" s="8">
        <f>AA42*Assumptions!$B$240*AA83*(1+Assumptions!$B$175)</f>
        <v/>
      </c>
      <c r="AB118" s="8">
        <f>AB42*Assumptions!$B$240*AB83*(1+Assumptions!$B$175)</f>
        <v/>
      </c>
      <c r="AC118" s="8">
        <f>AC42*Assumptions!$B$240*AC83*(1+Assumptions!$B$175)</f>
        <v/>
      </c>
      <c r="AD118" s="8">
        <f>AD42*Assumptions!$B$240*AD83*(1+Assumptions!$B$175)</f>
        <v/>
      </c>
      <c r="AE118" s="8">
        <f>AE42*Assumptions!$B$240*AE83*(1+Assumptions!$B$175)</f>
        <v/>
      </c>
      <c r="AF118" s="8">
        <f>AF42*Assumptions!$B$240*AF83*(1+Assumptions!$B$175)</f>
        <v/>
      </c>
      <c r="AG118" s="8">
        <f>AG42*Assumptions!$B$240*AG83*(1+Assumptions!$B$175)</f>
        <v/>
      </c>
      <c r="AH118" s="8">
        <f>AH42*Assumptions!$B$240*AH83*(1+Assumptions!$B$175)</f>
        <v/>
      </c>
      <c r="AI118" s="8">
        <f>AI42*Assumptions!$B$240*AI83*(1+Assumptions!$B$175)</f>
        <v/>
      </c>
      <c r="AJ118" s="8">
        <f>AJ42*Assumptions!$B$240*AJ83*(1+Assumptions!$B$175)</f>
        <v/>
      </c>
      <c r="AK118" s="8">
        <f>AK42*Assumptions!$B$240*AK83*(1+Assumptions!$B$175)</f>
        <v/>
      </c>
      <c r="AL118" s="8">
        <f>AL42*Assumptions!$B$240*AL83*(1+Assumptions!$B$175)</f>
        <v/>
      </c>
      <c r="AM118" s="8">
        <f>AM42*Assumptions!$B$240*AM83*(1+Assumptions!$B$175)</f>
        <v/>
      </c>
      <c r="AN118" s="8">
        <f>AN42*Assumptions!$B$240*AN83*(1+Assumptions!$B$175)</f>
        <v/>
      </c>
      <c r="AO118" s="8">
        <f>AO42*Assumptions!$B$240*AO83*(1+Assumptions!$B$175)</f>
        <v/>
      </c>
      <c r="AP118" s="8">
        <f>AP42*Assumptions!$B$240*AP83*(1+Assumptions!$B$175)</f>
        <v/>
      </c>
      <c r="AQ118" s="8">
        <f>AQ42*Assumptions!$B$240*AQ83*(1+Assumptions!$B$175)</f>
        <v/>
      </c>
      <c r="AR118" s="8">
        <f>AR42*Assumptions!$B$240*AR83*(1+Assumptions!$B$175)</f>
        <v/>
      </c>
      <c r="AS118" s="8">
        <f>AS42*Assumptions!$B$240*AS83*(1+Assumptions!$B$175)</f>
        <v/>
      </c>
      <c r="AT118" s="8">
        <f>AT42*Assumptions!$B$240*AT83*(1+Assumptions!$B$175)</f>
        <v/>
      </c>
      <c r="AU118" s="8">
        <f>AU42*Assumptions!$B$240*AU83*(1+Assumptions!$B$175)</f>
        <v/>
      </c>
      <c r="AV118" s="8">
        <f>AV42*Assumptions!$B$240*AV83*(1+Assumptions!$B$175)</f>
        <v/>
      </c>
      <c r="AW118" s="8">
        <f>AW42*Assumptions!$B$240*AW83*(1+Assumptions!$B$175)</f>
        <v/>
      </c>
      <c r="AX118" s="8">
        <f>AX42*Assumptions!$B$240*AX83*(1+Assumptions!$B$175)</f>
        <v/>
      </c>
      <c r="AY118" s="8">
        <f>AY42*Assumptions!$B$240*AY83*(1+Assumptions!$B$175)</f>
        <v/>
      </c>
      <c r="AZ118" s="8">
        <f>AZ42*Assumptions!$B$240*AZ83*(1+Assumptions!$B$175)</f>
        <v/>
      </c>
      <c r="BA118" s="8">
        <f>BA42*Assumptions!$B$240*BA83*(1+Assumptions!$B$175)</f>
        <v/>
      </c>
      <c r="BB118" s="8">
        <f>BB42*Assumptions!$B$240*BB83*(1+Assumptions!$B$175)</f>
        <v/>
      </c>
      <c r="BC118" s="8">
        <f>BC42*Assumptions!$B$240*BC83*(1+Assumptions!$B$175)</f>
        <v/>
      </c>
      <c r="BD118" s="8">
        <f>BD42*Assumptions!$B$240*BD83*(1+Assumptions!$B$175)</f>
        <v/>
      </c>
      <c r="BE118" s="8">
        <f>BE42*Assumptions!$B$240*BE83*(1+Assumptions!$B$175)</f>
        <v/>
      </c>
      <c r="BF118" s="8">
        <f>BF42*Assumptions!$B$240*BF83*(1+Assumptions!$B$175)</f>
        <v/>
      </c>
      <c r="BG118" s="8">
        <f>BG42*Assumptions!$B$240*BG83*(1+Assumptions!$B$175)</f>
        <v/>
      </c>
      <c r="BH118" s="8">
        <f>BH42*Assumptions!$B$240*BH83*(1+Assumptions!$B$175)</f>
        <v/>
      </c>
      <c r="BI118" s="8">
        <f>BI42*Assumptions!$B$240*BI83*(1+Assumptions!$B$175)</f>
        <v/>
      </c>
      <c r="BJ118" s="8">
        <f>BJ42*Assumptions!$B$240*BJ83*(1+Assumptions!$B$175)</f>
        <v/>
      </c>
    </row>
    <row r="119">
      <c r="A119" s="4" t="inlineStr">
        <is>
          <t>Customer success lead</t>
        </is>
      </c>
      <c r="B119" s="17" t="inlineStr">
        <is>
          <t>R</t>
        </is>
      </c>
      <c r="C119" s="8">
        <f>C43*Assumptions!$B$241*C83*(1+Assumptions!$B$175)</f>
        <v/>
      </c>
      <c r="D119" s="8">
        <f>D43*Assumptions!$B$241*D83*(1+Assumptions!$B$175)</f>
        <v/>
      </c>
      <c r="E119" s="8">
        <f>E43*Assumptions!$B$241*E83*(1+Assumptions!$B$175)</f>
        <v/>
      </c>
      <c r="F119" s="8">
        <f>F43*Assumptions!$B$241*F83*(1+Assumptions!$B$175)</f>
        <v/>
      </c>
      <c r="G119" s="8">
        <f>G43*Assumptions!$B$241*G83*(1+Assumptions!$B$175)</f>
        <v/>
      </c>
      <c r="H119" s="8">
        <f>H43*Assumptions!$B$241*H83*(1+Assumptions!$B$175)</f>
        <v/>
      </c>
      <c r="I119" s="8">
        <f>I43*Assumptions!$B$241*I83*(1+Assumptions!$B$175)</f>
        <v/>
      </c>
      <c r="J119" s="8">
        <f>J43*Assumptions!$B$241*J83*(1+Assumptions!$B$175)</f>
        <v/>
      </c>
      <c r="K119" s="8">
        <f>K43*Assumptions!$B$241*K83*(1+Assumptions!$B$175)</f>
        <v/>
      </c>
      <c r="L119" s="8">
        <f>L43*Assumptions!$B$241*L83*(1+Assumptions!$B$175)</f>
        <v/>
      </c>
      <c r="M119" s="8">
        <f>M43*Assumptions!$B$241*M83*(1+Assumptions!$B$175)</f>
        <v/>
      </c>
      <c r="N119" s="8">
        <f>N43*Assumptions!$B$241*N83*(1+Assumptions!$B$175)</f>
        <v/>
      </c>
      <c r="O119" s="8">
        <f>O43*Assumptions!$B$241*O83*(1+Assumptions!$B$175)</f>
        <v/>
      </c>
      <c r="P119" s="8">
        <f>P43*Assumptions!$B$241*P83*(1+Assumptions!$B$175)</f>
        <v/>
      </c>
      <c r="Q119" s="8">
        <f>Q43*Assumptions!$B$241*Q83*(1+Assumptions!$B$175)</f>
        <v/>
      </c>
      <c r="R119" s="8">
        <f>R43*Assumptions!$B$241*R83*(1+Assumptions!$B$175)</f>
        <v/>
      </c>
      <c r="S119" s="8">
        <f>S43*Assumptions!$B$241*S83*(1+Assumptions!$B$175)</f>
        <v/>
      </c>
      <c r="T119" s="8">
        <f>T43*Assumptions!$B$241*T83*(1+Assumptions!$B$175)</f>
        <v/>
      </c>
      <c r="U119" s="8">
        <f>U43*Assumptions!$B$241*U83*(1+Assumptions!$B$175)</f>
        <v/>
      </c>
      <c r="V119" s="8">
        <f>V43*Assumptions!$B$241*V83*(1+Assumptions!$B$175)</f>
        <v/>
      </c>
      <c r="W119" s="8">
        <f>W43*Assumptions!$B$241*W83*(1+Assumptions!$B$175)</f>
        <v/>
      </c>
      <c r="X119" s="8">
        <f>X43*Assumptions!$B$241*X83*(1+Assumptions!$B$175)</f>
        <v/>
      </c>
      <c r="Y119" s="8">
        <f>Y43*Assumptions!$B$241*Y83*(1+Assumptions!$B$175)</f>
        <v/>
      </c>
      <c r="Z119" s="8">
        <f>Z43*Assumptions!$B$241*Z83*(1+Assumptions!$B$175)</f>
        <v/>
      </c>
      <c r="AA119" s="8">
        <f>AA43*Assumptions!$B$241*AA83*(1+Assumptions!$B$175)</f>
        <v/>
      </c>
      <c r="AB119" s="8">
        <f>AB43*Assumptions!$B$241*AB83*(1+Assumptions!$B$175)</f>
        <v/>
      </c>
      <c r="AC119" s="8">
        <f>AC43*Assumptions!$B$241*AC83*(1+Assumptions!$B$175)</f>
        <v/>
      </c>
      <c r="AD119" s="8">
        <f>AD43*Assumptions!$B$241*AD83*(1+Assumptions!$B$175)</f>
        <v/>
      </c>
      <c r="AE119" s="8">
        <f>AE43*Assumptions!$B$241*AE83*(1+Assumptions!$B$175)</f>
        <v/>
      </c>
      <c r="AF119" s="8">
        <f>AF43*Assumptions!$B$241*AF83*(1+Assumptions!$B$175)</f>
        <v/>
      </c>
      <c r="AG119" s="8">
        <f>AG43*Assumptions!$B$241*AG83*(1+Assumptions!$B$175)</f>
        <v/>
      </c>
      <c r="AH119" s="8">
        <f>AH43*Assumptions!$B$241*AH83*(1+Assumptions!$B$175)</f>
        <v/>
      </c>
      <c r="AI119" s="8">
        <f>AI43*Assumptions!$B$241*AI83*(1+Assumptions!$B$175)</f>
        <v/>
      </c>
      <c r="AJ119" s="8">
        <f>AJ43*Assumptions!$B$241*AJ83*(1+Assumptions!$B$175)</f>
        <v/>
      </c>
      <c r="AK119" s="8">
        <f>AK43*Assumptions!$B$241*AK83*(1+Assumptions!$B$175)</f>
        <v/>
      </c>
      <c r="AL119" s="8">
        <f>AL43*Assumptions!$B$241*AL83*(1+Assumptions!$B$175)</f>
        <v/>
      </c>
      <c r="AM119" s="8">
        <f>AM43*Assumptions!$B$241*AM83*(1+Assumptions!$B$175)</f>
        <v/>
      </c>
      <c r="AN119" s="8">
        <f>AN43*Assumptions!$B$241*AN83*(1+Assumptions!$B$175)</f>
        <v/>
      </c>
      <c r="AO119" s="8">
        <f>AO43*Assumptions!$B$241*AO83*(1+Assumptions!$B$175)</f>
        <v/>
      </c>
      <c r="AP119" s="8">
        <f>AP43*Assumptions!$B$241*AP83*(1+Assumptions!$B$175)</f>
        <v/>
      </c>
      <c r="AQ119" s="8">
        <f>AQ43*Assumptions!$B$241*AQ83*(1+Assumptions!$B$175)</f>
        <v/>
      </c>
      <c r="AR119" s="8">
        <f>AR43*Assumptions!$B$241*AR83*(1+Assumptions!$B$175)</f>
        <v/>
      </c>
      <c r="AS119" s="8">
        <f>AS43*Assumptions!$B$241*AS83*(1+Assumptions!$B$175)</f>
        <v/>
      </c>
      <c r="AT119" s="8">
        <f>AT43*Assumptions!$B$241*AT83*(1+Assumptions!$B$175)</f>
        <v/>
      </c>
      <c r="AU119" s="8">
        <f>AU43*Assumptions!$B$241*AU83*(1+Assumptions!$B$175)</f>
        <v/>
      </c>
      <c r="AV119" s="8">
        <f>AV43*Assumptions!$B$241*AV83*(1+Assumptions!$B$175)</f>
        <v/>
      </c>
      <c r="AW119" s="8">
        <f>AW43*Assumptions!$B$241*AW83*(1+Assumptions!$B$175)</f>
        <v/>
      </c>
      <c r="AX119" s="8">
        <f>AX43*Assumptions!$B$241*AX83*(1+Assumptions!$B$175)</f>
        <v/>
      </c>
      <c r="AY119" s="8">
        <f>AY43*Assumptions!$B$241*AY83*(1+Assumptions!$B$175)</f>
        <v/>
      </c>
      <c r="AZ119" s="8">
        <f>AZ43*Assumptions!$B$241*AZ83*(1+Assumptions!$B$175)</f>
        <v/>
      </c>
      <c r="BA119" s="8">
        <f>BA43*Assumptions!$B$241*BA83*(1+Assumptions!$B$175)</f>
        <v/>
      </c>
      <c r="BB119" s="8">
        <f>BB43*Assumptions!$B$241*BB83*(1+Assumptions!$B$175)</f>
        <v/>
      </c>
      <c r="BC119" s="8">
        <f>BC43*Assumptions!$B$241*BC83*(1+Assumptions!$B$175)</f>
        <v/>
      </c>
      <c r="BD119" s="8">
        <f>BD43*Assumptions!$B$241*BD83*(1+Assumptions!$B$175)</f>
        <v/>
      </c>
      <c r="BE119" s="8">
        <f>BE43*Assumptions!$B$241*BE83*(1+Assumptions!$B$175)</f>
        <v/>
      </c>
      <c r="BF119" s="8">
        <f>BF43*Assumptions!$B$241*BF83*(1+Assumptions!$B$175)</f>
        <v/>
      </c>
      <c r="BG119" s="8">
        <f>BG43*Assumptions!$B$241*BG83*(1+Assumptions!$B$175)</f>
        <v/>
      </c>
      <c r="BH119" s="8">
        <f>BH43*Assumptions!$B$241*BH83*(1+Assumptions!$B$175)</f>
        <v/>
      </c>
      <c r="BI119" s="8">
        <f>BI43*Assumptions!$B$241*BI83*(1+Assumptions!$B$175)</f>
        <v/>
      </c>
      <c r="BJ119" s="8">
        <f>BJ43*Assumptions!$B$241*BJ83*(1+Assumptions!$B$175)</f>
        <v/>
      </c>
    </row>
    <row r="120">
      <c r="A120" s="4" t="inlineStr">
        <is>
          <t>CS &amp; onboarding agents</t>
        </is>
      </c>
      <c r="B120" s="17" t="inlineStr">
        <is>
          <t>R</t>
        </is>
      </c>
      <c r="C120" s="8">
        <f>C44*Assumptions!$B$242*C83*(1+Assumptions!$B$175)</f>
        <v/>
      </c>
      <c r="D120" s="8">
        <f>D44*Assumptions!$B$242*D83*(1+Assumptions!$B$175)</f>
        <v/>
      </c>
      <c r="E120" s="8">
        <f>E44*Assumptions!$B$242*E83*(1+Assumptions!$B$175)</f>
        <v/>
      </c>
      <c r="F120" s="8">
        <f>F44*Assumptions!$B$242*F83*(1+Assumptions!$B$175)</f>
        <v/>
      </c>
      <c r="G120" s="8">
        <f>G44*Assumptions!$B$242*G83*(1+Assumptions!$B$175)</f>
        <v/>
      </c>
      <c r="H120" s="8">
        <f>H44*Assumptions!$B$242*H83*(1+Assumptions!$B$175)</f>
        <v/>
      </c>
      <c r="I120" s="8">
        <f>I44*Assumptions!$B$242*I83*(1+Assumptions!$B$175)</f>
        <v/>
      </c>
      <c r="J120" s="8">
        <f>J44*Assumptions!$B$242*J83*(1+Assumptions!$B$175)</f>
        <v/>
      </c>
      <c r="K120" s="8">
        <f>K44*Assumptions!$B$242*K83*(1+Assumptions!$B$175)</f>
        <v/>
      </c>
      <c r="L120" s="8">
        <f>L44*Assumptions!$B$242*L83*(1+Assumptions!$B$175)</f>
        <v/>
      </c>
      <c r="M120" s="8">
        <f>M44*Assumptions!$B$242*M83*(1+Assumptions!$B$175)</f>
        <v/>
      </c>
      <c r="N120" s="8">
        <f>N44*Assumptions!$B$242*N83*(1+Assumptions!$B$175)</f>
        <v/>
      </c>
      <c r="O120" s="8">
        <f>O44*Assumptions!$B$242*O83*(1+Assumptions!$B$175)</f>
        <v/>
      </c>
      <c r="P120" s="8">
        <f>P44*Assumptions!$B$242*P83*(1+Assumptions!$B$175)</f>
        <v/>
      </c>
      <c r="Q120" s="8">
        <f>Q44*Assumptions!$B$242*Q83*(1+Assumptions!$B$175)</f>
        <v/>
      </c>
      <c r="R120" s="8">
        <f>R44*Assumptions!$B$242*R83*(1+Assumptions!$B$175)</f>
        <v/>
      </c>
      <c r="S120" s="8">
        <f>S44*Assumptions!$B$242*S83*(1+Assumptions!$B$175)</f>
        <v/>
      </c>
      <c r="T120" s="8">
        <f>T44*Assumptions!$B$242*T83*(1+Assumptions!$B$175)</f>
        <v/>
      </c>
      <c r="U120" s="8">
        <f>U44*Assumptions!$B$242*U83*(1+Assumptions!$B$175)</f>
        <v/>
      </c>
      <c r="V120" s="8">
        <f>V44*Assumptions!$B$242*V83*(1+Assumptions!$B$175)</f>
        <v/>
      </c>
      <c r="W120" s="8">
        <f>W44*Assumptions!$B$242*W83*(1+Assumptions!$B$175)</f>
        <v/>
      </c>
      <c r="X120" s="8">
        <f>X44*Assumptions!$B$242*X83*(1+Assumptions!$B$175)</f>
        <v/>
      </c>
      <c r="Y120" s="8">
        <f>Y44*Assumptions!$B$242*Y83*(1+Assumptions!$B$175)</f>
        <v/>
      </c>
      <c r="Z120" s="8">
        <f>Z44*Assumptions!$B$242*Z83*(1+Assumptions!$B$175)</f>
        <v/>
      </c>
      <c r="AA120" s="8">
        <f>AA44*Assumptions!$B$242*AA83*(1+Assumptions!$B$175)</f>
        <v/>
      </c>
      <c r="AB120" s="8">
        <f>AB44*Assumptions!$B$242*AB83*(1+Assumptions!$B$175)</f>
        <v/>
      </c>
      <c r="AC120" s="8">
        <f>AC44*Assumptions!$B$242*AC83*(1+Assumptions!$B$175)</f>
        <v/>
      </c>
      <c r="AD120" s="8">
        <f>AD44*Assumptions!$B$242*AD83*(1+Assumptions!$B$175)</f>
        <v/>
      </c>
      <c r="AE120" s="8">
        <f>AE44*Assumptions!$B$242*AE83*(1+Assumptions!$B$175)</f>
        <v/>
      </c>
      <c r="AF120" s="8">
        <f>AF44*Assumptions!$B$242*AF83*(1+Assumptions!$B$175)</f>
        <v/>
      </c>
      <c r="AG120" s="8">
        <f>AG44*Assumptions!$B$242*AG83*(1+Assumptions!$B$175)</f>
        <v/>
      </c>
      <c r="AH120" s="8">
        <f>AH44*Assumptions!$B$242*AH83*(1+Assumptions!$B$175)</f>
        <v/>
      </c>
      <c r="AI120" s="8">
        <f>AI44*Assumptions!$B$242*AI83*(1+Assumptions!$B$175)</f>
        <v/>
      </c>
      <c r="AJ120" s="8">
        <f>AJ44*Assumptions!$B$242*AJ83*(1+Assumptions!$B$175)</f>
        <v/>
      </c>
      <c r="AK120" s="8">
        <f>AK44*Assumptions!$B$242*AK83*(1+Assumptions!$B$175)</f>
        <v/>
      </c>
      <c r="AL120" s="8">
        <f>AL44*Assumptions!$B$242*AL83*(1+Assumptions!$B$175)</f>
        <v/>
      </c>
      <c r="AM120" s="8">
        <f>AM44*Assumptions!$B$242*AM83*(1+Assumptions!$B$175)</f>
        <v/>
      </c>
      <c r="AN120" s="8">
        <f>AN44*Assumptions!$B$242*AN83*(1+Assumptions!$B$175)</f>
        <v/>
      </c>
      <c r="AO120" s="8">
        <f>AO44*Assumptions!$B$242*AO83*(1+Assumptions!$B$175)</f>
        <v/>
      </c>
      <c r="AP120" s="8">
        <f>AP44*Assumptions!$B$242*AP83*(1+Assumptions!$B$175)</f>
        <v/>
      </c>
      <c r="AQ120" s="8">
        <f>AQ44*Assumptions!$B$242*AQ83*(1+Assumptions!$B$175)</f>
        <v/>
      </c>
      <c r="AR120" s="8">
        <f>AR44*Assumptions!$B$242*AR83*(1+Assumptions!$B$175)</f>
        <v/>
      </c>
      <c r="AS120" s="8">
        <f>AS44*Assumptions!$B$242*AS83*(1+Assumptions!$B$175)</f>
        <v/>
      </c>
      <c r="AT120" s="8">
        <f>AT44*Assumptions!$B$242*AT83*(1+Assumptions!$B$175)</f>
        <v/>
      </c>
      <c r="AU120" s="8">
        <f>AU44*Assumptions!$B$242*AU83*(1+Assumptions!$B$175)</f>
        <v/>
      </c>
      <c r="AV120" s="8">
        <f>AV44*Assumptions!$B$242*AV83*(1+Assumptions!$B$175)</f>
        <v/>
      </c>
      <c r="AW120" s="8">
        <f>AW44*Assumptions!$B$242*AW83*(1+Assumptions!$B$175)</f>
        <v/>
      </c>
      <c r="AX120" s="8">
        <f>AX44*Assumptions!$B$242*AX83*(1+Assumptions!$B$175)</f>
        <v/>
      </c>
      <c r="AY120" s="8">
        <f>AY44*Assumptions!$B$242*AY83*(1+Assumptions!$B$175)</f>
        <v/>
      </c>
      <c r="AZ120" s="8">
        <f>AZ44*Assumptions!$B$242*AZ83*(1+Assumptions!$B$175)</f>
        <v/>
      </c>
      <c r="BA120" s="8">
        <f>BA44*Assumptions!$B$242*BA83*(1+Assumptions!$B$175)</f>
        <v/>
      </c>
      <c r="BB120" s="8">
        <f>BB44*Assumptions!$B$242*BB83*(1+Assumptions!$B$175)</f>
        <v/>
      </c>
      <c r="BC120" s="8">
        <f>BC44*Assumptions!$B$242*BC83*(1+Assumptions!$B$175)</f>
        <v/>
      </c>
      <c r="BD120" s="8">
        <f>BD44*Assumptions!$B$242*BD83*(1+Assumptions!$B$175)</f>
        <v/>
      </c>
      <c r="BE120" s="8">
        <f>BE44*Assumptions!$B$242*BE83*(1+Assumptions!$B$175)</f>
        <v/>
      </c>
      <c r="BF120" s="8">
        <f>BF44*Assumptions!$B$242*BF83*(1+Assumptions!$B$175)</f>
        <v/>
      </c>
      <c r="BG120" s="8">
        <f>BG44*Assumptions!$B$242*BG83*(1+Assumptions!$B$175)</f>
        <v/>
      </c>
      <c r="BH120" s="8">
        <f>BH44*Assumptions!$B$242*BH83*(1+Assumptions!$B$175)</f>
        <v/>
      </c>
      <c r="BI120" s="8">
        <f>BI44*Assumptions!$B$242*BI83*(1+Assumptions!$B$175)</f>
        <v/>
      </c>
      <c r="BJ120" s="8">
        <f>BJ44*Assumptions!$B$242*BJ83*(1+Assumptions!$B$175)</f>
        <v/>
      </c>
    </row>
    <row r="121">
      <c r="A121" s="4" t="inlineStr">
        <is>
          <t>CS agents II</t>
        </is>
      </c>
      <c r="B121" s="17" t="inlineStr">
        <is>
          <t>R</t>
        </is>
      </c>
      <c r="C121" s="8">
        <f>C45*Assumptions!$B$243*C83*(1+Assumptions!$B$175)</f>
        <v/>
      </c>
      <c r="D121" s="8">
        <f>D45*Assumptions!$B$243*D83*(1+Assumptions!$B$175)</f>
        <v/>
      </c>
      <c r="E121" s="8">
        <f>E45*Assumptions!$B$243*E83*(1+Assumptions!$B$175)</f>
        <v/>
      </c>
      <c r="F121" s="8">
        <f>F45*Assumptions!$B$243*F83*(1+Assumptions!$B$175)</f>
        <v/>
      </c>
      <c r="G121" s="8">
        <f>G45*Assumptions!$B$243*G83*(1+Assumptions!$B$175)</f>
        <v/>
      </c>
      <c r="H121" s="8">
        <f>H45*Assumptions!$B$243*H83*(1+Assumptions!$B$175)</f>
        <v/>
      </c>
      <c r="I121" s="8">
        <f>I45*Assumptions!$B$243*I83*(1+Assumptions!$B$175)</f>
        <v/>
      </c>
      <c r="J121" s="8">
        <f>J45*Assumptions!$B$243*J83*(1+Assumptions!$B$175)</f>
        <v/>
      </c>
      <c r="K121" s="8">
        <f>K45*Assumptions!$B$243*K83*(1+Assumptions!$B$175)</f>
        <v/>
      </c>
      <c r="L121" s="8">
        <f>L45*Assumptions!$B$243*L83*(1+Assumptions!$B$175)</f>
        <v/>
      </c>
      <c r="M121" s="8">
        <f>M45*Assumptions!$B$243*M83*(1+Assumptions!$B$175)</f>
        <v/>
      </c>
      <c r="N121" s="8">
        <f>N45*Assumptions!$B$243*N83*(1+Assumptions!$B$175)</f>
        <v/>
      </c>
      <c r="O121" s="8">
        <f>O45*Assumptions!$B$243*O83*(1+Assumptions!$B$175)</f>
        <v/>
      </c>
      <c r="P121" s="8">
        <f>P45*Assumptions!$B$243*P83*(1+Assumptions!$B$175)</f>
        <v/>
      </c>
      <c r="Q121" s="8">
        <f>Q45*Assumptions!$B$243*Q83*(1+Assumptions!$B$175)</f>
        <v/>
      </c>
      <c r="R121" s="8">
        <f>R45*Assumptions!$B$243*R83*(1+Assumptions!$B$175)</f>
        <v/>
      </c>
      <c r="S121" s="8">
        <f>S45*Assumptions!$B$243*S83*(1+Assumptions!$B$175)</f>
        <v/>
      </c>
      <c r="T121" s="8">
        <f>T45*Assumptions!$B$243*T83*(1+Assumptions!$B$175)</f>
        <v/>
      </c>
      <c r="U121" s="8">
        <f>U45*Assumptions!$B$243*U83*(1+Assumptions!$B$175)</f>
        <v/>
      </c>
      <c r="V121" s="8">
        <f>V45*Assumptions!$B$243*V83*(1+Assumptions!$B$175)</f>
        <v/>
      </c>
      <c r="W121" s="8">
        <f>W45*Assumptions!$B$243*W83*(1+Assumptions!$B$175)</f>
        <v/>
      </c>
      <c r="X121" s="8">
        <f>X45*Assumptions!$B$243*X83*(1+Assumptions!$B$175)</f>
        <v/>
      </c>
      <c r="Y121" s="8">
        <f>Y45*Assumptions!$B$243*Y83*(1+Assumptions!$B$175)</f>
        <v/>
      </c>
      <c r="Z121" s="8">
        <f>Z45*Assumptions!$B$243*Z83*(1+Assumptions!$B$175)</f>
        <v/>
      </c>
      <c r="AA121" s="8">
        <f>AA45*Assumptions!$B$243*AA83*(1+Assumptions!$B$175)</f>
        <v/>
      </c>
      <c r="AB121" s="8">
        <f>AB45*Assumptions!$B$243*AB83*(1+Assumptions!$B$175)</f>
        <v/>
      </c>
      <c r="AC121" s="8">
        <f>AC45*Assumptions!$B$243*AC83*(1+Assumptions!$B$175)</f>
        <v/>
      </c>
      <c r="AD121" s="8">
        <f>AD45*Assumptions!$B$243*AD83*(1+Assumptions!$B$175)</f>
        <v/>
      </c>
      <c r="AE121" s="8">
        <f>AE45*Assumptions!$B$243*AE83*(1+Assumptions!$B$175)</f>
        <v/>
      </c>
      <c r="AF121" s="8">
        <f>AF45*Assumptions!$B$243*AF83*(1+Assumptions!$B$175)</f>
        <v/>
      </c>
      <c r="AG121" s="8">
        <f>AG45*Assumptions!$B$243*AG83*(1+Assumptions!$B$175)</f>
        <v/>
      </c>
      <c r="AH121" s="8">
        <f>AH45*Assumptions!$B$243*AH83*(1+Assumptions!$B$175)</f>
        <v/>
      </c>
      <c r="AI121" s="8">
        <f>AI45*Assumptions!$B$243*AI83*(1+Assumptions!$B$175)</f>
        <v/>
      </c>
      <c r="AJ121" s="8">
        <f>AJ45*Assumptions!$B$243*AJ83*(1+Assumptions!$B$175)</f>
        <v/>
      </c>
      <c r="AK121" s="8">
        <f>AK45*Assumptions!$B$243*AK83*(1+Assumptions!$B$175)</f>
        <v/>
      </c>
      <c r="AL121" s="8">
        <f>AL45*Assumptions!$B$243*AL83*(1+Assumptions!$B$175)</f>
        <v/>
      </c>
      <c r="AM121" s="8">
        <f>AM45*Assumptions!$B$243*AM83*(1+Assumptions!$B$175)</f>
        <v/>
      </c>
      <c r="AN121" s="8">
        <f>AN45*Assumptions!$B$243*AN83*(1+Assumptions!$B$175)</f>
        <v/>
      </c>
      <c r="AO121" s="8">
        <f>AO45*Assumptions!$B$243*AO83*(1+Assumptions!$B$175)</f>
        <v/>
      </c>
      <c r="AP121" s="8">
        <f>AP45*Assumptions!$B$243*AP83*(1+Assumptions!$B$175)</f>
        <v/>
      </c>
      <c r="AQ121" s="8">
        <f>AQ45*Assumptions!$B$243*AQ83*(1+Assumptions!$B$175)</f>
        <v/>
      </c>
      <c r="AR121" s="8">
        <f>AR45*Assumptions!$B$243*AR83*(1+Assumptions!$B$175)</f>
        <v/>
      </c>
      <c r="AS121" s="8">
        <f>AS45*Assumptions!$B$243*AS83*(1+Assumptions!$B$175)</f>
        <v/>
      </c>
      <c r="AT121" s="8">
        <f>AT45*Assumptions!$B$243*AT83*(1+Assumptions!$B$175)</f>
        <v/>
      </c>
      <c r="AU121" s="8">
        <f>AU45*Assumptions!$B$243*AU83*(1+Assumptions!$B$175)</f>
        <v/>
      </c>
      <c r="AV121" s="8">
        <f>AV45*Assumptions!$B$243*AV83*(1+Assumptions!$B$175)</f>
        <v/>
      </c>
      <c r="AW121" s="8">
        <f>AW45*Assumptions!$B$243*AW83*(1+Assumptions!$B$175)</f>
        <v/>
      </c>
      <c r="AX121" s="8">
        <f>AX45*Assumptions!$B$243*AX83*(1+Assumptions!$B$175)</f>
        <v/>
      </c>
      <c r="AY121" s="8">
        <f>AY45*Assumptions!$B$243*AY83*(1+Assumptions!$B$175)</f>
        <v/>
      </c>
      <c r="AZ121" s="8">
        <f>AZ45*Assumptions!$B$243*AZ83*(1+Assumptions!$B$175)</f>
        <v/>
      </c>
      <c r="BA121" s="8">
        <f>BA45*Assumptions!$B$243*BA83*(1+Assumptions!$B$175)</f>
        <v/>
      </c>
      <c r="BB121" s="8">
        <f>BB45*Assumptions!$B$243*BB83*(1+Assumptions!$B$175)</f>
        <v/>
      </c>
      <c r="BC121" s="8">
        <f>BC45*Assumptions!$B$243*BC83*(1+Assumptions!$B$175)</f>
        <v/>
      </c>
      <c r="BD121" s="8">
        <f>BD45*Assumptions!$B$243*BD83*(1+Assumptions!$B$175)</f>
        <v/>
      </c>
      <c r="BE121" s="8">
        <f>BE45*Assumptions!$B$243*BE83*(1+Assumptions!$B$175)</f>
        <v/>
      </c>
      <c r="BF121" s="8">
        <f>BF45*Assumptions!$B$243*BF83*(1+Assumptions!$B$175)</f>
        <v/>
      </c>
      <c r="BG121" s="8">
        <f>BG45*Assumptions!$B$243*BG83*(1+Assumptions!$B$175)</f>
        <v/>
      </c>
      <c r="BH121" s="8">
        <f>BH45*Assumptions!$B$243*BH83*(1+Assumptions!$B$175)</f>
        <v/>
      </c>
      <c r="BI121" s="8">
        <f>BI45*Assumptions!$B$243*BI83*(1+Assumptions!$B$175)</f>
        <v/>
      </c>
      <c r="BJ121" s="8">
        <f>BJ45*Assumptions!$B$243*BJ83*(1+Assumptions!$B$175)</f>
        <v/>
      </c>
    </row>
    <row r="122">
      <c r="A122" s="4" t="inlineStr">
        <is>
          <t>CS agents III</t>
        </is>
      </c>
      <c r="B122" s="17" t="inlineStr">
        <is>
          <t>R</t>
        </is>
      </c>
      <c r="C122" s="8">
        <f>C46*Assumptions!$B$244*C83*(1+Assumptions!$B$175)</f>
        <v/>
      </c>
      <c r="D122" s="8">
        <f>D46*Assumptions!$B$244*D83*(1+Assumptions!$B$175)</f>
        <v/>
      </c>
      <c r="E122" s="8">
        <f>E46*Assumptions!$B$244*E83*(1+Assumptions!$B$175)</f>
        <v/>
      </c>
      <c r="F122" s="8">
        <f>F46*Assumptions!$B$244*F83*(1+Assumptions!$B$175)</f>
        <v/>
      </c>
      <c r="G122" s="8">
        <f>G46*Assumptions!$B$244*G83*(1+Assumptions!$B$175)</f>
        <v/>
      </c>
      <c r="H122" s="8">
        <f>H46*Assumptions!$B$244*H83*(1+Assumptions!$B$175)</f>
        <v/>
      </c>
      <c r="I122" s="8">
        <f>I46*Assumptions!$B$244*I83*(1+Assumptions!$B$175)</f>
        <v/>
      </c>
      <c r="J122" s="8">
        <f>J46*Assumptions!$B$244*J83*(1+Assumptions!$B$175)</f>
        <v/>
      </c>
      <c r="K122" s="8">
        <f>K46*Assumptions!$B$244*K83*(1+Assumptions!$B$175)</f>
        <v/>
      </c>
      <c r="L122" s="8">
        <f>L46*Assumptions!$B$244*L83*(1+Assumptions!$B$175)</f>
        <v/>
      </c>
      <c r="M122" s="8">
        <f>M46*Assumptions!$B$244*M83*(1+Assumptions!$B$175)</f>
        <v/>
      </c>
      <c r="N122" s="8">
        <f>N46*Assumptions!$B$244*N83*(1+Assumptions!$B$175)</f>
        <v/>
      </c>
      <c r="O122" s="8">
        <f>O46*Assumptions!$B$244*O83*(1+Assumptions!$B$175)</f>
        <v/>
      </c>
      <c r="P122" s="8">
        <f>P46*Assumptions!$B$244*P83*(1+Assumptions!$B$175)</f>
        <v/>
      </c>
      <c r="Q122" s="8">
        <f>Q46*Assumptions!$B$244*Q83*(1+Assumptions!$B$175)</f>
        <v/>
      </c>
      <c r="R122" s="8">
        <f>R46*Assumptions!$B$244*R83*(1+Assumptions!$B$175)</f>
        <v/>
      </c>
      <c r="S122" s="8">
        <f>S46*Assumptions!$B$244*S83*(1+Assumptions!$B$175)</f>
        <v/>
      </c>
      <c r="T122" s="8">
        <f>T46*Assumptions!$B$244*T83*(1+Assumptions!$B$175)</f>
        <v/>
      </c>
      <c r="U122" s="8">
        <f>U46*Assumptions!$B$244*U83*(1+Assumptions!$B$175)</f>
        <v/>
      </c>
      <c r="V122" s="8">
        <f>V46*Assumptions!$B$244*V83*(1+Assumptions!$B$175)</f>
        <v/>
      </c>
      <c r="W122" s="8">
        <f>W46*Assumptions!$B$244*W83*(1+Assumptions!$B$175)</f>
        <v/>
      </c>
      <c r="X122" s="8">
        <f>X46*Assumptions!$B$244*X83*(1+Assumptions!$B$175)</f>
        <v/>
      </c>
      <c r="Y122" s="8">
        <f>Y46*Assumptions!$B$244*Y83*(1+Assumptions!$B$175)</f>
        <v/>
      </c>
      <c r="Z122" s="8">
        <f>Z46*Assumptions!$B$244*Z83*(1+Assumptions!$B$175)</f>
        <v/>
      </c>
      <c r="AA122" s="8">
        <f>AA46*Assumptions!$B$244*AA83*(1+Assumptions!$B$175)</f>
        <v/>
      </c>
      <c r="AB122" s="8">
        <f>AB46*Assumptions!$B$244*AB83*(1+Assumptions!$B$175)</f>
        <v/>
      </c>
      <c r="AC122" s="8">
        <f>AC46*Assumptions!$B$244*AC83*(1+Assumptions!$B$175)</f>
        <v/>
      </c>
      <c r="AD122" s="8">
        <f>AD46*Assumptions!$B$244*AD83*(1+Assumptions!$B$175)</f>
        <v/>
      </c>
      <c r="AE122" s="8">
        <f>AE46*Assumptions!$B$244*AE83*(1+Assumptions!$B$175)</f>
        <v/>
      </c>
      <c r="AF122" s="8">
        <f>AF46*Assumptions!$B$244*AF83*(1+Assumptions!$B$175)</f>
        <v/>
      </c>
      <c r="AG122" s="8">
        <f>AG46*Assumptions!$B$244*AG83*(1+Assumptions!$B$175)</f>
        <v/>
      </c>
      <c r="AH122" s="8">
        <f>AH46*Assumptions!$B$244*AH83*(1+Assumptions!$B$175)</f>
        <v/>
      </c>
      <c r="AI122" s="8">
        <f>AI46*Assumptions!$B$244*AI83*(1+Assumptions!$B$175)</f>
        <v/>
      </c>
      <c r="AJ122" s="8">
        <f>AJ46*Assumptions!$B$244*AJ83*(1+Assumptions!$B$175)</f>
        <v/>
      </c>
      <c r="AK122" s="8">
        <f>AK46*Assumptions!$B$244*AK83*(1+Assumptions!$B$175)</f>
        <v/>
      </c>
      <c r="AL122" s="8">
        <f>AL46*Assumptions!$B$244*AL83*(1+Assumptions!$B$175)</f>
        <v/>
      </c>
      <c r="AM122" s="8">
        <f>AM46*Assumptions!$B$244*AM83*(1+Assumptions!$B$175)</f>
        <v/>
      </c>
      <c r="AN122" s="8">
        <f>AN46*Assumptions!$B$244*AN83*(1+Assumptions!$B$175)</f>
        <v/>
      </c>
      <c r="AO122" s="8">
        <f>AO46*Assumptions!$B$244*AO83*(1+Assumptions!$B$175)</f>
        <v/>
      </c>
      <c r="AP122" s="8">
        <f>AP46*Assumptions!$B$244*AP83*(1+Assumptions!$B$175)</f>
        <v/>
      </c>
      <c r="AQ122" s="8">
        <f>AQ46*Assumptions!$B$244*AQ83*(1+Assumptions!$B$175)</f>
        <v/>
      </c>
      <c r="AR122" s="8">
        <f>AR46*Assumptions!$B$244*AR83*(1+Assumptions!$B$175)</f>
        <v/>
      </c>
      <c r="AS122" s="8">
        <f>AS46*Assumptions!$B$244*AS83*(1+Assumptions!$B$175)</f>
        <v/>
      </c>
      <c r="AT122" s="8">
        <f>AT46*Assumptions!$B$244*AT83*(1+Assumptions!$B$175)</f>
        <v/>
      </c>
      <c r="AU122" s="8">
        <f>AU46*Assumptions!$B$244*AU83*(1+Assumptions!$B$175)</f>
        <v/>
      </c>
      <c r="AV122" s="8">
        <f>AV46*Assumptions!$B$244*AV83*(1+Assumptions!$B$175)</f>
        <v/>
      </c>
      <c r="AW122" s="8">
        <f>AW46*Assumptions!$B$244*AW83*(1+Assumptions!$B$175)</f>
        <v/>
      </c>
      <c r="AX122" s="8">
        <f>AX46*Assumptions!$B$244*AX83*(1+Assumptions!$B$175)</f>
        <v/>
      </c>
      <c r="AY122" s="8">
        <f>AY46*Assumptions!$B$244*AY83*(1+Assumptions!$B$175)</f>
        <v/>
      </c>
      <c r="AZ122" s="8">
        <f>AZ46*Assumptions!$B$244*AZ83*(1+Assumptions!$B$175)</f>
        <v/>
      </c>
      <c r="BA122" s="8">
        <f>BA46*Assumptions!$B$244*BA83*(1+Assumptions!$B$175)</f>
        <v/>
      </c>
      <c r="BB122" s="8">
        <f>BB46*Assumptions!$B$244*BB83*(1+Assumptions!$B$175)</f>
        <v/>
      </c>
      <c r="BC122" s="8">
        <f>BC46*Assumptions!$B$244*BC83*(1+Assumptions!$B$175)</f>
        <v/>
      </c>
      <c r="BD122" s="8">
        <f>BD46*Assumptions!$B$244*BD83*(1+Assumptions!$B$175)</f>
        <v/>
      </c>
      <c r="BE122" s="8">
        <f>BE46*Assumptions!$B$244*BE83*(1+Assumptions!$B$175)</f>
        <v/>
      </c>
      <c r="BF122" s="8">
        <f>BF46*Assumptions!$B$244*BF83*(1+Assumptions!$B$175)</f>
        <v/>
      </c>
      <c r="BG122" s="8">
        <f>BG46*Assumptions!$B$244*BG83*(1+Assumptions!$B$175)</f>
        <v/>
      </c>
      <c r="BH122" s="8">
        <f>BH46*Assumptions!$B$244*BH83*(1+Assumptions!$B$175)</f>
        <v/>
      </c>
      <c r="BI122" s="8">
        <f>BI46*Assumptions!$B$244*BI83*(1+Assumptions!$B$175)</f>
        <v/>
      </c>
      <c r="BJ122" s="8">
        <f>BJ46*Assumptions!$B$244*BJ83*(1+Assumptions!$B$175)</f>
        <v/>
      </c>
    </row>
    <row r="123">
      <c r="A123" s="4" t="inlineStr">
        <is>
          <t>CS agents IV</t>
        </is>
      </c>
      <c r="B123" s="17" t="inlineStr">
        <is>
          <t>R</t>
        </is>
      </c>
      <c r="C123" s="8">
        <f>C47*Assumptions!$B$245*C83*(1+Assumptions!$B$175)</f>
        <v/>
      </c>
      <c r="D123" s="8">
        <f>D47*Assumptions!$B$245*D83*(1+Assumptions!$B$175)</f>
        <v/>
      </c>
      <c r="E123" s="8">
        <f>E47*Assumptions!$B$245*E83*(1+Assumptions!$B$175)</f>
        <v/>
      </c>
      <c r="F123" s="8">
        <f>F47*Assumptions!$B$245*F83*(1+Assumptions!$B$175)</f>
        <v/>
      </c>
      <c r="G123" s="8">
        <f>G47*Assumptions!$B$245*G83*(1+Assumptions!$B$175)</f>
        <v/>
      </c>
      <c r="H123" s="8">
        <f>H47*Assumptions!$B$245*H83*(1+Assumptions!$B$175)</f>
        <v/>
      </c>
      <c r="I123" s="8">
        <f>I47*Assumptions!$B$245*I83*(1+Assumptions!$B$175)</f>
        <v/>
      </c>
      <c r="J123" s="8">
        <f>J47*Assumptions!$B$245*J83*(1+Assumptions!$B$175)</f>
        <v/>
      </c>
      <c r="K123" s="8">
        <f>K47*Assumptions!$B$245*K83*(1+Assumptions!$B$175)</f>
        <v/>
      </c>
      <c r="L123" s="8">
        <f>L47*Assumptions!$B$245*L83*(1+Assumptions!$B$175)</f>
        <v/>
      </c>
      <c r="M123" s="8">
        <f>M47*Assumptions!$B$245*M83*(1+Assumptions!$B$175)</f>
        <v/>
      </c>
      <c r="N123" s="8">
        <f>N47*Assumptions!$B$245*N83*(1+Assumptions!$B$175)</f>
        <v/>
      </c>
      <c r="O123" s="8">
        <f>O47*Assumptions!$B$245*O83*(1+Assumptions!$B$175)</f>
        <v/>
      </c>
      <c r="P123" s="8">
        <f>P47*Assumptions!$B$245*P83*(1+Assumptions!$B$175)</f>
        <v/>
      </c>
      <c r="Q123" s="8">
        <f>Q47*Assumptions!$B$245*Q83*(1+Assumptions!$B$175)</f>
        <v/>
      </c>
      <c r="R123" s="8">
        <f>R47*Assumptions!$B$245*R83*(1+Assumptions!$B$175)</f>
        <v/>
      </c>
      <c r="S123" s="8">
        <f>S47*Assumptions!$B$245*S83*(1+Assumptions!$B$175)</f>
        <v/>
      </c>
      <c r="T123" s="8">
        <f>T47*Assumptions!$B$245*T83*(1+Assumptions!$B$175)</f>
        <v/>
      </c>
      <c r="U123" s="8">
        <f>U47*Assumptions!$B$245*U83*(1+Assumptions!$B$175)</f>
        <v/>
      </c>
      <c r="V123" s="8">
        <f>V47*Assumptions!$B$245*V83*(1+Assumptions!$B$175)</f>
        <v/>
      </c>
      <c r="W123" s="8">
        <f>W47*Assumptions!$B$245*W83*(1+Assumptions!$B$175)</f>
        <v/>
      </c>
      <c r="X123" s="8">
        <f>X47*Assumptions!$B$245*X83*(1+Assumptions!$B$175)</f>
        <v/>
      </c>
      <c r="Y123" s="8">
        <f>Y47*Assumptions!$B$245*Y83*(1+Assumptions!$B$175)</f>
        <v/>
      </c>
      <c r="Z123" s="8">
        <f>Z47*Assumptions!$B$245*Z83*(1+Assumptions!$B$175)</f>
        <v/>
      </c>
      <c r="AA123" s="8">
        <f>AA47*Assumptions!$B$245*AA83*(1+Assumptions!$B$175)</f>
        <v/>
      </c>
      <c r="AB123" s="8">
        <f>AB47*Assumptions!$B$245*AB83*(1+Assumptions!$B$175)</f>
        <v/>
      </c>
      <c r="AC123" s="8">
        <f>AC47*Assumptions!$B$245*AC83*(1+Assumptions!$B$175)</f>
        <v/>
      </c>
      <c r="AD123" s="8">
        <f>AD47*Assumptions!$B$245*AD83*(1+Assumptions!$B$175)</f>
        <v/>
      </c>
      <c r="AE123" s="8">
        <f>AE47*Assumptions!$B$245*AE83*(1+Assumptions!$B$175)</f>
        <v/>
      </c>
      <c r="AF123" s="8">
        <f>AF47*Assumptions!$B$245*AF83*(1+Assumptions!$B$175)</f>
        <v/>
      </c>
      <c r="AG123" s="8">
        <f>AG47*Assumptions!$B$245*AG83*(1+Assumptions!$B$175)</f>
        <v/>
      </c>
      <c r="AH123" s="8">
        <f>AH47*Assumptions!$B$245*AH83*(1+Assumptions!$B$175)</f>
        <v/>
      </c>
      <c r="AI123" s="8">
        <f>AI47*Assumptions!$B$245*AI83*(1+Assumptions!$B$175)</f>
        <v/>
      </c>
      <c r="AJ123" s="8">
        <f>AJ47*Assumptions!$B$245*AJ83*(1+Assumptions!$B$175)</f>
        <v/>
      </c>
      <c r="AK123" s="8">
        <f>AK47*Assumptions!$B$245*AK83*(1+Assumptions!$B$175)</f>
        <v/>
      </c>
      <c r="AL123" s="8">
        <f>AL47*Assumptions!$B$245*AL83*(1+Assumptions!$B$175)</f>
        <v/>
      </c>
      <c r="AM123" s="8">
        <f>AM47*Assumptions!$B$245*AM83*(1+Assumptions!$B$175)</f>
        <v/>
      </c>
      <c r="AN123" s="8">
        <f>AN47*Assumptions!$B$245*AN83*(1+Assumptions!$B$175)</f>
        <v/>
      </c>
      <c r="AO123" s="8">
        <f>AO47*Assumptions!$B$245*AO83*(1+Assumptions!$B$175)</f>
        <v/>
      </c>
      <c r="AP123" s="8">
        <f>AP47*Assumptions!$B$245*AP83*(1+Assumptions!$B$175)</f>
        <v/>
      </c>
      <c r="AQ123" s="8">
        <f>AQ47*Assumptions!$B$245*AQ83*(1+Assumptions!$B$175)</f>
        <v/>
      </c>
      <c r="AR123" s="8">
        <f>AR47*Assumptions!$B$245*AR83*(1+Assumptions!$B$175)</f>
        <v/>
      </c>
      <c r="AS123" s="8">
        <f>AS47*Assumptions!$B$245*AS83*(1+Assumptions!$B$175)</f>
        <v/>
      </c>
      <c r="AT123" s="8">
        <f>AT47*Assumptions!$B$245*AT83*(1+Assumptions!$B$175)</f>
        <v/>
      </c>
      <c r="AU123" s="8">
        <f>AU47*Assumptions!$B$245*AU83*(1+Assumptions!$B$175)</f>
        <v/>
      </c>
      <c r="AV123" s="8">
        <f>AV47*Assumptions!$B$245*AV83*(1+Assumptions!$B$175)</f>
        <v/>
      </c>
      <c r="AW123" s="8">
        <f>AW47*Assumptions!$B$245*AW83*(1+Assumptions!$B$175)</f>
        <v/>
      </c>
      <c r="AX123" s="8">
        <f>AX47*Assumptions!$B$245*AX83*(1+Assumptions!$B$175)</f>
        <v/>
      </c>
      <c r="AY123" s="8">
        <f>AY47*Assumptions!$B$245*AY83*(1+Assumptions!$B$175)</f>
        <v/>
      </c>
      <c r="AZ123" s="8">
        <f>AZ47*Assumptions!$B$245*AZ83*(1+Assumptions!$B$175)</f>
        <v/>
      </c>
      <c r="BA123" s="8">
        <f>BA47*Assumptions!$B$245*BA83*(1+Assumptions!$B$175)</f>
        <v/>
      </c>
      <c r="BB123" s="8">
        <f>BB47*Assumptions!$B$245*BB83*(1+Assumptions!$B$175)</f>
        <v/>
      </c>
      <c r="BC123" s="8">
        <f>BC47*Assumptions!$B$245*BC83*(1+Assumptions!$B$175)</f>
        <v/>
      </c>
      <c r="BD123" s="8">
        <f>BD47*Assumptions!$B$245*BD83*(1+Assumptions!$B$175)</f>
        <v/>
      </c>
      <c r="BE123" s="8">
        <f>BE47*Assumptions!$B$245*BE83*(1+Assumptions!$B$175)</f>
        <v/>
      </c>
      <c r="BF123" s="8">
        <f>BF47*Assumptions!$B$245*BF83*(1+Assumptions!$B$175)</f>
        <v/>
      </c>
      <c r="BG123" s="8">
        <f>BG47*Assumptions!$B$245*BG83*(1+Assumptions!$B$175)</f>
        <v/>
      </c>
      <c r="BH123" s="8">
        <f>BH47*Assumptions!$B$245*BH83*(1+Assumptions!$B$175)</f>
        <v/>
      </c>
      <c r="BI123" s="8">
        <f>BI47*Assumptions!$B$245*BI83*(1+Assumptions!$B$175)</f>
        <v/>
      </c>
      <c r="BJ123" s="8">
        <f>BJ47*Assumptions!$B$245*BJ83*(1+Assumptions!$B$175)</f>
        <v/>
      </c>
    </row>
    <row r="124">
      <c r="A124" s="4" t="inlineStr">
        <is>
          <t>CS agents V</t>
        </is>
      </c>
      <c r="B124" s="17" t="inlineStr">
        <is>
          <t>R</t>
        </is>
      </c>
      <c r="C124" s="8">
        <f>C48*Assumptions!$B$246*C83*(1+Assumptions!$B$175)</f>
        <v/>
      </c>
      <c r="D124" s="8">
        <f>D48*Assumptions!$B$246*D83*(1+Assumptions!$B$175)</f>
        <v/>
      </c>
      <c r="E124" s="8">
        <f>E48*Assumptions!$B$246*E83*(1+Assumptions!$B$175)</f>
        <v/>
      </c>
      <c r="F124" s="8">
        <f>F48*Assumptions!$B$246*F83*(1+Assumptions!$B$175)</f>
        <v/>
      </c>
      <c r="G124" s="8">
        <f>G48*Assumptions!$B$246*G83*(1+Assumptions!$B$175)</f>
        <v/>
      </c>
      <c r="H124" s="8">
        <f>H48*Assumptions!$B$246*H83*(1+Assumptions!$B$175)</f>
        <v/>
      </c>
      <c r="I124" s="8">
        <f>I48*Assumptions!$B$246*I83*(1+Assumptions!$B$175)</f>
        <v/>
      </c>
      <c r="J124" s="8">
        <f>J48*Assumptions!$B$246*J83*(1+Assumptions!$B$175)</f>
        <v/>
      </c>
      <c r="K124" s="8">
        <f>K48*Assumptions!$B$246*K83*(1+Assumptions!$B$175)</f>
        <v/>
      </c>
      <c r="L124" s="8">
        <f>L48*Assumptions!$B$246*L83*(1+Assumptions!$B$175)</f>
        <v/>
      </c>
      <c r="M124" s="8">
        <f>M48*Assumptions!$B$246*M83*(1+Assumptions!$B$175)</f>
        <v/>
      </c>
      <c r="N124" s="8">
        <f>N48*Assumptions!$B$246*N83*(1+Assumptions!$B$175)</f>
        <v/>
      </c>
      <c r="O124" s="8">
        <f>O48*Assumptions!$B$246*O83*(1+Assumptions!$B$175)</f>
        <v/>
      </c>
      <c r="P124" s="8">
        <f>P48*Assumptions!$B$246*P83*(1+Assumptions!$B$175)</f>
        <v/>
      </c>
      <c r="Q124" s="8">
        <f>Q48*Assumptions!$B$246*Q83*(1+Assumptions!$B$175)</f>
        <v/>
      </c>
      <c r="R124" s="8">
        <f>R48*Assumptions!$B$246*R83*(1+Assumptions!$B$175)</f>
        <v/>
      </c>
      <c r="S124" s="8">
        <f>S48*Assumptions!$B$246*S83*(1+Assumptions!$B$175)</f>
        <v/>
      </c>
      <c r="T124" s="8">
        <f>T48*Assumptions!$B$246*T83*(1+Assumptions!$B$175)</f>
        <v/>
      </c>
      <c r="U124" s="8">
        <f>U48*Assumptions!$B$246*U83*(1+Assumptions!$B$175)</f>
        <v/>
      </c>
      <c r="V124" s="8">
        <f>V48*Assumptions!$B$246*V83*(1+Assumptions!$B$175)</f>
        <v/>
      </c>
      <c r="W124" s="8">
        <f>W48*Assumptions!$B$246*W83*(1+Assumptions!$B$175)</f>
        <v/>
      </c>
      <c r="X124" s="8">
        <f>X48*Assumptions!$B$246*X83*(1+Assumptions!$B$175)</f>
        <v/>
      </c>
      <c r="Y124" s="8">
        <f>Y48*Assumptions!$B$246*Y83*(1+Assumptions!$B$175)</f>
        <v/>
      </c>
      <c r="Z124" s="8">
        <f>Z48*Assumptions!$B$246*Z83*(1+Assumptions!$B$175)</f>
        <v/>
      </c>
      <c r="AA124" s="8">
        <f>AA48*Assumptions!$B$246*AA83*(1+Assumptions!$B$175)</f>
        <v/>
      </c>
      <c r="AB124" s="8">
        <f>AB48*Assumptions!$B$246*AB83*(1+Assumptions!$B$175)</f>
        <v/>
      </c>
      <c r="AC124" s="8">
        <f>AC48*Assumptions!$B$246*AC83*(1+Assumptions!$B$175)</f>
        <v/>
      </c>
      <c r="AD124" s="8">
        <f>AD48*Assumptions!$B$246*AD83*(1+Assumptions!$B$175)</f>
        <v/>
      </c>
      <c r="AE124" s="8">
        <f>AE48*Assumptions!$B$246*AE83*(1+Assumptions!$B$175)</f>
        <v/>
      </c>
      <c r="AF124" s="8">
        <f>AF48*Assumptions!$B$246*AF83*(1+Assumptions!$B$175)</f>
        <v/>
      </c>
      <c r="AG124" s="8">
        <f>AG48*Assumptions!$B$246*AG83*(1+Assumptions!$B$175)</f>
        <v/>
      </c>
      <c r="AH124" s="8">
        <f>AH48*Assumptions!$B$246*AH83*(1+Assumptions!$B$175)</f>
        <v/>
      </c>
      <c r="AI124" s="8">
        <f>AI48*Assumptions!$B$246*AI83*(1+Assumptions!$B$175)</f>
        <v/>
      </c>
      <c r="AJ124" s="8">
        <f>AJ48*Assumptions!$B$246*AJ83*(1+Assumptions!$B$175)</f>
        <v/>
      </c>
      <c r="AK124" s="8">
        <f>AK48*Assumptions!$B$246*AK83*(1+Assumptions!$B$175)</f>
        <v/>
      </c>
      <c r="AL124" s="8">
        <f>AL48*Assumptions!$B$246*AL83*(1+Assumptions!$B$175)</f>
        <v/>
      </c>
      <c r="AM124" s="8">
        <f>AM48*Assumptions!$B$246*AM83*(1+Assumptions!$B$175)</f>
        <v/>
      </c>
      <c r="AN124" s="8">
        <f>AN48*Assumptions!$B$246*AN83*(1+Assumptions!$B$175)</f>
        <v/>
      </c>
      <c r="AO124" s="8">
        <f>AO48*Assumptions!$B$246*AO83*(1+Assumptions!$B$175)</f>
        <v/>
      </c>
      <c r="AP124" s="8">
        <f>AP48*Assumptions!$B$246*AP83*(1+Assumptions!$B$175)</f>
        <v/>
      </c>
      <c r="AQ124" s="8">
        <f>AQ48*Assumptions!$B$246*AQ83*(1+Assumptions!$B$175)</f>
        <v/>
      </c>
      <c r="AR124" s="8">
        <f>AR48*Assumptions!$B$246*AR83*(1+Assumptions!$B$175)</f>
        <v/>
      </c>
      <c r="AS124" s="8">
        <f>AS48*Assumptions!$B$246*AS83*(1+Assumptions!$B$175)</f>
        <v/>
      </c>
      <c r="AT124" s="8">
        <f>AT48*Assumptions!$B$246*AT83*(1+Assumptions!$B$175)</f>
        <v/>
      </c>
      <c r="AU124" s="8">
        <f>AU48*Assumptions!$B$246*AU83*(1+Assumptions!$B$175)</f>
        <v/>
      </c>
      <c r="AV124" s="8">
        <f>AV48*Assumptions!$B$246*AV83*(1+Assumptions!$B$175)</f>
        <v/>
      </c>
      <c r="AW124" s="8">
        <f>AW48*Assumptions!$B$246*AW83*(1+Assumptions!$B$175)</f>
        <v/>
      </c>
      <c r="AX124" s="8">
        <f>AX48*Assumptions!$B$246*AX83*(1+Assumptions!$B$175)</f>
        <v/>
      </c>
      <c r="AY124" s="8">
        <f>AY48*Assumptions!$B$246*AY83*(1+Assumptions!$B$175)</f>
        <v/>
      </c>
      <c r="AZ124" s="8">
        <f>AZ48*Assumptions!$B$246*AZ83*(1+Assumptions!$B$175)</f>
        <v/>
      </c>
      <c r="BA124" s="8">
        <f>BA48*Assumptions!$B$246*BA83*(1+Assumptions!$B$175)</f>
        <v/>
      </c>
      <c r="BB124" s="8">
        <f>BB48*Assumptions!$B$246*BB83*(1+Assumptions!$B$175)</f>
        <v/>
      </c>
      <c r="BC124" s="8">
        <f>BC48*Assumptions!$B$246*BC83*(1+Assumptions!$B$175)</f>
        <v/>
      </c>
      <c r="BD124" s="8">
        <f>BD48*Assumptions!$B$246*BD83*(1+Assumptions!$B$175)</f>
        <v/>
      </c>
      <c r="BE124" s="8">
        <f>BE48*Assumptions!$B$246*BE83*(1+Assumptions!$B$175)</f>
        <v/>
      </c>
      <c r="BF124" s="8">
        <f>BF48*Assumptions!$B$246*BF83*(1+Assumptions!$B$175)</f>
        <v/>
      </c>
      <c r="BG124" s="8">
        <f>BG48*Assumptions!$B$246*BG83*(1+Assumptions!$B$175)</f>
        <v/>
      </c>
      <c r="BH124" s="8">
        <f>BH48*Assumptions!$B$246*BH83*(1+Assumptions!$B$175)</f>
        <v/>
      </c>
      <c r="BI124" s="8">
        <f>BI48*Assumptions!$B$246*BI83*(1+Assumptions!$B$175)</f>
        <v/>
      </c>
      <c r="BJ124" s="8">
        <f>BJ48*Assumptions!$B$246*BJ83*(1+Assumptions!$B$175)</f>
        <v/>
      </c>
    </row>
    <row r="125">
      <c r="A125" s="4" t="inlineStr">
        <is>
          <t>Finance &amp; compliance manager</t>
        </is>
      </c>
      <c r="B125" s="17" t="inlineStr">
        <is>
          <t>R</t>
        </is>
      </c>
      <c r="C125" s="8">
        <f>C49*Assumptions!$B$247*C83*(1+Assumptions!$B$175)</f>
        <v/>
      </c>
      <c r="D125" s="8">
        <f>D49*Assumptions!$B$247*D83*(1+Assumptions!$B$175)</f>
        <v/>
      </c>
      <c r="E125" s="8">
        <f>E49*Assumptions!$B$247*E83*(1+Assumptions!$B$175)</f>
        <v/>
      </c>
      <c r="F125" s="8">
        <f>F49*Assumptions!$B$247*F83*(1+Assumptions!$B$175)</f>
        <v/>
      </c>
      <c r="G125" s="8">
        <f>G49*Assumptions!$B$247*G83*(1+Assumptions!$B$175)</f>
        <v/>
      </c>
      <c r="H125" s="8">
        <f>H49*Assumptions!$B$247*H83*(1+Assumptions!$B$175)</f>
        <v/>
      </c>
      <c r="I125" s="8">
        <f>I49*Assumptions!$B$247*I83*(1+Assumptions!$B$175)</f>
        <v/>
      </c>
      <c r="J125" s="8">
        <f>J49*Assumptions!$B$247*J83*(1+Assumptions!$B$175)</f>
        <v/>
      </c>
      <c r="K125" s="8">
        <f>K49*Assumptions!$B$247*K83*(1+Assumptions!$B$175)</f>
        <v/>
      </c>
      <c r="L125" s="8">
        <f>L49*Assumptions!$B$247*L83*(1+Assumptions!$B$175)</f>
        <v/>
      </c>
      <c r="M125" s="8">
        <f>M49*Assumptions!$B$247*M83*(1+Assumptions!$B$175)</f>
        <v/>
      </c>
      <c r="N125" s="8">
        <f>N49*Assumptions!$B$247*N83*(1+Assumptions!$B$175)</f>
        <v/>
      </c>
      <c r="O125" s="8">
        <f>O49*Assumptions!$B$247*O83*(1+Assumptions!$B$175)</f>
        <v/>
      </c>
      <c r="P125" s="8">
        <f>P49*Assumptions!$B$247*P83*(1+Assumptions!$B$175)</f>
        <v/>
      </c>
      <c r="Q125" s="8">
        <f>Q49*Assumptions!$B$247*Q83*(1+Assumptions!$B$175)</f>
        <v/>
      </c>
      <c r="R125" s="8">
        <f>R49*Assumptions!$B$247*R83*(1+Assumptions!$B$175)</f>
        <v/>
      </c>
      <c r="S125" s="8">
        <f>S49*Assumptions!$B$247*S83*(1+Assumptions!$B$175)</f>
        <v/>
      </c>
      <c r="T125" s="8">
        <f>T49*Assumptions!$B$247*T83*(1+Assumptions!$B$175)</f>
        <v/>
      </c>
      <c r="U125" s="8">
        <f>U49*Assumptions!$B$247*U83*(1+Assumptions!$B$175)</f>
        <v/>
      </c>
      <c r="V125" s="8">
        <f>V49*Assumptions!$B$247*V83*(1+Assumptions!$B$175)</f>
        <v/>
      </c>
      <c r="W125" s="8">
        <f>W49*Assumptions!$B$247*W83*(1+Assumptions!$B$175)</f>
        <v/>
      </c>
      <c r="X125" s="8">
        <f>X49*Assumptions!$B$247*X83*(1+Assumptions!$B$175)</f>
        <v/>
      </c>
      <c r="Y125" s="8">
        <f>Y49*Assumptions!$B$247*Y83*(1+Assumptions!$B$175)</f>
        <v/>
      </c>
      <c r="Z125" s="8">
        <f>Z49*Assumptions!$B$247*Z83*(1+Assumptions!$B$175)</f>
        <v/>
      </c>
      <c r="AA125" s="8">
        <f>AA49*Assumptions!$B$247*AA83*(1+Assumptions!$B$175)</f>
        <v/>
      </c>
      <c r="AB125" s="8">
        <f>AB49*Assumptions!$B$247*AB83*(1+Assumptions!$B$175)</f>
        <v/>
      </c>
      <c r="AC125" s="8">
        <f>AC49*Assumptions!$B$247*AC83*(1+Assumptions!$B$175)</f>
        <v/>
      </c>
      <c r="AD125" s="8">
        <f>AD49*Assumptions!$B$247*AD83*(1+Assumptions!$B$175)</f>
        <v/>
      </c>
      <c r="AE125" s="8">
        <f>AE49*Assumptions!$B$247*AE83*(1+Assumptions!$B$175)</f>
        <v/>
      </c>
      <c r="AF125" s="8">
        <f>AF49*Assumptions!$B$247*AF83*(1+Assumptions!$B$175)</f>
        <v/>
      </c>
      <c r="AG125" s="8">
        <f>AG49*Assumptions!$B$247*AG83*(1+Assumptions!$B$175)</f>
        <v/>
      </c>
      <c r="AH125" s="8">
        <f>AH49*Assumptions!$B$247*AH83*(1+Assumptions!$B$175)</f>
        <v/>
      </c>
      <c r="AI125" s="8">
        <f>AI49*Assumptions!$B$247*AI83*(1+Assumptions!$B$175)</f>
        <v/>
      </c>
      <c r="AJ125" s="8">
        <f>AJ49*Assumptions!$B$247*AJ83*(1+Assumptions!$B$175)</f>
        <v/>
      </c>
      <c r="AK125" s="8">
        <f>AK49*Assumptions!$B$247*AK83*(1+Assumptions!$B$175)</f>
        <v/>
      </c>
      <c r="AL125" s="8">
        <f>AL49*Assumptions!$B$247*AL83*(1+Assumptions!$B$175)</f>
        <v/>
      </c>
      <c r="AM125" s="8">
        <f>AM49*Assumptions!$B$247*AM83*(1+Assumptions!$B$175)</f>
        <v/>
      </c>
      <c r="AN125" s="8">
        <f>AN49*Assumptions!$B$247*AN83*(1+Assumptions!$B$175)</f>
        <v/>
      </c>
      <c r="AO125" s="8">
        <f>AO49*Assumptions!$B$247*AO83*(1+Assumptions!$B$175)</f>
        <v/>
      </c>
      <c r="AP125" s="8">
        <f>AP49*Assumptions!$B$247*AP83*(1+Assumptions!$B$175)</f>
        <v/>
      </c>
      <c r="AQ125" s="8">
        <f>AQ49*Assumptions!$B$247*AQ83*(1+Assumptions!$B$175)</f>
        <v/>
      </c>
      <c r="AR125" s="8">
        <f>AR49*Assumptions!$B$247*AR83*(1+Assumptions!$B$175)</f>
        <v/>
      </c>
      <c r="AS125" s="8">
        <f>AS49*Assumptions!$B$247*AS83*(1+Assumptions!$B$175)</f>
        <v/>
      </c>
      <c r="AT125" s="8">
        <f>AT49*Assumptions!$B$247*AT83*(1+Assumptions!$B$175)</f>
        <v/>
      </c>
      <c r="AU125" s="8">
        <f>AU49*Assumptions!$B$247*AU83*(1+Assumptions!$B$175)</f>
        <v/>
      </c>
      <c r="AV125" s="8">
        <f>AV49*Assumptions!$B$247*AV83*(1+Assumptions!$B$175)</f>
        <v/>
      </c>
      <c r="AW125" s="8">
        <f>AW49*Assumptions!$B$247*AW83*(1+Assumptions!$B$175)</f>
        <v/>
      </c>
      <c r="AX125" s="8">
        <f>AX49*Assumptions!$B$247*AX83*(1+Assumptions!$B$175)</f>
        <v/>
      </c>
      <c r="AY125" s="8">
        <f>AY49*Assumptions!$B$247*AY83*(1+Assumptions!$B$175)</f>
        <v/>
      </c>
      <c r="AZ125" s="8">
        <f>AZ49*Assumptions!$B$247*AZ83*(1+Assumptions!$B$175)</f>
        <v/>
      </c>
      <c r="BA125" s="8">
        <f>BA49*Assumptions!$B$247*BA83*(1+Assumptions!$B$175)</f>
        <v/>
      </c>
      <c r="BB125" s="8">
        <f>BB49*Assumptions!$B$247*BB83*(1+Assumptions!$B$175)</f>
        <v/>
      </c>
      <c r="BC125" s="8">
        <f>BC49*Assumptions!$B$247*BC83*(1+Assumptions!$B$175)</f>
        <v/>
      </c>
      <c r="BD125" s="8">
        <f>BD49*Assumptions!$B$247*BD83*(1+Assumptions!$B$175)</f>
        <v/>
      </c>
      <c r="BE125" s="8">
        <f>BE49*Assumptions!$B$247*BE83*(1+Assumptions!$B$175)</f>
        <v/>
      </c>
      <c r="BF125" s="8">
        <f>BF49*Assumptions!$B$247*BF83*(1+Assumptions!$B$175)</f>
        <v/>
      </c>
      <c r="BG125" s="8">
        <f>BG49*Assumptions!$B$247*BG83*(1+Assumptions!$B$175)</f>
        <v/>
      </c>
      <c r="BH125" s="8">
        <f>BH49*Assumptions!$B$247*BH83*(1+Assumptions!$B$175)</f>
        <v/>
      </c>
      <c r="BI125" s="8">
        <f>BI49*Assumptions!$B$247*BI83*(1+Assumptions!$B$175)</f>
        <v/>
      </c>
      <c r="BJ125" s="8">
        <f>BJ49*Assumptions!$B$247*BJ83*(1+Assumptions!$B$175)</f>
        <v/>
      </c>
    </row>
    <row r="126">
      <c r="A126" s="4" t="inlineStr">
        <is>
          <t>Operations &amp; admin</t>
        </is>
      </c>
      <c r="B126" s="17" t="inlineStr">
        <is>
          <t>R</t>
        </is>
      </c>
      <c r="C126" s="8">
        <f>C50*Assumptions!$B$248*C83*(1+Assumptions!$B$175)</f>
        <v/>
      </c>
      <c r="D126" s="8">
        <f>D50*Assumptions!$B$248*D83*(1+Assumptions!$B$175)</f>
        <v/>
      </c>
      <c r="E126" s="8">
        <f>E50*Assumptions!$B$248*E83*(1+Assumptions!$B$175)</f>
        <v/>
      </c>
      <c r="F126" s="8">
        <f>F50*Assumptions!$B$248*F83*(1+Assumptions!$B$175)</f>
        <v/>
      </c>
      <c r="G126" s="8">
        <f>G50*Assumptions!$B$248*G83*(1+Assumptions!$B$175)</f>
        <v/>
      </c>
      <c r="H126" s="8">
        <f>H50*Assumptions!$B$248*H83*(1+Assumptions!$B$175)</f>
        <v/>
      </c>
      <c r="I126" s="8">
        <f>I50*Assumptions!$B$248*I83*(1+Assumptions!$B$175)</f>
        <v/>
      </c>
      <c r="J126" s="8">
        <f>J50*Assumptions!$B$248*J83*(1+Assumptions!$B$175)</f>
        <v/>
      </c>
      <c r="K126" s="8">
        <f>K50*Assumptions!$B$248*K83*(1+Assumptions!$B$175)</f>
        <v/>
      </c>
      <c r="L126" s="8">
        <f>L50*Assumptions!$B$248*L83*(1+Assumptions!$B$175)</f>
        <v/>
      </c>
      <c r="M126" s="8">
        <f>M50*Assumptions!$B$248*M83*(1+Assumptions!$B$175)</f>
        <v/>
      </c>
      <c r="N126" s="8">
        <f>N50*Assumptions!$B$248*N83*(1+Assumptions!$B$175)</f>
        <v/>
      </c>
      <c r="O126" s="8">
        <f>O50*Assumptions!$B$248*O83*(1+Assumptions!$B$175)</f>
        <v/>
      </c>
      <c r="P126" s="8">
        <f>P50*Assumptions!$B$248*P83*(1+Assumptions!$B$175)</f>
        <v/>
      </c>
      <c r="Q126" s="8">
        <f>Q50*Assumptions!$B$248*Q83*(1+Assumptions!$B$175)</f>
        <v/>
      </c>
      <c r="R126" s="8">
        <f>R50*Assumptions!$B$248*R83*(1+Assumptions!$B$175)</f>
        <v/>
      </c>
      <c r="S126" s="8">
        <f>S50*Assumptions!$B$248*S83*(1+Assumptions!$B$175)</f>
        <v/>
      </c>
      <c r="T126" s="8">
        <f>T50*Assumptions!$B$248*T83*(1+Assumptions!$B$175)</f>
        <v/>
      </c>
      <c r="U126" s="8">
        <f>U50*Assumptions!$B$248*U83*(1+Assumptions!$B$175)</f>
        <v/>
      </c>
      <c r="V126" s="8">
        <f>V50*Assumptions!$B$248*V83*(1+Assumptions!$B$175)</f>
        <v/>
      </c>
      <c r="W126" s="8">
        <f>W50*Assumptions!$B$248*W83*(1+Assumptions!$B$175)</f>
        <v/>
      </c>
      <c r="X126" s="8">
        <f>X50*Assumptions!$B$248*X83*(1+Assumptions!$B$175)</f>
        <v/>
      </c>
      <c r="Y126" s="8">
        <f>Y50*Assumptions!$B$248*Y83*(1+Assumptions!$B$175)</f>
        <v/>
      </c>
      <c r="Z126" s="8">
        <f>Z50*Assumptions!$B$248*Z83*(1+Assumptions!$B$175)</f>
        <v/>
      </c>
      <c r="AA126" s="8">
        <f>AA50*Assumptions!$B$248*AA83*(1+Assumptions!$B$175)</f>
        <v/>
      </c>
      <c r="AB126" s="8">
        <f>AB50*Assumptions!$B$248*AB83*(1+Assumptions!$B$175)</f>
        <v/>
      </c>
      <c r="AC126" s="8">
        <f>AC50*Assumptions!$B$248*AC83*(1+Assumptions!$B$175)</f>
        <v/>
      </c>
      <c r="AD126" s="8">
        <f>AD50*Assumptions!$B$248*AD83*(1+Assumptions!$B$175)</f>
        <v/>
      </c>
      <c r="AE126" s="8">
        <f>AE50*Assumptions!$B$248*AE83*(1+Assumptions!$B$175)</f>
        <v/>
      </c>
      <c r="AF126" s="8">
        <f>AF50*Assumptions!$B$248*AF83*(1+Assumptions!$B$175)</f>
        <v/>
      </c>
      <c r="AG126" s="8">
        <f>AG50*Assumptions!$B$248*AG83*(1+Assumptions!$B$175)</f>
        <v/>
      </c>
      <c r="AH126" s="8">
        <f>AH50*Assumptions!$B$248*AH83*(1+Assumptions!$B$175)</f>
        <v/>
      </c>
      <c r="AI126" s="8">
        <f>AI50*Assumptions!$B$248*AI83*(1+Assumptions!$B$175)</f>
        <v/>
      </c>
      <c r="AJ126" s="8">
        <f>AJ50*Assumptions!$B$248*AJ83*(1+Assumptions!$B$175)</f>
        <v/>
      </c>
      <c r="AK126" s="8">
        <f>AK50*Assumptions!$B$248*AK83*(1+Assumptions!$B$175)</f>
        <v/>
      </c>
      <c r="AL126" s="8">
        <f>AL50*Assumptions!$B$248*AL83*(1+Assumptions!$B$175)</f>
        <v/>
      </c>
      <c r="AM126" s="8">
        <f>AM50*Assumptions!$B$248*AM83*(1+Assumptions!$B$175)</f>
        <v/>
      </c>
      <c r="AN126" s="8">
        <f>AN50*Assumptions!$B$248*AN83*(1+Assumptions!$B$175)</f>
        <v/>
      </c>
      <c r="AO126" s="8">
        <f>AO50*Assumptions!$B$248*AO83*(1+Assumptions!$B$175)</f>
        <v/>
      </c>
      <c r="AP126" s="8">
        <f>AP50*Assumptions!$B$248*AP83*(1+Assumptions!$B$175)</f>
        <v/>
      </c>
      <c r="AQ126" s="8">
        <f>AQ50*Assumptions!$B$248*AQ83*(1+Assumptions!$B$175)</f>
        <v/>
      </c>
      <c r="AR126" s="8">
        <f>AR50*Assumptions!$B$248*AR83*(1+Assumptions!$B$175)</f>
        <v/>
      </c>
      <c r="AS126" s="8">
        <f>AS50*Assumptions!$B$248*AS83*(1+Assumptions!$B$175)</f>
        <v/>
      </c>
      <c r="AT126" s="8">
        <f>AT50*Assumptions!$B$248*AT83*(1+Assumptions!$B$175)</f>
        <v/>
      </c>
      <c r="AU126" s="8">
        <f>AU50*Assumptions!$B$248*AU83*(1+Assumptions!$B$175)</f>
        <v/>
      </c>
      <c r="AV126" s="8">
        <f>AV50*Assumptions!$B$248*AV83*(1+Assumptions!$B$175)</f>
        <v/>
      </c>
      <c r="AW126" s="8">
        <f>AW50*Assumptions!$B$248*AW83*(1+Assumptions!$B$175)</f>
        <v/>
      </c>
      <c r="AX126" s="8">
        <f>AX50*Assumptions!$B$248*AX83*(1+Assumptions!$B$175)</f>
        <v/>
      </c>
      <c r="AY126" s="8">
        <f>AY50*Assumptions!$B$248*AY83*(1+Assumptions!$B$175)</f>
        <v/>
      </c>
      <c r="AZ126" s="8">
        <f>AZ50*Assumptions!$B$248*AZ83*(1+Assumptions!$B$175)</f>
        <v/>
      </c>
      <c r="BA126" s="8">
        <f>BA50*Assumptions!$B$248*BA83*(1+Assumptions!$B$175)</f>
        <v/>
      </c>
      <c r="BB126" s="8">
        <f>BB50*Assumptions!$B$248*BB83*(1+Assumptions!$B$175)</f>
        <v/>
      </c>
      <c r="BC126" s="8">
        <f>BC50*Assumptions!$B$248*BC83*(1+Assumptions!$B$175)</f>
        <v/>
      </c>
      <c r="BD126" s="8">
        <f>BD50*Assumptions!$B$248*BD83*(1+Assumptions!$B$175)</f>
        <v/>
      </c>
      <c r="BE126" s="8">
        <f>BE50*Assumptions!$B$248*BE83*(1+Assumptions!$B$175)</f>
        <v/>
      </c>
      <c r="BF126" s="8">
        <f>BF50*Assumptions!$B$248*BF83*(1+Assumptions!$B$175)</f>
        <v/>
      </c>
      <c r="BG126" s="8">
        <f>BG50*Assumptions!$B$248*BG83*(1+Assumptions!$B$175)</f>
        <v/>
      </c>
      <c r="BH126" s="8">
        <f>BH50*Assumptions!$B$248*BH83*(1+Assumptions!$B$175)</f>
        <v/>
      </c>
      <c r="BI126" s="8">
        <f>BI50*Assumptions!$B$248*BI83*(1+Assumptions!$B$175)</f>
        <v/>
      </c>
      <c r="BJ126" s="8">
        <f>BJ50*Assumptions!$B$248*BJ83*(1+Assumptions!$B$175)</f>
        <v/>
      </c>
    </row>
    <row r="127">
      <c r="A127" s="4" t="inlineStr">
        <is>
          <t>Legal &amp; data-protection counsel</t>
        </is>
      </c>
      <c r="B127" s="17" t="inlineStr">
        <is>
          <t>R</t>
        </is>
      </c>
      <c r="C127" s="8">
        <f>C51*Assumptions!$B$249*C83*(1+Assumptions!$B$175)</f>
        <v/>
      </c>
      <c r="D127" s="8">
        <f>D51*Assumptions!$B$249*D83*(1+Assumptions!$B$175)</f>
        <v/>
      </c>
      <c r="E127" s="8">
        <f>E51*Assumptions!$B$249*E83*(1+Assumptions!$B$175)</f>
        <v/>
      </c>
      <c r="F127" s="8">
        <f>F51*Assumptions!$B$249*F83*(1+Assumptions!$B$175)</f>
        <v/>
      </c>
      <c r="G127" s="8">
        <f>G51*Assumptions!$B$249*G83*(1+Assumptions!$B$175)</f>
        <v/>
      </c>
      <c r="H127" s="8">
        <f>H51*Assumptions!$B$249*H83*(1+Assumptions!$B$175)</f>
        <v/>
      </c>
      <c r="I127" s="8">
        <f>I51*Assumptions!$B$249*I83*(1+Assumptions!$B$175)</f>
        <v/>
      </c>
      <c r="J127" s="8">
        <f>J51*Assumptions!$B$249*J83*(1+Assumptions!$B$175)</f>
        <v/>
      </c>
      <c r="K127" s="8">
        <f>K51*Assumptions!$B$249*K83*(1+Assumptions!$B$175)</f>
        <v/>
      </c>
      <c r="L127" s="8">
        <f>L51*Assumptions!$B$249*L83*(1+Assumptions!$B$175)</f>
        <v/>
      </c>
      <c r="M127" s="8">
        <f>M51*Assumptions!$B$249*M83*(1+Assumptions!$B$175)</f>
        <v/>
      </c>
      <c r="N127" s="8">
        <f>N51*Assumptions!$B$249*N83*(1+Assumptions!$B$175)</f>
        <v/>
      </c>
      <c r="O127" s="8">
        <f>O51*Assumptions!$B$249*O83*(1+Assumptions!$B$175)</f>
        <v/>
      </c>
      <c r="P127" s="8">
        <f>P51*Assumptions!$B$249*P83*(1+Assumptions!$B$175)</f>
        <v/>
      </c>
      <c r="Q127" s="8">
        <f>Q51*Assumptions!$B$249*Q83*(1+Assumptions!$B$175)</f>
        <v/>
      </c>
      <c r="R127" s="8">
        <f>R51*Assumptions!$B$249*R83*(1+Assumptions!$B$175)</f>
        <v/>
      </c>
      <c r="S127" s="8">
        <f>S51*Assumptions!$B$249*S83*(1+Assumptions!$B$175)</f>
        <v/>
      </c>
      <c r="T127" s="8">
        <f>T51*Assumptions!$B$249*T83*(1+Assumptions!$B$175)</f>
        <v/>
      </c>
      <c r="U127" s="8">
        <f>U51*Assumptions!$B$249*U83*(1+Assumptions!$B$175)</f>
        <v/>
      </c>
      <c r="V127" s="8">
        <f>V51*Assumptions!$B$249*V83*(1+Assumptions!$B$175)</f>
        <v/>
      </c>
      <c r="W127" s="8">
        <f>W51*Assumptions!$B$249*W83*(1+Assumptions!$B$175)</f>
        <v/>
      </c>
      <c r="X127" s="8">
        <f>X51*Assumptions!$B$249*X83*(1+Assumptions!$B$175)</f>
        <v/>
      </c>
      <c r="Y127" s="8">
        <f>Y51*Assumptions!$B$249*Y83*(1+Assumptions!$B$175)</f>
        <v/>
      </c>
      <c r="Z127" s="8">
        <f>Z51*Assumptions!$B$249*Z83*(1+Assumptions!$B$175)</f>
        <v/>
      </c>
      <c r="AA127" s="8">
        <f>AA51*Assumptions!$B$249*AA83*(1+Assumptions!$B$175)</f>
        <v/>
      </c>
      <c r="AB127" s="8">
        <f>AB51*Assumptions!$B$249*AB83*(1+Assumptions!$B$175)</f>
        <v/>
      </c>
      <c r="AC127" s="8">
        <f>AC51*Assumptions!$B$249*AC83*(1+Assumptions!$B$175)</f>
        <v/>
      </c>
      <c r="AD127" s="8">
        <f>AD51*Assumptions!$B$249*AD83*(1+Assumptions!$B$175)</f>
        <v/>
      </c>
      <c r="AE127" s="8">
        <f>AE51*Assumptions!$B$249*AE83*(1+Assumptions!$B$175)</f>
        <v/>
      </c>
      <c r="AF127" s="8">
        <f>AF51*Assumptions!$B$249*AF83*(1+Assumptions!$B$175)</f>
        <v/>
      </c>
      <c r="AG127" s="8">
        <f>AG51*Assumptions!$B$249*AG83*(1+Assumptions!$B$175)</f>
        <v/>
      </c>
      <c r="AH127" s="8">
        <f>AH51*Assumptions!$B$249*AH83*(1+Assumptions!$B$175)</f>
        <v/>
      </c>
      <c r="AI127" s="8">
        <f>AI51*Assumptions!$B$249*AI83*(1+Assumptions!$B$175)</f>
        <v/>
      </c>
      <c r="AJ127" s="8">
        <f>AJ51*Assumptions!$B$249*AJ83*(1+Assumptions!$B$175)</f>
        <v/>
      </c>
      <c r="AK127" s="8">
        <f>AK51*Assumptions!$B$249*AK83*(1+Assumptions!$B$175)</f>
        <v/>
      </c>
      <c r="AL127" s="8">
        <f>AL51*Assumptions!$B$249*AL83*(1+Assumptions!$B$175)</f>
        <v/>
      </c>
      <c r="AM127" s="8">
        <f>AM51*Assumptions!$B$249*AM83*(1+Assumptions!$B$175)</f>
        <v/>
      </c>
      <c r="AN127" s="8">
        <f>AN51*Assumptions!$B$249*AN83*(1+Assumptions!$B$175)</f>
        <v/>
      </c>
      <c r="AO127" s="8">
        <f>AO51*Assumptions!$B$249*AO83*(1+Assumptions!$B$175)</f>
        <v/>
      </c>
      <c r="AP127" s="8">
        <f>AP51*Assumptions!$B$249*AP83*(1+Assumptions!$B$175)</f>
        <v/>
      </c>
      <c r="AQ127" s="8">
        <f>AQ51*Assumptions!$B$249*AQ83*(1+Assumptions!$B$175)</f>
        <v/>
      </c>
      <c r="AR127" s="8">
        <f>AR51*Assumptions!$B$249*AR83*(1+Assumptions!$B$175)</f>
        <v/>
      </c>
      <c r="AS127" s="8">
        <f>AS51*Assumptions!$B$249*AS83*(1+Assumptions!$B$175)</f>
        <v/>
      </c>
      <c r="AT127" s="8">
        <f>AT51*Assumptions!$B$249*AT83*(1+Assumptions!$B$175)</f>
        <v/>
      </c>
      <c r="AU127" s="8">
        <f>AU51*Assumptions!$B$249*AU83*(1+Assumptions!$B$175)</f>
        <v/>
      </c>
      <c r="AV127" s="8">
        <f>AV51*Assumptions!$B$249*AV83*(1+Assumptions!$B$175)</f>
        <v/>
      </c>
      <c r="AW127" s="8">
        <f>AW51*Assumptions!$B$249*AW83*(1+Assumptions!$B$175)</f>
        <v/>
      </c>
      <c r="AX127" s="8">
        <f>AX51*Assumptions!$B$249*AX83*(1+Assumptions!$B$175)</f>
        <v/>
      </c>
      <c r="AY127" s="8">
        <f>AY51*Assumptions!$B$249*AY83*(1+Assumptions!$B$175)</f>
        <v/>
      </c>
      <c r="AZ127" s="8">
        <f>AZ51*Assumptions!$B$249*AZ83*(1+Assumptions!$B$175)</f>
        <v/>
      </c>
      <c r="BA127" s="8">
        <f>BA51*Assumptions!$B$249*BA83*(1+Assumptions!$B$175)</f>
        <v/>
      </c>
      <c r="BB127" s="8">
        <f>BB51*Assumptions!$B$249*BB83*(1+Assumptions!$B$175)</f>
        <v/>
      </c>
      <c r="BC127" s="8">
        <f>BC51*Assumptions!$B$249*BC83*(1+Assumptions!$B$175)</f>
        <v/>
      </c>
      <c r="BD127" s="8">
        <f>BD51*Assumptions!$B$249*BD83*(1+Assumptions!$B$175)</f>
        <v/>
      </c>
      <c r="BE127" s="8">
        <f>BE51*Assumptions!$B$249*BE83*(1+Assumptions!$B$175)</f>
        <v/>
      </c>
      <c r="BF127" s="8">
        <f>BF51*Assumptions!$B$249*BF83*(1+Assumptions!$B$175)</f>
        <v/>
      </c>
      <c r="BG127" s="8">
        <f>BG51*Assumptions!$B$249*BG83*(1+Assumptions!$B$175)</f>
        <v/>
      </c>
      <c r="BH127" s="8">
        <f>BH51*Assumptions!$B$249*BH83*(1+Assumptions!$B$175)</f>
        <v/>
      </c>
      <c r="BI127" s="8">
        <f>BI51*Assumptions!$B$249*BI83*(1+Assumptions!$B$175)</f>
        <v/>
      </c>
      <c r="BJ127" s="8">
        <f>BJ51*Assumptions!$B$249*BJ83*(1+Assumptions!$B$175)</f>
        <v/>
      </c>
    </row>
    <row r="128">
      <c r="A128" s="4" t="inlineStr">
        <is>
          <t>People &amp; HR partner</t>
        </is>
      </c>
      <c r="B128" s="17" t="inlineStr">
        <is>
          <t>R</t>
        </is>
      </c>
      <c r="C128" s="8">
        <f>C52*Assumptions!$B$250*C83*(1+Assumptions!$B$175)</f>
        <v/>
      </c>
      <c r="D128" s="8">
        <f>D52*Assumptions!$B$250*D83*(1+Assumptions!$B$175)</f>
        <v/>
      </c>
      <c r="E128" s="8">
        <f>E52*Assumptions!$B$250*E83*(1+Assumptions!$B$175)</f>
        <v/>
      </c>
      <c r="F128" s="8">
        <f>F52*Assumptions!$B$250*F83*(1+Assumptions!$B$175)</f>
        <v/>
      </c>
      <c r="G128" s="8">
        <f>G52*Assumptions!$B$250*G83*(1+Assumptions!$B$175)</f>
        <v/>
      </c>
      <c r="H128" s="8">
        <f>H52*Assumptions!$B$250*H83*(1+Assumptions!$B$175)</f>
        <v/>
      </c>
      <c r="I128" s="8">
        <f>I52*Assumptions!$B$250*I83*(1+Assumptions!$B$175)</f>
        <v/>
      </c>
      <c r="J128" s="8">
        <f>J52*Assumptions!$B$250*J83*(1+Assumptions!$B$175)</f>
        <v/>
      </c>
      <c r="K128" s="8">
        <f>K52*Assumptions!$B$250*K83*(1+Assumptions!$B$175)</f>
        <v/>
      </c>
      <c r="L128" s="8">
        <f>L52*Assumptions!$B$250*L83*(1+Assumptions!$B$175)</f>
        <v/>
      </c>
      <c r="M128" s="8">
        <f>M52*Assumptions!$B$250*M83*(1+Assumptions!$B$175)</f>
        <v/>
      </c>
      <c r="N128" s="8">
        <f>N52*Assumptions!$B$250*N83*(1+Assumptions!$B$175)</f>
        <v/>
      </c>
      <c r="O128" s="8">
        <f>O52*Assumptions!$B$250*O83*(1+Assumptions!$B$175)</f>
        <v/>
      </c>
      <c r="P128" s="8">
        <f>P52*Assumptions!$B$250*P83*(1+Assumptions!$B$175)</f>
        <v/>
      </c>
      <c r="Q128" s="8">
        <f>Q52*Assumptions!$B$250*Q83*(1+Assumptions!$B$175)</f>
        <v/>
      </c>
      <c r="R128" s="8">
        <f>R52*Assumptions!$B$250*R83*(1+Assumptions!$B$175)</f>
        <v/>
      </c>
      <c r="S128" s="8">
        <f>S52*Assumptions!$B$250*S83*(1+Assumptions!$B$175)</f>
        <v/>
      </c>
      <c r="T128" s="8">
        <f>T52*Assumptions!$B$250*T83*(1+Assumptions!$B$175)</f>
        <v/>
      </c>
      <c r="U128" s="8">
        <f>U52*Assumptions!$B$250*U83*(1+Assumptions!$B$175)</f>
        <v/>
      </c>
      <c r="V128" s="8">
        <f>V52*Assumptions!$B$250*V83*(1+Assumptions!$B$175)</f>
        <v/>
      </c>
      <c r="W128" s="8">
        <f>W52*Assumptions!$B$250*W83*(1+Assumptions!$B$175)</f>
        <v/>
      </c>
      <c r="X128" s="8">
        <f>X52*Assumptions!$B$250*X83*(1+Assumptions!$B$175)</f>
        <v/>
      </c>
      <c r="Y128" s="8">
        <f>Y52*Assumptions!$B$250*Y83*(1+Assumptions!$B$175)</f>
        <v/>
      </c>
      <c r="Z128" s="8">
        <f>Z52*Assumptions!$B$250*Z83*(1+Assumptions!$B$175)</f>
        <v/>
      </c>
      <c r="AA128" s="8">
        <f>AA52*Assumptions!$B$250*AA83*(1+Assumptions!$B$175)</f>
        <v/>
      </c>
      <c r="AB128" s="8">
        <f>AB52*Assumptions!$B$250*AB83*(1+Assumptions!$B$175)</f>
        <v/>
      </c>
      <c r="AC128" s="8">
        <f>AC52*Assumptions!$B$250*AC83*(1+Assumptions!$B$175)</f>
        <v/>
      </c>
      <c r="AD128" s="8">
        <f>AD52*Assumptions!$B$250*AD83*(1+Assumptions!$B$175)</f>
        <v/>
      </c>
      <c r="AE128" s="8">
        <f>AE52*Assumptions!$B$250*AE83*(1+Assumptions!$B$175)</f>
        <v/>
      </c>
      <c r="AF128" s="8">
        <f>AF52*Assumptions!$B$250*AF83*(1+Assumptions!$B$175)</f>
        <v/>
      </c>
      <c r="AG128" s="8">
        <f>AG52*Assumptions!$B$250*AG83*(1+Assumptions!$B$175)</f>
        <v/>
      </c>
      <c r="AH128" s="8">
        <f>AH52*Assumptions!$B$250*AH83*(1+Assumptions!$B$175)</f>
        <v/>
      </c>
      <c r="AI128" s="8">
        <f>AI52*Assumptions!$B$250*AI83*(1+Assumptions!$B$175)</f>
        <v/>
      </c>
      <c r="AJ128" s="8">
        <f>AJ52*Assumptions!$B$250*AJ83*(1+Assumptions!$B$175)</f>
        <v/>
      </c>
      <c r="AK128" s="8">
        <f>AK52*Assumptions!$B$250*AK83*(1+Assumptions!$B$175)</f>
        <v/>
      </c>
      <c r="AL128" s="8">
        <f>AL52*Assumptions!$B$250*AL83*(1+Assumptions!$B$175)</f>
        <v/>
      </c>
      <c r="AM128" s="8">
        <f>AM52*Assumptions!$B$250*AM83*(1+Assumptions!$B$175)</f>
        <v/>
      </c>
      <c r="AN128" s="8">
        <f>AN52*Assumptions!$B$250*AN83*(1+Assumptions!$B$175)</f>
        <v/>
      </c>
      <c r="AO128" s="8">
        <f>AO52*Assumptions!$B$250*AO83*(1+Assumptions!$B$175)</f>
        <v/>
      </c>
      <c r="AP128" s="8">
        <f>AP52*Assumptions!$B$250*AP83*(1+Assumptions!$B$175)</f>
        <v/>
      </c>
      <c r="AQ128" s="8">
        <f>AQ52*Assumptions!$B$250*AQ83*(1+Assumptions!$B$175)</f>
        <v/>
      </c>
      <c r="AR128" s="8">
        <f>AR52*Assumptions!$B$250*AR83*(1+Assumptions!$B$175)</f>
        <v/>
      </c>
      <c r="AS128" s="8">
        <f>AS52*Assumptions!$B$250*AS83*(1+Assumptions!$B$175)</f>
        <v/>
      </c>
      <c r="AT128" s="8">
        <f>AT52*Assumptions!$B$250*AT83*(1+Assumptions!$B$175)</f>
        <v/>
      </c>
      <c r="AU128" s="8">
        <f>AU52*Assumptions!$B$250*AU83*(1+Assumptions!$B$175)</f>
        <v/>
      </c>
      <c r="AV128" s="8">
        <f>AV52*Assumptions!$B$250*AV83*(1+Assumptions!$B$175)</f>
        <v/>
      </c>
      <c r="AW128" s="8">
        <f>AW52*Assumptions!$B$250*AW83*(1+Assumptions!$B$175)</f>
        <v/>
      </c>
      <c r="AX128" s="8">
        <f>AX52*Assumptions!$B$250*AX83*(1+Assumptions!$B$175)</f>
        <v/>
      </c>
      <c r="AY128" s="8">
        <f>AY52*Assumptions!$B$250*AY83*(1+Assumptions!$B$175)</f>
        <v/>
      </c>
      <c r="AZ128" s="8">
        <f>AZ52*Assumptions!$B$250*AZ83*(1+Assumptions!$B$175)</f>
        <v/>
      </c>
      <c r="BA128" s="8">
        <f>BA52*Assumptions!$B$250*BA83*(1+Assumptions!$B$175)</f>
        <v/>
      </c>
      <c r="BB128" s="8">
        <f>BB52*Assumptions!$B$250*BB83*(1+Assumptions!$B$175)</f>
        <v/>
      </c>
      <c r="BC128" s="8">
        <f>BC52*Assumptions!$B$250*BC83*(1+Assumptions!$B$175)</f>
        <v/>
      </c>
      <c r="BD128" s="8">
        <f>BD52*Assumptions!$B$250*BD83*(1+Assumptions!$B$175)</f>
        <v/>
      </c>
      <c r="BE128" s="8">
        <f>BE52*Assumptions!$B$250*BE83*(1+Assumptions!$B$175)</f>
        <v/>
      </c>
      <c r="BF128" s="8">
        <f>BF52*Assumptions!$B$250*BF83*(1+Assumptions!$B$175)</f>
        <v/>
      </c>
      <c r="BG128" s="8">
        <f>BG52*Assumptions!$B$250*BG83*(1+Assumptions!$B$175)</f>
        <v/>
      </c>
      <c r="BH128" s="8">
        <f>BH52*Assumptions!$B$250*BH83*(1+Assumptions!$B$175)</f>
        <v/>
      </c>
      <c r="BI128" s="8">
        <f>BI52*Assumptions!$B$250*BI83*(1+Assumptions!$B$175)</f>
        <v/>
      </c>
      <c r="BJ128" s="8">
        <f>BJ52*Assumptions!$B$250*BJ83*(1+Assumptions!$B$175)</f>
        <v/>
      </c>
    </row>
    <row r="129">
      <c r="A129" s="4" t="inlineStr">
        <is>
          <t>Finance analyst</t>
        </is>
      </c>
      <c r="B129" s="17" t="inlineStr">
        <is>
          <t>R</t>
        </is>
      </c>
      <c r="C129" s="8">
        <f>C53*Assumptions!$B$251*C83*(1+Assumptions!$B$175)</f>
        <v/>
      </c>
      <c r="D129" s="8">
        <f>D53*Assumptions!$B$251*D83*(1+Assumptions!$B$175)</f>
        <v/>
      </c>
      <c r="E129" s="8">
        <f>E53*Assumptions!$B$251*E83*(1+Assumptions!$B$175)</f>
        <v/>
      </c>
      <c r="F129" s="8">
        <f>F53*Assumptions!$B$251*F83*(1+Assumptions!$B$175)</f>
        <v/>
      </c>
      <c r="G129" s="8">
        <f>G53*Assumptions!$B$251*G83*(1+Assumptions!$B$175)</f>
        <v/>
      </c>
      <c r="H129" s="8">
        <f>H53*Assumptions!$B$251*H83*(1+Assumptions!$B$175)</f>
        <v/>
      </c>
      <c r="I129" s="8">
        <f>I53*Assumptions!$B$251*I83*(1+Assumptions!$B$175)</f>
        <v/>
      </c>
      <c r="J129" s="8">
        <f>J53*Assumptions!$B$251*J83*(1+Assumptions!$B$175)</f>
        <v/>
      </c>
      <c r="K129" s="8">
        <f>K53*Assumptions!$B$251*K83*(1+Assumptions!$B$175)</f>
        <v/>
      </c>
      <c r="L129" s="8">
        <f>L53*Assumptions!$B$251*L83*(1+Assumptions!$B$175)</f>
        <v/>
      </c>
      <c r="M129" s="8">
        <f>M53*Assumptions!$B$251*M83*(1+Assumptions!$B$175)</f>
        <v/>
      </c>
      <c r="N129" s="8">
        <f>N53*Assumptions!$B$251*N83*(1+Assumptions!$B$175)</f>
        <v/>
      </c>
      <c r="O129" s="8">
        <f>O53*Assumptions!$B$251*O83*(1+Assumptions!$B$175)</f>
        <v/>
      </c>
      <c r="P129" s="8">
        <f>P53*Assumptions!$B$251*P83*(1+Assumptions!$B$175)</f>
        <v/>
      </c>
      <c r="Q129" s="8">
        <f>Q53*Assumptions!$B$251*Q83*(1+Assumptions!$B$175)</f>
        <v/>
      </c>
      <c r="R129" s="8">
        <f>R53*Assumptions!$B$251*R83*(1+Assumptions!$B$175)</f>
        <v/>
      </c>
      <c r="S129" s="8">
        <f>S53*Assumptions!$B$251*S83*(1+Assumptions!$B$175)</f>
        <v/>
      </c>
      <c r="T129" s="8">
        <f>T53*Assumptions!$B$251*T83*(1+Assumptions!$B$175)</f>
        <v/>
      </c>
      <c r="U129" s="8">
        <f>U53*Assumptions!$B$251*U83*(1+Assumptions!$B$175)</f>
        <v/>
      </c>
      <c r="V129" s="8">
        <f>V53*Assumptions!$B$251*V83*(1+Assumptions!$B$175)</f>
        <v/>
      </c>
      <c r="W129" s="8">
        <f>W53*Assumptions!$B$251*W83*(1+Assumptions!$B$175)</f>
        <v/>
      </c>
      <c r="X129" s="8">
        <f>X53*Assumptions!$B$251*X83*(1+Assumptions!$B$175)</f>
        <v/>
      </c>
      <c r="Y129" s="8">
        <f>Y53*Assumptions!$B$251*Y83*(1+Assumptions!$B$175)</f>
        <v/>
      </c>
      <c r="Z129" s="8">
        <f>Z53*Assumptions!$B$251*Z83*(1+Assumptions!$B$175)</f>
        <v/>
      </c>
      <c r="AA129" s="8">
        <f>AA53*Assumptions!$B$251*AA83*(1+Assumptions!$B$175)</f>
        <v/>
      </c>
      <c r="AB129" s="8">
        <f>AB53*Assumptions!$B$251*AB83*(1+Assumptions!$B$175)</f>
        <v/>
      </c>
      <c r="AC129" s="8">
        <f>AC53*Assumptions!$B$251*AC83*(1+Assumptions!$B$175)</f>
        <v/>
      </c>
      <c r="AD129" s="8">
        <f>AD53*Assumptions!$B$251*AD83*(1+Assumptions!$B$175)</f>
        <v/>
      </c>
      <c r="AE129" s="8">
        <f>AE53*Assumptions!$B$251*AE83*(1+Assumptions!$B$175)</f>
        <v/>
      </c>
      <c r="AF129" s="8">
        <f>AF53*Assumptions!$B$251*AF83*(1+Assumptions!$B$175)</f>
        <v/>
      </c>
      <c r="AG129" s="8">
        <f>AG53*Assumptions!$B$251*AG83*(1+Assumptions!$B$175)</f>
        <v/>
      </c>
      <c r="AH129" s="8">
        <f>AH53*Assumptions!$B$251*AH83*(1+Assumptions!$B$175)</f>
        <v/>
      </c>
      <c r="AI129" s="8">
        <f>AI53*Assumptions!$B$251*AI83*(1+Assumptions!$B$175)</f>
        <v/>
      </c>
      <c r="AJ129" s="8">
        <f>AJ53*Assumptions!$B$251*AJ83*(1+Assumptions!$B$175)</f>
        <v/>
      </c>
      <c r="AK129" s="8">
        <f>AK53*Assumptions!$B$251*AK83*(1+Assumptions!$B$175)</f>
        <v/>
      </c>
      <c r="AL129" s="8">
        <f>AL53*Assumptions!$B$251*AL83*(1+Assumptions!$B$175)</f>
        <v/>
      </c>
      <c r="AM129" s="8">
        <f>AM53*Assumptions!$B$251*AM83*(1+Assumptions!$B$175)</f>
        <v/>
      </c>
      <c r="AN129" s="8">
        <f>AN53*Assumptions!$B$251*AN83*(1+Assumptions!$B$175)</f>
        <v/>
      </c>
      <c r="AO129" s="8">
        <f>AO53*Assumptions!$B$251*AO83*(1+Assumptions!$B$175)</f>
        <v/>
      </c>
      <c r="AP129" s="8">
        <f>AP53*Assumptions!$B$251*AP83*(1+Assumptions!$B$175)</f>
        <v/>
      </c>
      <c r="AQ129" s="8">
        <f>AQ53*Assumptions!$B$251*AQ83*(1+Assumptions!$B$175)</f>
        <v/>
      </c>
      <c r="AR129" s="8">
        <f>AR53*Assumptions!$B$251*AR83*(1+Assumptions!$B$175)</f>
        <v/>
      </c>
      <c r="AS129" s="8">
        <f>AS53*Assumptions!$B$251*AS83*(1+Assumptions!$B$175)</f>
        <v/>
      </c>
      <c r="AT129" s="8">
        <f>AT53*Assumptions!$B$251*AT83*(1+Assumptions!$B$175)</f>
        <v/>
      </c>
      <c r="AU129" s="8">
        <f>AU53*Assumptions!$B$251*AU83*(1+Assumptions!$B$175)</f>
        <v/>
      </c>
      <c r="AV129" s="8">
        <f>AV53*Assumptions!$B$251*AV83*(1+Assumptions!$B$175)</f>
        <v/>
      </c>
      <c r="AW129" s="8">
        <f>AW53*Assumptions!$B$251*AW83*(1+Assumptions!$B$175)</f>
        <v/>
      </c>
      <c r="AX129" s="8">
        <f>AX53*Assumptions!$B$251*AX83*(1+Assumptions!$B$175)</f>
        <v/>
      </c>
      <c r="AY129" s="8">
        <f>AY53*Assumptions!$B$251*AY83*(1+Assumptions!$B$175)</f>
        <v/>
      </c>
      <c r="AZ129" s="8">
        <f>AZ53*Assumptions!$B$251*AZ83*(1+Assumptions!$B$175)</f>
        <v/>
      </c>
      <c r="BA129" s="8">
        <f>BA53*Assumptions!$B$251*BA83*(1+Assumptions!$B$175)</f>
        <v/>
      </c>
      <c r="BB129" s="8">
        <f>BB53*Assumptions!$B$251*BB83*(1+Assumptions!$B$175)</f>
        <v/>
      </c>
      <c r="BC129" s="8">
        <f>BC53*Assumptions!$B$251*BC83*(1+Assumptions!$B$175)</f>
        <v/>
      </c>
      <c r="BD129" s="8">
        <f>BD53*Assumptions!$B$251*BD83*(1+Assumptions!$B$175)</f>
        <v/>
      </c>
      <c r="BE129" s="8">
        <f>BE53*Assumptions!$B$251*BE83*(1+Assumptions!$B$175)</f>
        <v/>
      </c>
      <c r="BF129" s="8">
        <f>BF53*Assumptions!$B$251*BF83*(1+Assumptions!$B$175)</f>
        <v/>
      </c>
      <c r="BG129" s="8">
        <f>BG53*Assumptions!$B$251*BG83*(1+Assumptions!$B$175)</f>
        <v/>
      </c>
      <c r="BH129" s="8">
        <f>BH53*Assumptions!$B$251*BH83*(1+Assumptions!$B$175)</f>
        <v/>
      </c>
      <c r="BI129" s="8">
        <f>BI53*Assumptions!$B$251*BI83*(1+Assumptions!$B$175)</f>
        <v/>
      </c>
      <c r="BJ129" s="8">
        <f>BJ53*Assumptions!$B$251*BJ83*(1+Assumptions!$B$175)</f>
        <v/>
      </c>
    </row>
    <row r="130">
      <c r="A130" s="4" t="inlineStr">
        <is>
          <t>CFO</t>
        </is>
      </c>
      <c r="B130" s="17" t="inlineStr">
        <is>
          <t>R</t>
        </is>
      </c>
      <c r="C130" s="8">
        <f>C54*Assumptions!$B$252*C83*(1+Assumptions!$B$175)</f>
        <v/>
      </c>
      <c r="D130" s="8">
        <f>D54*Assumptions!$B$252*D83*(1+Assumptions!$B$175)</f>
        <v/>
      </c>
      <c r="E130" s="8">
        <f>E54*Assumptions!$B$252*E83*(1+Assumptions!$B$175)</f>
        <v/>
      </c>
      <c r="F130" s="8">
        <f>F54*Assumptions!$B$252*F83*(1+Assumptions!$B$175)</f>
        <v/>
      </c>
      <c r="G130" s="8">
        <f>G54*Assumptions!$B$252*G83*(1+Assumptions!$B$175)</f>
        <v/>
      </c>
      <c r="H130" s="8">
        <f>H54*Assumptions!$B$252*H83*(1+Assumptions!$B$175)</f>
        <v/>
      </c>
      <c r="I130" s="8">
        <f>I54*Assumptions!$B$252*I83*(1+Assumptions!$B$175)</f>
        <v/>
      </c>
      <c r="J130" s="8">
        <f>J54*Assumptions!$B$252*J83*(1+Assumptions!$B$175)</f>
        <v/>
      </c>
      <c r="K130" s="8">
        <f>K54*Assumptions!$B$252*K83*(1+Assumptions!$B$175)</f>
        <v/>
      </c>
      <c r="L130" s="8">
        <f>L54*Assumptions!$B$252*L83*(1+Assumptions!$B$175)</f>
        <v/>
      </c>
      <c r="M130" s="8">
        <f>M54*Assumptions!$B$252*M83*(1+Assumptions!$B$175)</f>
        <v/>
      </c>
      <c r="N130" s="8">
        <f>N54*Assumptions!$B$252*N83*(1+Assumptions!$B$175)</f>
        <v/>
      </c>
      <c r="O130" s="8">
        <f>O54*Assumptions!$B$252*O83*(1+Assumptions!$B$175)</f>
        <v/>
      </c>
      <c r="P130" s="8">
        <f>P54*Assumptions!$B$252*P83*(1+Assumptions!$B$175)</f>
        <v/>
      </c>
      <c r="Q130" s="8">
        <f>Q54*Assumptions!$B$252*Q83*(1+Assumptions!$B$175)</f>
        <v/>
      </c>
      <c r="R130" s="8">
        <f>R54*Assumptions!$B$252*R83*(1+Assumptions!$B$175)</f>
        <v/>
      </c>
      <c r="S130" s="8">
        <f>S54*Assumptions!$B$252*S83*(1+Assumptions!$B$175)</f>
        <v/>
      </c>
      <c r="T130" s="8">
        <f>T54*Assumptions!$B$252*T83*(1+Assumptions!$B$175)</f>
        <v/>
      </c>
      <c r="U130" s="8">
        <f>U54*Assumptions!$B$252*U83*(1+Assumptions!$B$175)</f>
        <v/>
      </c>
      <c r="V130" s="8">
        <f>V54*Assumptions!$B$252*V83*(1+Assumptions!$B$175)</f>
        <v/>
      </c>
      <c r="W130" s="8">
        <f>W54*Assumptions!$B$252*W83*(1+Assumptions!$B$175)</f>
        <v/>
      </c>
      <c r="X130" s="8">
        <f>X54*Assumptions!$B$252*X83*(1+Assumptions!$B$175)</f>
        <v/>
      </c>
      <c r="Y130" s="8">
        <f>Y54*Assumptions!$B$252*Y83*(1+Assumptions!$B$175)</f>
        <v/>
      </c>
      <c r="Z130" s="8">
        <f>Z54*Assumptions!$B$252*Z83*(1+Assumptions!$B$175)</f>
        <v/>
      </c>
      <c r="AA130" s="8">
        <f>AA54*Assumptions!$B$252*AA83*(1+Assumptions!$B$175)</f>
        <v/>
      </c>
      <c r="AB130" s="8">
        <f>AB54*Assumptions!$B$252*AB83*(1+Assumptions!$B$175)</f>
        <v/>
      </c>
      <c r="AC130" s="8">
        <f>AC54*Assumptions!$B$252*AC83*(1+Assumptions!$B$175)</f>
        <v/>
      </c>
      <c r="AD130" s="8">
        <f>AD54*Assumptions!$B$252*AD83*(1+Assumptions!$B$175)</f>
        <v/>
      </c>
      <c r="AE130" s="8">
        <f>AE54*Assumptions!$B$252*AE83*(1+Assumptions!$B$175)</f>
        <v/>
      </c>
      <c r="AF130" s="8">
        <f>AF54*Assumptions!$B$252*AF83*(1+Assumptions!$B$175)</f>
        <v/>
      </c>
      <c r="AG130" s="8">
        <f>AG54*Assumptions!$B$252*AG83*(1+Assumptions!$B$175)</f>
        <v/>
      </c>
      <c r="AH130" s="8">
        <f>AH54*Assumptions!$B$252*AH83*(1+Assumptions!$B$175)</f>
        <v/>
      </c>
      <c r="AI130" s="8">
        <f>AI54*Assumptions!$B$252*AI83*(1+Assumptions!$B$175)</f>
        <v/>
      </c>
      <c r="AJ130" s="8">
        <f>AJ54*Assumptions!$B$252*AJ83*(1+Assumptions!$B$175)</f>
        <v/>
      </c>
      <c r="AK130" s="8">
        <f>AK54*Assumptions!$B$252*AK83*(1+Assumptions!$B$175)</f>
        <v/>
      </c>
      <c r="AL130" s="8">
        <f>AL54*Assumptions!$B$252*AL83*(1+Assumptions!$B$175)</f>
        <v/>
      </c>
      <c r="AM130" s="8">
        <f>AM54*Assumptions!$B$252*AM83*(1+Assumptions!$B$175)</f>
        <v/>
      </c>
      <c r="AN130" s="8">
        <f>AN54*Assumptions!$B$252*AN83*(1+Assumptions!$B$175)</f>
        <v/>
      </c>
      <c r="AO130" s="8">
        <f>AO54*Assumptions!$B$252*AO83*(1+Assumptions!$B$175)</f>
        <v/>
      </c>
      <c r="AP130" s="8">
        <f>AP54*Assumptions!$B$252*AP83*(1+Assumptions!$B$175)</f>
        <v/>
      </c>
      <c r="AQ130" s="8">
        <f>AQ54*Assumptions!$B$252*AQ83*(1+Assumptions!$B$175)</f>
        <v/>
      </c>
      <c r="AR130" s="8">
        <f>AR54*Assumptions!$B$252*AR83*(1+Assumptions!$B$175)</f>
        <v/>
      </c>
      <c r="AS130" s="8">
        <f>AS54*Assumptions!$B$252*AS83*(1+Assumptions!$B$175)</f>
        <v/>
      </c>
      <c r="AT130" s="8">
        <f>AT54*Assumptions!$B$252*AT83*(1+Assumptions!$B$175)</f>
        <v/>
      </c>
      <c r="AU130" s="8">
        <f>AU54*Assumptions!$B$252*AU83*(1+Assumptions!$B$175)</f>
        <v/>
      </c>
      <c r="AV130" s="8">
        <f>AV54*Assumptions!$B$252*AV83*(1+Assumptions!$B$175)</f>
        <v/>
      </c>
      <c r="AW130" s="8">
        <f>AW54*Assumptions!$B$252*AW83*(1+Assumptions!$B$175)</f>
        <v/>
      </c>
      <c r="AX130" s="8">
        <f>AX54*Assumptions!$B$252*AX83*(1+Assumptions!$B$175)</f>
        <v/>
      </c>
      <c r="AY130" s="8">
        <f>AY54*Assumptions!$B$252*AY83*(1+Assumptions!$B$175)</f>
        <v/>
      </c>
      <c r="AZ130" s="8">
        <f>AZ54*Assumptions!$B$252*AZ83*(1+Assumptions!$B$175)</f>
        <v/>
      </c>
      <c r="BA130" s="8">
        <f>BA54*Assumptions!$B$252*BA83*(1+Assumptions!$B$175)</f>
        <v/>
      </c>
      <c r="BB130" s="8">
        <f>BB54*Assumptions!$B$252*BB83*(1+Assumptions!$B$175)</f>
        <v/>
      </c>
      <c r="BC130" s="8">
        <f>BC54*Assumptions!$B$252*BC83*(1+Assumptions!$B$175)</f>
        <v/>
      </c>
      <c r="BD130" s="8">
        <f>BD54*Assumptions!$B$252*BD83*(1+Assumptions!$B$175)</f>
        <v/>
      </c>
      <c r="BE130" s="8">
        <f>BE54*Assumptions!$B$252*BE83*(1+Assumptions!$B$175)</f>
        <v/>
      </c>
      <c r="BF130" s="8">
        <f>BF54*Assumptions!$B$252*BF83*(1+Assumptions!$B$175)</f>
        <v/>
      </c>
      <c r="BG130" s="8">
        <f>BG54*Assumptions!$B$252*BG83*(1+Assumptions!$B$175)</f>
        <v/>
      </c>
      <c r="BH130" s="8">
        <f>BH54*Assumptions!$B$252*BH83*(1+Assumptions!$B$175)</f>
        <v/>
      </c>
      <c r="BI130" s="8">
        <f>BI54*Assumptions!$B$252*BI83*(1+Assumptions!$B$175)</f>
        <v/>
      </c>
      <c r="BJ130" s="8">
        <f>BJ54*Assumptions!$B$252*BJ83*(1+Assumptions!$B$175)</f>
        <v/>
      </c>
    </row>
    <row r="131">
      <c r="A131" s="4" t="inlineStr">
        <is>
          <t>CS agents VI</t>
        </is>
      </c>
      <c r="B131" s="17" t="inlineStr">
        <is>
          <t>R</t>
        </is>
      </c>
      <c r="C131" s="8">
        <f>C55*Assumptions!$B$253*C83*(1+Assumptions!$B$175)</f>
        <v/>
      </c>
      <c r="D131" s="8">
        <f>D55*Assumptions!$B$253*D83*(1+Assumptions!$B$175)</f>
        <v/>
      </c>
      <c r="E131" s="8">
        <f>E55*Assumptions!$B$253*E83*(1+Assumptions!$B$175)</f>
        <v/>
      </c>
      <c r="F131" s="8">
        <f>F55*Assumptions!$B$253*F83*(1+Assumptions!$B$175)</f>
        <v/>
      </c>
      <c r="G131" s="8">
        <f>G55*Assumptions!$B$253*G83*(1+Assumptions!$B$175)</f>
        <v/>
      </c>
      <c r="H131" s="8">
        <f>H55*Assumptions!$B$253*H83*(1+Assumptions!$B$175)</f>
        <v/>
      </c>
      <c r="I131" s="8">
        <f>I55*Assumptions!$B$253*I83*(1+Assumptions!$B$175)</f>
        <v/>
      </c>
      <c r="J131" s="8">
        <f>J55*Assumptions!$B$253*J83*(1+Assumptions!$B$175)</f>
        <v/>
      </c>
      <c r="K131" s="8">
        <f>K55*Assumptions!$B$253*K83*(1+Assumptions!$B$175)</f>
        <v/>
      </c>
      <c r="L131" s="8">
        <f>L55*Assumptions!$B$253*L83*(1+Assumptions!$B$175)</f>
        <v/>
      </c>
      <c r="M131" s="8">
        <f>M55*Assumptions!$B$253*M83*(1+Assumptions!$B$175)</f>
        <v/>
      </c>
      <c r="N131" s="8">
        <f>N55*Assumptions!$B$253*N83*(1+Assumptions!$B$175)</f>
        <v/>
      </c>
      <c r="O131" s="8">
        <f>O55*Assumptions!$B$253*O83*(1+Assumptions!$B$175)</f>
        <v/>
      </c>
      <c r="P131" s="8">
        <f>P55*Assumptions!$B$253*P83*(1+Assumptions!$B$175)</f>
        <v/>
      </c>
      <c r="Q131" s="8">
        <f>Q55*Assumptions!$B$253*Q83*(1+Assumptions!$B$175)</f>
        <v/>
      </c>
      <c r="R131" s="8">
        <f>R55*Assumptions!$B$253*R83*(1+Assumptions!$B$175)</f>
        <v/>
      </c>
      <c r="S131" s="8">
        <f>S55*Assumptions!$B$253*S83*(1+Assumptions!$B$175)</f>
        <v/>
      </c>
      <c r="T131" s="8">
        <f>T55*Assumptions!$B$253*T83*(1+Assumptions!$B$175)</f>
        <v/>
      </c>
      <c r="U131" s="8">
        <f>U55*Assumptions!$B$253*U83*(1+Assumptions!$B$175)</f>
        <v/>
      </c>
      <c r="V131" s="8">
        <f>V55*Assumptions!$B$253*V83*(1+Assumptions!$B$175)</f>
        <v/>
      </c>
      <c r="W131" s="8">
        <f>W55*Assumptions!$B$253*W83*(1+Assumptions!$B$175)</f>
        <v/>
      </c>
      <c r="X131" s="8">
        <f>X55*Assumptions!$B$253*X83*(1+Assumptions!$B$175)</f>
        <v/>
      </c>
      <c r="Y131" s="8">
        <f>Y55*Assumptions!$B$253*Y83*(1+Assumptions!$B$175)</f>
        <v/>
      </c>
      <c r="Z131" s="8">
        <f>Z55*Assumptions!$B$253*Z83*(1+Assumptions!$B$175)</f>
        <v/>
      </c>
      <c r="AA131" s="8">
        <f>AA55*Assumptions!$B$253*AA83*(1+Assumptions!$B$175)</f>
        <v/>
      </c>
      <c r="AB131" s="8">
        <f>AB55*Assumptions!$B$253*AB83*(1+Assumptions!$B$175)</f>
        <v/>
      </c>
      <c r="AC131" s="8">
        <f>AC55*Assumptions!$B$253*AC83*(1+Assumptions!$B$175)</f>
        <v/>
      </c>
      <c r="AD131" s="8">
        <f>AD55*Assumptions!$B$253*AD83*(1+Assumptions!$B$175)</f>
        <v/>
      </c>
      <c r="AE131" s="8">
        <f>AE55*Assumptions!$B$253*AE83*(1+Assumptions!$B$175)</f>
        <v/>
      </c>
      <c r="AF131" s="8">
        <f>AF55*Assumptions!$B$253*AF83*(1+Assumptions!$B$175)</f>
        <v/>
      </c>
      <c r="AG131" s="8">
        <f>AG55*Assumptions!$B$253*AG83*(1+Assumptions!$B$175)</f>
        <v/>
      </c>
      <c r="AH131" s="8">
        <f>AH55*Assumptions!$B$253*AH83*(1+Assumptions!$B$175)</f>
        <v/>
      </c>
      <c r="AI131" s="8">
        <f>AI55*Assumptions!$B$253*AI83*(1+Assumptions!$B$175)</f>
        <v/>
      </c>
      <c r="AJ131" s="8">
        <f>AJ55*Assumptions!$B$253*AJ83*(1+Assumptions!$B$175)</f>
        <v/>
      </c>
      <c r="AK131" s="8">
        <f>AK55*Assumptions!$B$253*AK83*(1+Assumptions!$B$175)</f>
        <v/>
      </c>
      <c r="AL131" s="8">
        <f>AL55*Assumptions!$B$253*AL83*(1+Assumptions!$B$175)</f>
        <v/>
      </c>
      <c r="AM131" s="8">
        <f>AM55*Assumptions!$B$253*AM83*(1+Assumptions!$B$175)</f>
        <v/>
      </c>
      <c r="AN131" s="8">
        <f>AN55*Assumptions!$B$253*AN83*(1+Assumptions!$B$175)</f>
        <v/>
      </c>
      <c r="AO131" s="8">
        <f>AO55*Assumptions!$B$253*AO83*(1+Assumptions!$B$175)</f>
        <v/>
      </c>
      <c r="AP131" s="8">
        <f>AP55*Assumptions!$B$253*AP83*(1+Assumptions!$B$175)</f>
        <v/>
      </c>
      <c r="AQ131" s="8">
        <f>AQ55*Assumptions!$B$253*AQ83*(1+Assumptions!$B$175)</f>
        <v/>
      </c>
      <c r="AR131" s="8">
        <f>AR55*Assumptions!$B$253*AR83*(1+Assumptions!$B$175)</f>
        <v/>
      </c>
      <c r="AS131" s="8">
        <f>AS55*Assumptions!$B$253*AS83*(1+Assumptions!$B$175)</f>
        <v/>
      </c>
      <c r="AT131" s="8">
        <f>AT55*Assumptions!$B$253*AT83*(1+Assumptions!$B$175)</f>
        <v/>
      </c>
      <c r="AU131" s="8">
        <f>AU55*Assumptions!$B$253*AU83*(1+Assumptions!$B$175)</f>
        <v/>
      </c>
      <c r="AV131" s="8">
        <f>AV55*Assumptions!$B$253*AV83*(1+Assumptions!$B$175)</f>
        <v/>
      </c>
      <c r="AW131" s="8">
        <f>AW55*Assumptions!$B$253*AW83*(1+Assumptions!$B$175)</f>
        <v/>
      </c>
      <c r="AX131" s="8">
        <f>AX55*Assumptions!$B$253*AX83*(1+Assumptions!$B$175)</f>
        <v/>
      </c>
      <c r="AY131" s="8">
        <f>AY55*Assumptions!$B$253*AY83*(1+Assumptions!$B$175)</f>
        <v/>
      </c>
      <c r="AZ131" s="8">
        <f>AZ55*Assumptions!$B$253*AZ83*(1+Assumptions!$B$175)</f>
        <v/>
      </c>
      <c r="BA131" s="8">
        <f>BA55*Assumptions!$B$253*BA83*(1+Assumptions!$B$175)</f>
        <v/>
      </c>
      <c r="BB131" s="8">
        <f>BB55*Assumptions!$B$253*BB83*(1+Assumptions!$B$175)</f>
        <v/>
      </c>
      <c r="BC131" s="8">
        <f>BC55*Assumptions!$B$253*BC83*(1+Assumptions!$B$175)</f>
        <v/>
      </c>
      <c r="BD131" s="8">
        <f>BD55*Assumptions!$B$253*BD83*(1+Assumptions!$B$175)</f>
        <v/>
      </c>
      <c r="BE131" s="8">
        <f>BE55*Assumptions!$B$253*BE83*(1+Assumptions!$B$175)</f>
        <v/>
      </c>
      <c r="BF131" s="8">
        <f>BF55*Assumptions!$B$253*BF83*(1+Assumptions!$B$175)</f>
        <v/>
      </c>
      <c r="BG131" s="8">
        <f>BG55*Assumptions!$B$253*BG83*(1+Assumptions!$B$175)</f>
        <v/>
      </c>
      <c r="BH131" s="8">
        <f>BH55*Assumptions!$B$253*BH83*(1+Assumptions!$B$175)</f>
        <v/>
      </c>
      <c r="BI131" s="8">
        <f>BI55*Assumptions!$B$253*BI83*(1+Assumptions!$B$175)</f>
        <v/>
      </c>
      <c r="BJ131" s="8">
        <f>BJ55*Assumptions!$B$253*BJ83*(1+Assumptions!$B$175)</f>
        <v/>
      </c>
    </row>
    <row r="132">
      <c r="A132" s="4" t="inlineStr">
        <is>
          <t>Finance, legal &amp; people team expansion</t>
        </is>
      </c>
      <c r="B132" s="17" t="inlineStr">
        <is>
          <t>R</t>
        </is>
      </c>
      <c r="C132" s="8">
        <f>C56*Assumptions!$B$254*C83*(1+Assumptions!$B$175)</f>
        <v/>
      </c>
      <c r="D132" s="8">
        <f>D56*Assumptions!$B$254*D83*(1+Assumptions!$B$175)</f>
        <v/>
      </c>
      <c r="E132" s="8">
        <f>E56*Assumptions!$B$254*E83*(1+Assumptions!$B$175)</f>
        <v/>
      </c>
      <c r="F132" s="8">
        <f>F56*Assumptions!$B$254*F83*(1+Assumptions!$B$175)</f>
        <v/>
      </c>
      <c r="G132" s="8">
        <f>G56*Assumptions!$B$254*G83*(1+Assumptions!$B$175)</f>
        <v/>
      </c>
      <c r="H132" s="8">
        <f>H56*Assumptions!$B$254*H83*(1+Assumptions!$B$175)</f>
        <v/>
      </c>
      <c r="I132" s="8">
        <f>I56*Assumptions!$B$254*I83*(1+Assumptions!$B$175)</f>
        <v/>
      </c>
      <c r="J132" s="8">
        <f>J56*Assumptions!$B$254*J83*(1+Assumptions!$B$175)</f>
        <v/>
      </c>
      <c r="K132" s="8">
        <f>K56*Assumptions!$B$254*K83*(1+Assumptions!$B$175)</f>
        <v/>
      </c>
      <c r="L132" s="8">
        <f>L56*Assumptions!$B$254*L83*(1+Assumptions!$B$175)</f>
        <v/>
      </c>
      <c r="M132" s="8">
        <f>M56*Assumptions!$B$254*M83*(1+Assumptions!$B$175)</f>
        <v/>
      </c>
      <c r="N132" s="8">
        <f>N56*Assumptions!$B$254*N83*(1+Assumptions!$B$175)</f>
        <v/>
      </c>
      <c r="O132" s="8">
        <f>O56*Assumptions!$B$254*O83*(1+Assumptions!$B$175)</f>
        <v/>
      </c>
      <c r="P132" s="8">
        <f>P56*Assumptions!$B$254*P83*(1+Assumptions!$B$175)</f>
        <v/>
      </c>
      <c r="Q132" s="8">
        <f>Q56*Assumptions!$B$254*Q83*(1+Assumptions!$B$175)</f>
        <v/>
      </c>
      <c r="R132" s="8">
        <f>R56*Assumptions!$B$254*R83*(1+Assumptions!$B$175)</f>
        <v/>
      </c>
      <c r="S132" s="8">
        <f>S56*Assumptions!$B$254*S83*(1+Assumptions!$B$175)</f>
        <v/>
      </c>
      <c r="T132" s="8">
        <f>T56*Assumptions!$B$254*T83*(1+Assumptions!$B$175)</f>
        <v/>
      </c>
      <c r="U132" s="8">
        <f>U56*Assumptions!$B$254*U83*(1+Assumptions!$B$175)</f>
        <v/>
      </c>
      <c r="V132" s="8">
        <f>V56*Assumptions!$B$254*V83*(1+Assumptions!$B$175)</f>
        <v/>
      </c>
      <c r="W132" s="8">
        <f>W56*Assumptions!$B$254*W83*(1+Assumptions!$B$175)</f>
        <v/>
      </c>
      <c r="X132" s="8">
        <f>X56*Assumptions!$B$254*X83*(1+Assumptions!$B$175)</f>
        <v/>
      </c>
      <c r="Y132" s="8">
        <f>Y56*Assumptions!$B$254*Y83*(1+Assumptions!$B$175)</f>
        <v/>
      </c>
      <c r="Z132" s="8">
        <f>Z56*Assumptions!$B$254*Z83*(1+Assumptions!$B$175)</f>
        <v/>
      </c>
      <c r="AA132" s="8">
        <f>AA56*Assumptions!$B$254*AA83*(1+Assumptions!$B$175)</f>
        <v/>
      </c>
      <c r="AB132" s="8">
        <f>AB56*Assumptions!$B$254*AB83*(1+Assumptions!$B$175)</f>
        <v/>
      </c>
      <c r="AC132" s="8">
        <f>AC56*Assumptions!$B$254*AC83*(1+Assumptions!$B$175)</f>
        <v/>
      </c>
      <c r="AD132" s="8">
        <f>AD56*Assumptions!$B$254*AD83*(1+Assumptions!$B$175)</f>
        <v/>
      </c>
      <c r="AE132" s="8">
        <f>AE56*Assumptions!$B$254*AE83*(1+Assumptions!$B$175)</f>
        <v/>
      </c>
      <c r="AF132" s="8">
        <f>AF56*Assumptions!$B$254*AF83*(1+Assumptions!$B$175)</f>
        <v/>
      </c>
      <c r="AG132" s="8">
        <f>AG56*Assumptions!$B$254*AG83*(1+Assumptions!$B$175)</f>
        <v/>
      </c>
      <c r="AH132" s="8">
        <f>AH56*Assumptions!$B$254*AH83*(1+Assumptions!$B$175)</f>
        <v/>
      </c>
      <c r="AI132" s="8">
        <f>AI56*Assumptions!$B$254*AI83*(1+Assumptions!$B$175)</f>
        <v/>
      </c>
      <c r="AJ132" s="8">
        <f>AJ56*Assumptions!$B$254*AJ83*(1+Assumptions!$B$175)</f>
        <v/>
      </c>
      <c r="AK132" s="8">
        <f>AK56*Assumptions!$B$254*AK83*(1+Assumptions!$B$175)</f>
        <v/>
      </c>
      <c r="AL132" s="8">
        <f>AL56*Assumptions!$B$254*AL83*(1+Assumptions!$B$175)</f>
        <v/>
      </c>
      <c r="AM132" s="8">
        <f>AM56*Assumptions!$B$254*AM83*(1+Assumptions!$B$175)</f>
        <v/>
      </c>
      <c r="AN132" s="8">
        <f>AN56*Assumptions!$B$254*AN83*(1+Assumptions!$B$175)</f>
        <v/>
      </c>
      <c r="AO132" s="8">
        <f>AO56*Assumptions!$B$254*AO83*(1+Assumptions!$B$175)</f>
        <v/>
      </c>
      <c r="AP132" s="8">
        <f>AP56*Assumptions!$B$254*AP83*(1+Assumptions!$B$175)</f>
        <v/>
      </c>
      <c r="AQ132" s="8">
        <f>AQ56*Assumptions!$B$254*AQ83*(1+Assumptions!$B$175)</f>
        <v/>
      </c>
      <c r="AR132" s="8">
        <f>AR56*Assumptions!$B$254*AR83*(1+Assumptions!$B$175)</f>
        <v/>
      </c>
      <c r="AS132" s="8">
        <f>AS56*Assumptions!$B$254*AS83*(1+Assumptions!$B$175)</f>
        <v/>
      </c>
      <c r="AT132" s="8">
        <f>AT56*Assumptions!$B$254*AT83*(1+Assumptions!$B$175)</f>
        <v/>
      </c>
      <c r="AU132" s="8">
        <f>AU56*Assumptions!$B$254*AU83*(1+Assumptions!$B$175)</f>
        <v/>
      </c>
      <c r="AV132" s="8">
        <f>AV56*Assumptions!$B$254*AV83*(1+Assumptions!$B$175)</f>
        <v/>
      </c>
      <c r="AW132" s="8">
        <f>AW56*Assumptions!$B$254*AW83*(1+Assumptions!$B$175)</f>
        <v/>
      </c>
      <c r="AX132" s="8">
        <f>AX56*Assumptions!$B$254*AX83*(1+Assumptions!$B$175)</f>
        <v/>
      </c>
      <c r="AY132" s="8">
        <f>AY56*Assumptions!$B$254*AY83*(1+Assumptions!$B$175)</f>
        <v/>
      </c>
      <c r="AZ132" s="8">
        <f>AZ56*Assumptions!$B$254*AZ83*(1+Assumptions!$B$175)</f>
        <v/>
      </c>
      <c r="BA132" s="8">
        <f>BA56*Assumptions!$B$254*BA83*(1+Assumptions!$B$175)</f>
        <v/>
      </c>
      <c r="BB132" s="8">
        <f>BB56*Assumptions!$B$254*BB83*(1+Assumptions!$B$175)</f>
        <v/>
      </c>
      <c r="BC132" s="8">
        <f>BC56*Assumptions!$B$254*BC83*(1+Assumptions!$B$175)</f>
        <v/>
      </c>
      <c r="BD132" s="8">
        <f>BD56*Assumptions!$B$254*BD83*(1+Assumptions!$B$175)</f>
        <v/>
      </c>
      <c r="BE132" s="8">
        <f>BE56*Assumptions!$B$254*BE83*(1+Assumptions!$B$175)</f>
        <v/>
      </c>
      <c r="BF132" s="8">
        <f>BF56*Assumptions!$B$254*BF83*(1+Assumptions!$B$175)</f>
        <v/>
      </c>
      <c r="BG132" s="8">
        <f>BG56*Assumptions!$B$254*BG83*(1+Assumptions!$B$175)</f>
        <v/>
      </c>
      <c r="BH132" s="8">
        <f>BH56*Assumptions!$B$254*BH83*(1+Assumptions!$B$175)</f>
        <v/>
      </c>
      <c r="BI132" s="8">
        <f>BI56*Assumptions!$B$254*BI83*(1+Assumptions!$B$175)</f>
        <v/>
      </c>
      <c r="BJ132" s="8">
        <f>BJ56*Assumptions!$B$254*BJ83*(1+Assumptions!$B$175)</f>
        <v/>
      </c>
    </row>
    <row r="133">
      <c r="A133" s="4" t="inlineStr">
        <is>
          <t>Country lead: Nigeria</t>
        </is>
      </c>
      <c r="B133" s="17" t="inlineStr">
        <is>
          <t>R</t>
        </is>
      </c>
      <c r="C133" s="8">
        <f>C57*Assumptions!$B$255*C83*(1+Assumptions!$B$175)</f>
        <v/>
      </c>
      <c r="D133" s="8">
        <f>D57*Assumptions!$B$255*D83*(1+Assumptions!$B$175)</f>
        <v/>
      </c>
      <c r="E133" s="8">
        <f>E57*Assumptions!$B$255*E83*(1+Assumptions!$B$175)</f>
        <v/>
      </c>
      <c r="F133" s="8">
        <f>F57*Assumptions!$B$255*F83*(1+Assumptions!$B$175)</f>
        <v/>
      </c>
      <c r="G133" s="8">
        <f>G57*Assumptions!$B$255*G83*(1+Assumptions!$B$175)</f>
        <v/>
      </c>
      <c r="H133" s="8">
        <f>H57*Assumptions!$B$255*H83*(1+Assumptions!$B$175)</f>
        <v/>
      </c>
      <c r="I133" s="8">
        <f>I57*Assumptions!$B$255*I83*(1+Assumptions!$B$175)</f>
        <v/>
      </c>
      <c r="J133" s="8">
        <f>J57*Assumptions!$B$255*J83*(1+Assumptions!$B$175)</f>
        <v/>
      </c>
      <c r="K133" s="8">
        <f>K57*Assumptions!$B$255*K83*(1+Assumptions!$B$175)</f>
        <v/>
      </c>
      <c r="L133" s="8">
        <f>L57*Assumptions!$B$255*L83*(1+Assumptions!$B$175)</f>
        <v/>
      </c>
      <c r="M133" s="8">
        <f>M57*Assumptions!$B$255*M83*(1+Assumptions!$B$175)</f>
        <v/>
      </c>
      <c r="N133" s="8">
        <f>N57*Assumptions!$B$255*N83*(1+Assumptions!$B$175)</f>
        <v/>
      </c>
      <c r="O133" s="8">
        <f>O57*Assumptions!$B$255*O83*(1+Assumptions!$B$175)</f>
        <v/>
      </c>
      <c r="P133" s="8">
        <f>P57*Assumptions!$B$255*P83*(1+Assumptions!$B$175)</f>
        <v/>
      </c>
      <c r="Q133" s="8">
        <f>Q57*Assumptions!$B$255*Q83*(1+Assumptions!$B$175)</f>
        <v/>
      </c>
      <c r="R133" s="8">
        <f>R57*Assumptions!$B$255*R83*(1+Assumptions!$B$175)</f>
        <v/>
      </c>
      <c r="S133" s="8">
        <f>S57*Assumptions!$B$255*S83*(1+Assumptions!$B$175)</f>
        <v/>
      </c>
      <c r="T133" s="8">
        <f>T57*Assumptions!$B$255*T83*(1+Assumptions!$B$175)</f>
        <v/>
      </c>
      <c r="U133" s="8">
        <f>U57*Assumptions!$B$255*U83*(1+Assumptions!$B$175)</f>
        <v/>
      </c>
      <c r="V133" s="8">
        <f>V57*Assumptions!$B$255*V83*(1+Assumptions!$B$175)</f>
        <v/>
      </c>
      <c r="W133" s="8">
        <f>W57*Assumptions!$B$255*W83*(1+Assumptions!$B$175)</f>
        <v/>
      </c>
      <c r="X133" s="8">
        <f>X57*Assumptions!$B$255*X83*(1+Assumptions!$B$175)</f>
        <v/>
      </c>
      <c r="Y133" s="8">
        <f>Y57*Assumptions!$B$255*Y83*(1+Assumptions!$B$175)</f>
        <v/>
      </c>
      <c r="Z133" s="8">
        <f>Z57*Assumptions!$B$255*Z83*(1+Assumptions!$B$175)</f>
        <v/>
      </c>
      <c r="AA133" s="8">
        <f>AA57*Assumptions!$B$255*AA83*(1+Assumptions!$B$175)</f>
        <v/>
      </c>
      <c r="AB133" s="8">
        <f>AB57*Assumptions!$B$255*AB83*(1+Assumptions!$B$175)</f>
        <v/>
      </c>
      <c r="AC133" s="8">
        <f>AC57*Assumptions!$B$255*AC83*(1+Assumptions!$B$175)</f>
        <v/>
      </c>
      <c r="AD133" s="8">
        <f>AD57*Assumptions!$B$255*AD83*(1+Assumptions!$B$175)</f>
        <v/>
      </c>
      <c r="AE133" s="8">
        <f>AE57*Assumptions!$B$255*AE83*(1+Assumptions!$B$175)</f>
        <v/>
      </c>
      <c r="AF133" s="8">
        <f>AF57*Assumptions!$B$255*AF83*(1+Assumptions!$B$175)</f>
        <v/>
      </c>
      <c r="AG133" s="8">
        <f>AG57*Assumptions!$B$255*AG83*(1+Assumptions!$B$175)</f>
        <v/>
      </c>
      <c r="AH133" s="8">
        <f>AH57*Assumptions!$B$255*AH83*(1+Assumptions!$B$175)</f>
        <v/>
      </c>
      <c r="AI133" s="8">
        <f>AI57*Assumptions!$B$255*AI83*(1+Assumptions!$B$175)</f>
        <v/>
      </c>
      <c r="AJ133" s="8">
        <f>AJ57*Assumptions!$B$255*AJ83*(1+Assumptions!$B$175)</f>
        <v/>
      </c>
      <c r="AK133" s="8">
        <f>AK57*Assumptions!$B$255*AK83*(1+Assumptions!$B$175)</f>
        <v/>
      </c>
      <c r="AL133" s="8">
        <f>AL57*Assumptions!$B$255*AL83*(1+Assumptions!$B$175)</f>
        <v/>
      </c>
      <c r="AM133" s="8">
        <f>AM57*Assumptions!$B$255*AM83*(1+Assumptions!$B$175)</f>
        <v/>
      </c>
      <c r="AN133" s="8">
        <f>AN57*Assumptions!$B$255*AN83*(1+Assumptions!$B$175)</f>
        <v/>
      </c>
      <c r="AO133" s="8">
        <f>AO57*Assumptions!$B$255*AO83*(1+Assumptions!$B$175)</f>
        <v/>
      </c>
      <c r="AP133" s="8">
        <f>AP57*Assumptions!$B$255*AP83*(1+Assumptions!$B$175)</f>
        <v/>
      </c>
      <c r="AQ133" s="8">
        <f>AQ57*Assumptions!$B$255*AQ83*(1+Assumptions!$B$175)</f>
        <v/>
      </c>
      <c r="AR133" s="8">
        <f>AR57*Assumptions!$B$255*AR83*(1+Assumptions!$B$175)</f>
        <v/>
      </c>
      <c r="AS133" s="8">
        <f>AS57*Assumptions!$B$255*AS83*(1+Assumptions!$B$175)</f>
        <v/>
      </c>
      <c r="AT133" s="8">
        <f>AT57*Assumptions!$B$255*AT83*(1+Assumptions!$B$175)</f>
        <v/>
      </c>
      <c r="AU133" s="8">
        <f>AU57*Assumptions!$B$255*AU83*(1+Assumptions!$B$175)</f>
        <v/>
      </c>
      <c r="AV133" s="8">
        <f>AV57*Assumptions!$B$255*AV83*(1+Assumptions!$B$175)</f>
        <v/>
      </c>
      <c r="AW133" s="8">
        <f>AW57*Assumptions!$B$255*AW83*(1+Assumptions!$B$175)</f>
        <v/>
      </c>
      <c r="AX133" s="8">
        <f>AX57*Assumptions!$B$255*AX83*(1+Assumptions!$B$175)</f>
        <v/>
      </c>
      <c r="AY133" s="8">
        <f>AY57*Assumptions!$B$255*AY83*(1+Assumptions!$B$175)</f>
        <v/>
      </c>
      <c r="AZ133" s="8">
        <f>AZ57*Assumptions!$B$255*AZ83*(1+Assumptions!$B$175)</f>
        <v/>
      </c>
      <c r="BA133" s="8">
        <f>BA57*Assumptions!$B$255*BA83*(1+Assumptions!$B$175)</f>
        <v/>
      </c>
      <c r="BB133" s="8">
        <f>BB57*Assumptions!$B$255*BB83*(1+Assumptions!$B$175)</f>
        <v/>
      </c>
      <c r="BC133" s="8">
        <f>BC57*Assumptions!$B$255*BC83*(1+Assumptions!$B$175)</f>
        <v/>
      </c>
      <c r="BD133" s="8">
        <f>BD57*Assumptions!$B$255*BD83*(1+Assumptions!$B$175)</f>
        <v/>
      </c>
      <c r="BE133" s="8">
        <f>BE57*Assumptions!$B$255*BE83*(1+Assumptions!$B$175)</f>
        <v/>
      </c>
      <c r="BF133" s="8">
        <f>BF57*Assumptions!$B$255*BF83*(1+Assumptions!$B$175)</f>
        <v/>
      </c>
      <c r="BG133" s="8">
        <f>BG57*Assumptions!$B$255*BG83*(1+Assumptions!$B$175)</f>
        <v/>
      </c>
      <c r="BH133" s="8">
        <f>BH57*Assumptions!$B$255*BH83*(1+Assumptions!$B$175)</f>
        <v/>
      </c>
      <c r="BI133" s="8">
        <f>BI57*Assumptions!$B$255*BI83*(1+Assumptions!$B$175)</f>
        <v/>
      </c>
      <c r="BJ133" s="8">
        <f>BJ57*Assumptions!$B$255*BJ83*(1+Assumptions!$B$175)</f>
        <v/>
      </c>
    </row>
    <row r="134">
      <c r="A134" s="4" t="inlineStr">
        <is>
          <t>Nigeria sales &amp; CS</t>
        </is>
      </c>
      <c r="B134" s="17" t="inlineStr">
        <is>
          <t>R</t>
        </is>
      </c>
      <c r="C134" s="8">
        <f>C58*Assumptions!$B$256*C83*(1+Assumptions!$B$175)</f>
        <v/>
      </c>
      <c r="D134" s="8">
        <f>D58*Assumptions!$B$256*D83*(1+Assumptions!$B$175)</f>
        <v/>
      </c>
      <c r="E134" s="8">
        <f>E58*Assumptions!$B$256*E83*(1+Assumptions!$B$175)</f>
        <v/>
      </c>
      <c r="F134" s="8">
        <f>F58*Assumptions!$B$256*F83*(1+Assumptions!$B$175)</f>
        <v/>
      </c>
      <c r="G134" s="8">
        <f>G58*Assumptions!$B$256*G83*(1+Assumptions!$B$175)</f>
        <v/>
      </c>
      <c r="H134" s="8">
        <f>H58*Assumptions!$B$256*H83*(1+Assumptions!$B$175)</f>
        <v/>
      </c>
      <c r="I134" s="8">
        <f>I58*Assumptions!$B$256*I83*(1+Assumptions!$B$175)</f>
        <v/>
      </c>
      <c r="J134" s="8">
        <f>J58*Assumptions!$B$256*J83*(1+Assumptions!$B$175)</f>
        <v/>
      </c>
      <c r="K134" s="8">
        <f>K58*Assumptions!$B$256*K83*(1+Assumptions!$B$175)</f>
        <v/>
      </c>
      <c r="L134" s="8">
        <f>L58*Assumptions!$B$256*L83*(1+Assumptions!$B$175)</f>
        <v/>
      </c>
      <c r="M134" s="8">
        <f>M58*Assumptions!$B$256*M83*(1+Assumptions!$B$175)</f>
        <v/>
      </c>
      <c r="N134" s="8">
        <f>N58*Assumptions!$B$256*N83*(1+Assumptions!$B$175)</f>
        <v/>
      </c>
      <c r="O134" s="8">
        <f>O58*Assumptions!$B$256*O83*(1+Assumptions!$B$175)</f>
        <v/>
      </c>
      <c r="P134" s="8">
        <f>P58*Assumptions!$B$256*P83*(1+Assumptions!$B$175)</f>
        <v/>
      </c>
      <c r="Q134" s="8">
        <f>Q58*Assumptions!$B$256*Q83*(1+Assumptions!$B$175)</f>
        <v/>
      </c>
      <c r="R134" s="8">
        <f>R58*Assumptions!$B$256*R83*(1+Assumptions!$B$175)</f>
        <v/>
      </c>
      <c r="S134" s="8">
        <f>S58*Assumptions!$B$256*S83*(1+Assumptions!$B$175)</f>
        <v/>
      </c>
      <c r="T134" s="8">
        <f>T58*Assumptions!$B$256*T83*(1+Assumptions!$B$175)</f>
        <v/>
      </c>
      <c r="U134" s="8">
        <f>U58*Assumptions!$B$256*U83*(1+Assumptions!$B$175)</f>
        <v/>
      </c>
      <c r="V134" s="8">
        <f>V58*Assumptions!$B$256*V83*(1+Assumptions!$B$175)</f>
        <v/>
      </c>
      <c r="W134" s="8">
        <f>W58*Assumptions!$B$256*W83*(1+Assumptions!$B$175)</f>
        <v/>
      </c>
      <c r="X134" s="8">
        <f>X58*Assumptions!$B$256*X83*(1+Assumptions!$B$175)</f>
        <v/>
      </c>
      <c r="Y134" s="8">
        <f>Y58*Assumptions!$B$256*Y83*(1+Assumptions!$B$175)</f>
        <v/>
      </c>
      <c r="Z134" s="8">
        <f>Z58*Assumptions!$B$256*Z83*(1+Assumptions!$B$175)</f>
        <v/>
      </c>
      <c r="AA134" s="8">
        <f>AA58*Assumptions!$B$256*AA83*(1+Assumptions!$B$175)</f>
        <v/>
      </c>
      <c r="AB134" s="8">
        <f>AB58*Assumptions!$B$256*AB83*(1+Assumptions!$B$175)</f>
        <v/>
      </c>
      <c r="AC134" s="8">
        <f>AC58*Assumptions!$B$256*AC83*(1+Assumptions!$B$175)</f>
        <v/>
      </c>
      <c r="AD134" s="8">
        <f>AD58*Assumptions!$B$256*AD83*(1+Assumptions!$B$175)</f>
        <v/>
      </c>
      <c r="AE134" s="8">
        <f>AE58*Assumptions!$B$256*AE83*(1+Assumptions!$B$175)</f>
        <v/>
      </c>
      <c r="AF134" s="8">
        <f>AF58*Assumptions!$B$256*AF83*(1+Assumptions!$B$175)</f>
        <v/>
      </c>
      <c r="AG134" s="8">
        <f>AG58*Assumptions!$B$256*AG83*(1+Assumptions!$B$175)</f>
        <v/>
      </c>
      <c r="AH134" s="8">
        <f>AH58*Assumptions!$B$256*AH83*(1+Assumptions!$B$175)</f>
        <v/>
      </c>
      <c r="AI134" s="8">
        <f>AI58*Assumptions!$B$256*AI83*(1+Assumptions!$B$175)</f>
        <v/>
      </c>
      <c r="AJ134" s="8">
        <f>AJ58*Assumptions!$B$256*AJ83*(1+Assumptions!$B$175)</f>
        <v/>
      </c>
      <c r="AK134" s="8">
        <f>AK58*Assumptions!$B$256*AK83*(1+Assumptions!$B$175)</f>
        <v/>
      </c>
      <c r="AL134" s="8">
        <f>AL58*Assumptions!$B$256*AL83*(1+Assumptions!$B$175)</f>
        <v/>
      </c>
      <c r="AM134" s="8">
        <f>AM58*Assumptions!$B$256*AM83*(1+Assumptions!$B$175)</f>
        <v/>
      </c>
      <c r="AN134" s="8">
        <f>AN58*Assumptions!$B$256*AN83*(1+Assumptions!$B$175)</f>
        <v/>
      </c>
      <c r="AO134" s="8">
        <f>AO58*Assumptions!$B$256*AO83*(1+Assumptions!$B$175)</f>
        <v/>
      </c>
      <c r="AP134" s="8">
        <f>AP58*Assumptions!$B$256*AP83*(1+Assumptions!$B$175)</f>
        <v/>
      </c>
      <c r="AQ134" s="8">
        <f>AQ58*Assumptions!$B$256*AQ83*(1+Assumptions!$B$175)</f>
        <v/>
      </c>
      <c r="AR134" s="8">
        <f>AR58*Assumptions!$B$256*AR83*(1+Assumptions!$B$175)</f>
        <v/>
      </c>
      <c r="AS134" s="8">
        <f>AS58*Assumptions!$B$256*AS83*(1+Assumptions!$B$175)</f>
        <v/>
      </c>
      <c r="AT134" s="8">
        <f>AT58*Assumptions!$B$256*AT83*(1+Assumptions!$B$175)</f>
        <v/>
      </c>
      <c r="AU134" s="8">
        <f>AU58*Assumptions!$B$256*AU83*(1+Assumptions!$B$175)</f>
        <v/>
      </c>
      <c r="AV134" s="8">
        <f>AV58*Assumptions!$B$256*AV83*(1+Assumptions!$B$175)</f>
        <v/>
      </c>
      <c r="AW134" s="8">
        <f>AW58*Assumptions!$B$256*AW83*(1+Assumptions!$B$175)</f>
        <v/>
      </c>
      <c r="AX134" s="8">
        <f>AX58*Assumptions!$B$256*AX83*(1+Assumptions!$B$175)</f>
        <v/>
      </c>
      <c r="AY134" s="8">
        <f>AY58*Assumptions!$B$256*AY83*(1+Assumptions!$B$175)</f>
        <v/>
      </c>
      <c r="AZ134" s="8">
        <f>AZ58*Assumptions!$B$256*AZ83*(1+Assumptions!$B$175)</f>
        <v/>
      </c>
      <c r="BA134" s="8">
        <f>BA58*Assumptions!$B$256*BA83*(1+Assumptions!$B$175)</f>
        <v/>
      </c>
      <c r="BB134" s="8">
        <f>BB58*Assumptions!$B$256*BB83*(1+Assumptions!$B$175)</f>
        <v/>
      </c>
      <c r="BC134" s="8">
        <f>BC58*Assumptions!$B$256*BC83*(1+Assumptions!$B$175)</f>
        <v/>
      </c>
      <c r="BD134" s="8">
        <f>BD58*Assumptions!$B$256*BD83*(1+Assumptions!$B$175)</f>
        <v/>
      </c>
      <c r="BE134" s="8">
        <f>BE58*Assumptions!$B$256*BE83*(1+Assumptions!$B$175)</f>
        <v/>
      </c>
      <c r="BF134" s="8">
        <f>BF58*Assumptions!$B$256*BF83*(1+Assumptions!$B$175)</f>
        <v/>
      </c>
      <c r="BG134" s="8">
        <f>BG58*Assumptions!$B$256*BG83*(1+Assumptions!$B$175)</f>
        <v/>
      </c>
      <c r="BH134" s="8">
        <f>BH58*Assumptions!$B$256*BH83*(1+Assumptions!$B$175)</f>
        <v/>
      </c>
      <c r="BI134" s="8">
        <f>BI58*Assumptions!$B$256*BI83*(1+Assumptions!$B$175)</f>
        <v/>
      </c>
      <c r="BJ134" s="8">
        <f>BJ58*Assumptions!$B$256*BJ83*(1+Assumptions!$B$175)</f>
        <v/>
      </c>
    </row>
    <row r="135">
      <c r="A135" s="4" t="inlineStr">
        <is>
          <t>Nigeria team expansion</t>
        </is>
      </c>
      <c r="B135" s="17" t="inlineStr">
        <is>
          <t>R</t>
        </is>
      </c>
      <c r="C135" s="8">
        <f>C59*Assumptions!$B$257*C83*(1+Assumptions!$B$175)</f>
        <v/>
      </c>
      <c r="D135" s="8">
        <f>D59*Assumptions!$B$257*D83*(1+Assumptions!$B$175)</f>
        <v/>
      </c>
      <c r="E135" s="8">
        <f>E59*Assumptions!$B$257*E83*(1+Assumptions!$B$175)</f>
        <v/>
      </c>
      <c r="F135" s="8">
        <f>F59*Assumptions!$B$257*F83*(1+Assumptions!$B$175)</f>
        <v/>
      </c>
      <c r="G135" s="8">
        <f>G59*Assumptions!$B$257*G83*(1+Assumptions!$B$175)</f>
        <v/>
      </c>
      <c r="H135" s="8">
        <f>H59*Assumptions!$B$257*H83*(1+Assumptions!$B$175)</f>
        <v/>
      </c>
      <c r="I135" s="8">
        <f>I59*Assumptions!$B$257*I83*(1+Assumptions!$B$175)</f>
        <v/>
      </c>
      <c r="J135" s="8">
        <f>J59*Assumptions!$B$257*J83*(1+Assumptions!$B$175)</f>
        <v/>
      </c>
      <c r="K135" s="8">
        <f>K59*Assumptions!$B$257*K83*(1+Assumptions!$B$175)</f>
        <v/>
      </c>
      <c r="L135" s="8">
        <f>L59*Assumptions!$B$257*L83*(1+Assumptions!$B$175)</f>
        <v/>
      </c>
      <c r="M135" s="8">
        <f>M59*Assumptions!$B$257*M83*(1+Assumptions!$B$175)</f>
        <v/>
      </c>
      <c r="N135" s="8">
        <f>N59*Assumptions!$B$257*N83*(1+Assumptions!$B$175)</f>
        <v/>
      </c>
      <c r="O135" s="8">
        <f>O59*Assumptions!$B$257*O83*(1+Assumptions!$B$175)</f>
        <v/>
      </c>
      <c r="P135" s="8">
        <f>P59*Assumptions!$B$257*P83*(1+Assumptions!$B$175)</f>
        <v/>
      </c>
      <c r="Q135" s="8">
        <f>Q59*Assumptions!$B$257*Q83*(1+Assumptions!$B$175)</f>
        <v/>
      </c>
      <c r="R135" s="8">
        <f>R59*Assumptions!$B$257*R83*(1+Assumptions!$B$175)</f>
        <v/>
      </c>
      <c r="S135" s="8">
        <f>S59*Assumptions!$B$257*S83*(1+Assumptions!$B$175)</f>
        <v/>
      </c>
      <c r="T135" s="8">
        <f>T59*Assumptions!$B$257*T83*(1+Assumptions!$B$175)</f>
        <v/>
      </c>
      <c r="U135" s="8">
        <f>U59*Assumptions!$B$257*U83*(1+Assumptions!$B$175)</f>
        <v/>
      </c>
      <c r="V135" s="8">
        <f>V59*Assumptions!$B$257*V83*(1+Assumptions!$B$175)</f>
        <v/>
      </c>
      <c r="W135" s="8">
        <f>W59*Assumptions!$B$257*W83*(1+Assumptions!$B$175)</f>
        <v/>
      </c>
      <c r="X135" s="8">
        <f>X59*Assumptions!$B$257*X83*(1+Assumptions!$B$175)</f>
        <v/>
      </c>
      <c r="Y135" s="8">
        <f>Y59*Assumptions!$B$257*Y83*(1+Assumptions!$B$175)</f>
        <v/>
      </c>
      <c r="Z135" s="8">
        <f>Z59*Assumptions!$B$257*Z83*(1+Assumptions!$B$175)</f>
        <v/>
      </c>
      <c r="AA135" s="8">
        <f>AA59*Assumptions!$B$257*AA83*(1+Assumptions!$B$175)</f>
        <v/>
      </c>
      <c r="AB135" s="8">
        <f>AB59*Assumptions!$B$257*AB83*(1+Assumptions!$B$175)</f>
        <v/>
      </c>
      <c r="AC135" s="8">
        <f>AC59*Assumptions!$B$257*AC83*(1+Assumptions!$B$175)</f>
        <v/>
      </c>
      <c r="AD135" s="8">
        <f>AD59*Assumptions!$B$257*AD83*(1+Assumptions!$B$175)</f>
        <v/>
      </c>
      <c r="AE135" s="8">
        <f>AE59*Assumptions!$B$257*AE83*(1+Assumptions!$B$175)</f>
        <v/>
      </c>
      <c r="AF135" s="8">
        <f>AF59*Assumptions!$B$257*AF83*(1+Assumptions!$B$175)</f>
        <v/>
      </c>
      <c r="AG135" s="8">
        <f>AG59*Assumptions!$B$257*AG83*(1+Assumptions!$B$175)</f>
        <v/>
      </c>
      <c r="AH135" s="8">
        <f>AH59*Assumptions!$B$257*AH83*(1+Assumptions!$B$175)</f>
        <v/>
      </c>
      <c r="AI135" s="8">
        <f>AI59*Assumptions!$B$257*AI83*(1+Assumptions!$B$175)</f>
        <v/>
      </c>
      <c r="AJ135" s="8">
        <f>AJ59*Assumptions!$B$257*AJ83*(1+Assumptions!$B$175)</f>
        <v/>
      </c>
      <c r="AK135" s="8">
        <f>AK59*Assumptions!$B$257*AK83*(1+Assumptions!$B$175)</f>
        <v/>
      </c>
      <c r="AL135" s="8">
        <f>AL59*Assumptions!$B$257*AL83*(1+Assumptions!$B$175)</f>
        <v/>
      </c>
      <c r="AM135" s="8">
        <f>AM59*Assumptions!$B$257*AM83*(1+Assumptions!$B$175)</f>
        <v/>
      </c>
      <c r="AN135" s="8">
        <f>AN59*Assumptions!$B$257*AN83*(1+Assumptions!$B$175)</f>
        <v/>
      </c>
      <c r="AO135" s="8">
        <f>AO59*Assumptions!$B$257*AO83*(1+Assumptions!$B$175)</f>
        <v/>
      </c>
      <c r="AP135" s="8">
        <f>AP59*Assumptions!$B$257*AP83*(1+Assumptions!$B$175)</f>
        <v/>
      </c>
      <c r="AQ135" s="8">
        <f>AQ59*Assumptions!$B$257*AQ83*(1+Assumptions!$B$175)</f>
        <v/>
      </c>
      <c r="AR135" s="8">
        <f>AR59*Assumptions!$B$257*AR83*(1+Assumptions!$B$175)</f>
        <v/>
      </c>
      <c r="AS135" s="8">
        <f>AS59*Assumptions!$B$257*AS83*(1+Assumptions!$B$175)</f>
        <v/>
      </c>
      <c r="AT135" s="8">
        <f>AT59*Assumptions!$B$257*AT83*(1+Assumptions!$B$175)</f>
        <v/>
      </c>
      <c r="AU135" s="8">
        <f>AU59*Assumptions!$B$257*AU83*(1+Assumptions!$B$175)</f>
        <v/>
      </c>
      <c r="AV135" s="8">
        <f>AV59*Assumptions!$B$257*AV83*(1+Assumptions!$B$175)</f>
        <v/>
      </c>
      <c r="AW135" s="8">
        <f>AW59*Assumptions!$B$257*AW83*(1+Assumptions!$B$175)</f>
        <v/>
      </c>
      <c r="AX135" s="8">
        <f>AX59*Assumptions!$B$257*AX83*(1+Assumptions!$B$175)</f>
        <v/>
      </c>
      <c r="AY135" s="8">
        <f>AY59*Assumptions!$B$257*AY83*(1+Assumptions!$B$175)</f>
        <v/>
      </c>
      <c r="AZ135" s="8">
        <f>AZ59*Assumptions!$B$257*AZ83*(1+Assumptions!$B$175)</f>
        <v/>
      </c>
      <c r="BA135" s="8">
        <f>BA59*Assumptions!$B$257*BA83*(1+Assumptions!$B$175)</f>
        <v/>
      </c>
      <c r="BB135" s="8">
        <f>BB59*Assumptions!$B$257*BB83*(1+Assumptions!$B$175)</f>
        <v/>
      </c>
      <c r="BC135" s="8">
        <f>BC59*Assumptions!$B$257*BC83*(1+Assumptions!$B$175)</f>
        <v/>
      </c>
      <c r="BD135" s="8">
        <f>BD59*Assumptions!$B$257*BD83*(1+Assumptions!$B$175)</f>
        <v/>
      </c>
      <c r="BE135" s="8">
        <f>BE59*Assumptions!$B$257*BE83*(1+Assumptions!$B$175)</f>
        <v/>
      </c>
      <c r="BF135" s="8">
        <f>BF59*Assumptions!$B$257*BF83*(1+Assumptions!$B$175)</f>
        <v/>
      </c>
      <c r="BG135" s="8">
        <f>BG59*Assumptions!$B$257*BG83*(1+Assumptions!$B$175)</f>
        <v/>
      </c>
      <c r="BH135" s="8">
        <f>BH59*Assumptions!$B$257*BH83*(1+Assumptions!$B$175)</f>
        <v/>
      </c>
      <c r="BI135" s="8">
        <f>BI59*Assumptions!$B$257*BI83*(1+Assumptions!$B$175)</f>
        <v/>
      </c>
      <c r="BJ135" s="8">
        <f>BJ59*Assumptions!$B$257*BJ83*(1+Assumptions!$B$175)</f>
        <v/>
      </c>
    </row>
    <row r="136">
      <c r="A136" s="4" t="inlineStr">
        <is>
          <t>Country lead: Kenya</t>
        </is>
      </c>
      <c r="B136" s="17" t="inlineStr">
        <is>
          <t>R</t>
        </is>
      </c>
      <c r="C136" s="8">
        <f>C60*Assumptions!$B$258*C83*(1+Assumptions!$B$175)</f>
        <v/>
      </c>
      <c r="D136" s="8">
        <f>D60*Assumptions!$B$258*D83*(1+Assumptions!$B$175)</f>
        <v/>
      </c>
      <c r="E136" s="8">
        <f>E60*Assumptions!$B$258*E83*(1+Assumptions!$B$175)</f>
        <v/>
      </c>
      <c r="F136" s="8">
        <f>F60*Assumptions!$B$258*F83*(1+Assumptions!$B$175)</f>
        <v/>
      </c>
      <c r="G136" s="8">
        <f>G60*Assumptions!$B$258*G83*(1+Assumptions!$B$175)</f>
        <v/>
      </c>
      <c r="H136" s="8">
        <f>H60*Assumptions!$B$258*H83*(1+Assumptions!$B$175)</f>
        <v/>
      </c>
      <c r="I136" s="8">
        <f>I60*Assumptions!$B$258*I83*(1+Assumptions!$B$175)</f>
        <v/>
      </c>
      <c r="J136" s="8">
        <f>J60*Assumptions!$B$258*J83*(1+Assumptions!$B$175)</f>
        <v/>
      </c>
      <c r="K136" s="8">
        <f>K60*Assumptions!$B$258*K83*(1+Assumptions!$B$175)</f>
        <v/>
      </c>
      <c r="L136" s="8">
        <f>L60*Assumptions!$B$258*L83*(1+Assumptions!$B$175)</f>
        <v/>
      </c>
      <c r="M136" s="8">
        <f>M60*Assumptions!$B$258*M83*(1+Assumptions!$B$175)</f>
        <v/>
      </c>
      <c r="N136" s="8">
        <f>N60*Assumptions!$B$258*N83*(1+Assumptions!$B$175)</f>
        <v/>
      </c>
      <c r="O136" s="8">
        <f>O60*Assumptions!$B$258*O83*(1+Assumptions!$B$175)</f>
        <v/>
      </c>
      <c r="P136" s="8">
        <f>P60*Assumptions!$B$258*P83*(1+Assumptions!$B$175)</f>
        <v/>
      </c>
      <c r="Q136" s="8">
        <f>Q60*Assumptions!$B$258*Q83*(1+Assumptions!$B$175)</f>
        <v/>
      </c>
      <c r="R136" s="8">
        <f>R60*Assumptions!$B$258*R83*(1+Assumptions!$B$175)</f>
        <v/>
      </c>
      <c r="S136" s="8">
        <f>S60*Assumptions!$B$258*S83*(1+Assumptions!$B$175)</f>
        <v/>
      </c>
      <c r="T136" s="8">
        <f>T60*Assumptions!$B$258*T83*(1+Assumptions!$B$175)</f>
        <v/>
      </c>
      <c r="U136" s="8">
        <f>U60*Assumptions!$B$258*U83*(1+Assumptions!$B$175)</f>
        <v/>
      </c>
      <c r="V136" s="8">
        <f>V60*Assumptions!$B$258*V83*(1+Assumptions!$B$175)</f>
        <v/>
      </c>
      <c r="W136" s="8">
        <f>W60*Assumptions!$B$258*W83*(1+Assumptions!$B$175)</f>
        <v/>
      </c>
      <c r="X136" s="8">
        <f>X60*Assumptions!$B$258*X83*(1+Assumptions!$B$175)</f>
        <v/>
      </c>
      <c r="Y136" s="8">
        <f>Y60*Assumptions!$B$258*Y83*(1+Assumptions!$B$175)</f>
        <v/>
      </c>
      <c r="Z136" s="8">
        <f>Z60*Assumptions!$B$258*Z83*(1+Assumptions!$B$175)</f>
        <v/>
      </c>
      <c r="AA136" s="8">
        <f>AA60*Assumptions!$B$258*AA83*(1+Assumptions!$B$175)</f>
        <v/>
      </c>
      <c r="AB136" s="8">
        <f>AB60*Assumptions!$B$258*AB83*(1+Assumptions!$B$175)</f>
        <v/>
      </c>
      <c r="AC136" s="8">
        <f>AC60*Assumptions!$B$258*AC83*(1+Assumptions!$B$175)</f>
        <v/>
      </c>
      <c r="AD136" s="8">
        <f>AD60*Assumptions!$B$258*AD83*(1+Assumptions!$B$175)</f>
        <v/>
      </c>
      <c r="AE136" s="8">
        <f>AE60*Assumptions!$B$258*AE83*(1+Assumptions!$B$175)</f>
        <v/>
      </c>
      <c r="AF136" s="8">
        <f>AF60*Assumptions!$B$258*AF83*(1+Assumptions!$B$175)</f>
        <v/>
      </c>
      <c r="AG136" s="8">
        <f>AG60*Assumptions!$B$258*AG83*(1+Assumptions!$B$175)</f>
        <v/>
      </c>
      <c r="AH136" s="8">
        <f>AH60*Assumptions!$B$258*AH83*(1+Assumptions!$B$175)</f>
        <v/>
      </c>
      <c r="AI136" s="8">
        <f>AI60*Assumptions!$B$258*AI83*(1+Assumptions!$B$175)</f>
        <v/>
      </c>
      <c r="AJ136" s="8">
        <f>AJ60*Assumptions!$B$258*AJ83*(1+Assumptions!$B$175)</f>
        <v/>
      </c>
      <c r="AK136" s="8">
        <f>AK60*Assumptions!$B$258*AK83*(1+Assumptions!$B$175)</f>
        <v/>
      </c>
      <c r="AL136" s="8">
        <f>AL60*Assumptions!$B$258*AL83*(1+Assumptions!$B$175)</f>
        <v/>
      </c>
      <c r="AM136" s="8">
        <f>AM60*Assumptions!$B$258*AM83*(1+Assumptions!$B$175)</f>
        <v/>
      </c>
      <c r="AN136" s="8">
        <f>AN60*Assumptions!$B$258*AN83*(1+Assumptions!$B$175)</f>
        <v/>
      </c>
      <c r="AO136" s="8">
        <f>AO60*Assumptions!$B$258*AO83*(1+Assumptions!$B$175)</f>
        <v/>
      </c>
      <c r="AP136" s="8">
        <f>AP60*Assumptions!$B$258*AP83*(1+Assumptions!$B$175)</f>
        <v/>
      </c>
      <c r="AQ136" s="8">
        <f>AQ60*Assumptions!$B$258*AQ83*(1+Assumptions!$B$175)</f>
        <v/>
      </c>
      <c r="AR136" s="8">
        <f>AR60*Assumptions!$B$258*AR83*(1+Assumptions!$B$175)</f>
        <v/>
      </c>
      <c r="AS136" s="8">
        <f>AS60*Assumptions!$B$258*AS83*(1+Assumptions!$B$175)</f>
        <v/>
      </c>
      <c r="AT136" s="8">
        <f>AT60*Assumptions!$B$258*AT83*(1+Assumptions!$B$175)</f>
        <v/>
      </c>
      <c r="AU136" s="8">
        <f>AU60*Assumptions!$B$258*AU83*(1+Assumptions!$B$175)</f>
        <v/>
      </c>
      <c r="AV136" s="8">
        <f>AV60*Assumptions!$B$258*AV83*(1+Assumptions!$B$175)</f>
        <v/>
      </c>
      <c r="AW136" s="8">
        <f>AW60*Assumptions!$B$258*AW83*(1+Assumptions!$B$175)</f>
        <v/>
      </c>
      <c r="AX136" s="8">
        <f>AX60*Assumptions!$B$258*AX83*(1+Assumptions!$B$175)</f>
        <v/>
      </c>
      <c r="AY136" s="8">
        <f>AY60*Assumptions!$B$258*AY83*(1+Assumptions!$B$175)</f>
        <v/>
      </c>
      <c r="AZ136" s="8">
        <f>AZ60*Assumptions!$B$258*AZ83*(1+Assumptions!$B$175)</f>
        <v/>
      </c>
      <c r="BA136" s="8">
        <f>BA60*Assumptions!$B$258*BA83*(1+Assumptions!$B$175)</f>
        <v/>
      </c>
      <c r="BB136" s="8">
        <f>BB60*Assumptions!$B$258*BB83*(1+Assumptions!$B$175)</f>
        <v/>
      </c>
      <c r="BC136" s="8">
        <f>BC60*Assumptions!$B$258*BC83*(1+Assumptions!$B$175)</f>
        <v/>
      </c>
      <c r="BD136" s="8">
        <f>BD60*Assumptions!$B$258*BD83*(1+Assumptions!$B$175)</f>
        <v/>
      </c>
      <c r="BE136" s="8">
        <f>BE60*Assumptions!$B$258*BE83*(1+Assumptions!$B$175)</f>
        <v/>
      </c>
      <c r="BF136" s="8">
        <f>BF60*Assumptions!$B$258*BF83*(1+Assumptions!$B$175)</f>
        <v/>
      </c>
      <c r="BG136" s="8">
        <f>BG60*Assumptions!$B$258*BG83*(1+Assumptions!$B$175)</f>
        <v/>
      </c>
      <c r="BH136" s="8">
        <f>BH60*Assumptions!$B$258*BH83*(1+Assumptions!$B$175)</f>
        <v/>
      </c>
      <c r="BI136" s="8">
        <f>BI60*Assumptions!$B$258*BI83*(1+Assumptions!$B$175)</f>
        <v/>
      </c>
      <c r="BJ136" s="8">
        <f>BJ60*Assumptions!$B$258*BJ83*(1+Assumptions!$B$175)</f>
        <v/>
      </c>
    </row>
    <row r="137">
      <c r="A137" s="4" t="inlineStr">
        <is>
          <t>Kenya sales &amp; CS</t>
        </is>
      </c>
      <c r="B137" s="17" t="inlineStr">
        <is>
          <t>R</t>
        </is>
      </c>
      <c r="C137" s="8">
        <f>C61*Assumptions!$B$259*C83*(1+Assumptions!$B$175)</f>
        <v/>
      </c>
      <c r="D137" s="8">
        <f>D61*Assumptions!$B$259*D83*(1+Assumptions!$B$175)</f>
        <v/>
      </c>
      <c r="E137" s="8">
        <f>E61*Assumptions!$B$259*E83*(1+Assumptions!$B$175)</f>
        <v/>
      </c>
      <c r="F137" s="8">
        <f>F61*Assumptions!$B$259*F83*(1+Assumptions!$B$175)</f>
        <v/>
      </c>
      <c r="G137" s="8">
        <f>G61*Assumptions!$B$259*G83*(1+Assumptions!$B$175)</f>
        <v/>
      </c>
      <c r="H137" s="8">
        <f>H61*Assumptions!$B$259*H83*(1+Assumptions!$B$175)</f>
        <v/>
      </c>
      <c r="I137" s="8">
        <f>I61*Assumptions!$B$259*I83*(1+Assumptions!$B$175)</f>
        <v/>
      </c>
      <c r="J137" s="8">
        <f>J61*Assumptions!$B$259*J83*(1+Assumptions!$B$175)</f>
        <v/>
      </c>
      <c r="K137" s="8">
        <f>K61*Assumptions!$B$259*K83*(1+Assumptions!$B$175)</f>
        <v/>
      </c>
      <c r="L137" s="8">
        <f>L61*Assumptions!$B$259*L83*(1+Assumptions!$B$175)</f>
        <v/>
      </c>
      <c r="M137" s="8">
        <f>M61*Assumptions!$B$259*M83*(1+Assumptions!$B$175)</f>
        <v/>
      </c>
      <c r="N137" s="8">
        <f>N61*Assumptions!$B$259*N83*(1+Assumptions!$B$175)</f>
        <v/>
      </c>
      <c r="O137" s="8">
        <f>O61*Assumptions!$B$259*O83*(1+Assumptions!$B$175)</f>
        <v/>
      </c>
      <c r="P137" s="8">
        <f>P61*Assumptions!$B$259*P83*(1+Assumptions!$B$175)</f>
        <v/>
      </c>
      <c r="Q137" s="8">
        <f>Q61*Assumptions!$B$259*Q83*(1+Assumptions!$B$175)</f>
        <v/>
      </c>
      <c r="R137" s="8">
        <f>R61*Assumptions!$B$259*R83*(1+Assumptions!$B$175)</f>
        <v/>
      </c>
      <c r="S137" s="8">
        <f>S61*Assumptions!$B$259*S83*(1+Assumptions!$B$175)</f>
        <v/>
      </c>
      <c r="T137" s="8">
        <f>T61*Assumptions!$B$259*T83*(1+Assumptions!$B$175)</f>
        <v/>
      </c>
      <c r="U137" s="8">
        <f>U61*Assumptions!$B$259*U83*(1+Assumptions!$B$175)</f>
        <v/>
      </c>
      <c r="V137" s="8">
        <f>V61*Assumptions!$B$259*V83*(1+Assumptions!$B$175)</f>
        <v/>
      </c>
      <c r="W137" s="8">
        <f>W61*Assumptions!$B$259*W83*(1+Assumptions!$B$175)</f>
        <v/>
      </c>
      <c r="X137" s="8">
        <f>X61*Assumptions!$B$259*X83*(1+Assumptions!$B$175)</f>
        <v/>
      </c>
      <c r="Y137" s="8">
        <f>Y61*Assumptions!$B$259*Y83*(1+Assumptions!$B$175)</f>
        <v/>
      </c>
      <c r="Z137" s="8">
        <f>Z61*Assumptions!$B$259*Z83*(1+Assumptions!$B$175)</f>
        <v/>
      </c>
      <c r="AA137" s="8">
        <f>AA61*Assumptions!$B$259*AA83*(1+Assumptions!$B$175)</f>
        <v/>
      </c>
      <c r="AB137" s="8">
        <f>AB61*Assumptions!$B$259*AB83*(1+Assumptions!$B$175)</f>
        <v/>
      </c>
      <c r="AC137" s="8">
        <f>AC61*Assumptions!$B$259*AC83*(1+Assumptions!$B$175)</f>
        <v/>
      </c>
      <c r="AD137" s="8">
        <f>AD61*Assumptions!$B$259*AD83*(1+Assumptions!$B$175)</f>
        <v/>
      </c>
      <c r="AE137" s="8">
        <f>AE61*Assumptions!$B$259*AE83*(1+Assumptions!$B$175)</f>
        <v/>
      </c>
      <c r="AF137" s="8">
        <f>AF61*Assumptions!$B$259*AF83*(1+Assumptions!$B$175)</f>
        <v/>
      </c>
      <c r="AG137" s="8">
        <f>AG61*Assumptions!$B$259*AG83*(1+Assumptions!$B$175)</f>
        <v/>
      </c>
      <c r="AH137" s="8">
        <f>AH61*Assumptions!$B$259*AH83*(1+Assumptions!$B$175)</f>
        <v/>
      </c>
      <c r="AI137" s="8">
        <f>AI61*Assumptions!$B$259*AI83*(1+Assumptions!$B$175)</f>
        <v/>
      </c>
      <c r="AJ137" s="8">
        <f>AJ61*Assumptions!$B$259*AJ83*(1+Assumptions!$B$175)</f>
        <v/>
      </c>
      <c r="AK137" s="8">
        <f>AK61*Assumptions!$B$259*AK83*(1+Assumptions!$B$175)</f>
        <v/>
      </c>
      <c r="AL137" s="8">
        <f>AL61*Assumptions!$B$259*AL83*(1+Assumptions!$B$175)</f>
        <v/>
      </c>
      <c r="AM137" s="8">
        <f>AM61*Assumptions!$B$259*AM83*(1+Assumptions!$B$175)</f>
        <v/>
      </c>
      <c r="AN137" s="8">
        <f>AN61*Assumptions!$B$259*AN83*(1+Assumptions!$B$175)</f>
        <v/>
      </c>
      <c r="AO137" s="8">
        <f>AO61*Assumptions!$B$259*AO83*(1+Assumptions!$B$175)</f>
        <v/>
      </c>
      <c r="AP137" s="8">
        <f>AP61*Assumptions!$B$259*AP83*(1+Assumptions!$B$175)</f>
        <v/>
      </c>
      <c r="AQ137" s="8">
        <f>AQ61*Assumptions!$B$259*AQ83*(1+Assumptions!$B$175)</f>
        <v/>
      </c>
      <c r="AR137" s="8">
        <f>AR61*Assumptions!$B$259*AR83*(1+Assumptions!$B$175)</f>
        <v/>
      </c>
      <c r="AS137" s="8">
        <f>AS61*Assumptions!$B$259*AS83*(1+Assumptions!$B$175)</f>
        <v/>
      </c>
      <c r="AT137" s="8">
        <f>AT61*Assumptions!$B$259*AT83*(1+Assumptions!$B$175)</f>
        <v/>
      </c>
      <c r="AU137" s="8">
        <f>AU61*Assumptions!$B$259*AU83*(1+Assumptions!$B$175)</f>
        <v/>
      </c>
      <c r="AV137" s="8">
        <f>AV61*Assumptions!$B$259*AV83*(1+Assumptions!$B$175)</f>
        <v/>
      </c>
      <c r="AW137" s="8">
        <f>AW61*Assumptions!$B$259*AW83*(1+Assumptions!$B$175)</f>
        <v/>
      </c>
      <c r="AX137" s="8">
        <f>AX61*Assumptions!$B$259*AX83*(1+Assumptions!$B$175)</f>
        <v/>
      </c>
      <c r="AY137" s="8">
        <f>AY61*Assumptions!$B$259*AY83*(1+Assumptions!$B$175)</f>
        <v/>
      </c>
      <c r="AZ137" s="8">
        <f>AZ61*Assumptions!$B$259*AZ83*(1+Assumptions!$B$175)</f>
        <v/>
      </c>
      <c r="BA137" s="8">
        <f>BA61*Assumptions!$B$259*BA83*(1+Assumptions!$B$175)</f>
        <v/>
      </c>
      <c r="BB137" s="8">
        <f>BB61*Assumptions!$B$259*BB83*(1+Assumptions!$B$175)</f>
        <v/>
      </c>
      <c r="BC137" s="8">
        <f>BC61*Assumptions!$B$259*BC83*(1+Assumptions!$B$175)</f>
        <v/>
      </c>
      <c r="BD137" s="8">
        <f>BD61*Assumptions!$B$259*BD83*(1+Assumptions!$B$175)</f>
        <v/>
      </c>
      <c r="BE137" s="8">
        <f>BE61*Assumptions!$B$259*BE83*(1+Assumptions!$B$175)</f>
        <v/>
      </c>
      <c r="BF137" s="8">
        <f>BF61*Assumptions!$B$259*BF83*(1+Assumptions!$B$175)</f>
        <v/>
      </c>
      <c r="BG137" s="8">
        <f>BG61*Assumptions!$B$259*BG83*(1+Assumptions!$B$175)</f>
        <v/>
      </c>
      <c r="BH137" s="8">
        <f>BH61*Assumptions!$B$259*BH83*(1+Assumptions!$B$175)</f>
        <v/>
      </c>
      <c r="BI137" s="8">
        <f>BI61*Assumptions!$B$259*BI83*(1+Assumptions!$B$175)</f>
        <v/>
      </c>
      <c r="BJ137" s="8">
        <f>BJ61*Assumptions!$B$259*BJ83*(1+Assumptions!$B$175)</f>
        <v/>
      </c>
    </row>
    <row r="138">
      <c r="A138" s="4" t="inlineStr">
        <is>
          <t>Kenya team expansion</t>
        </is>
      </c>
      <c r="B138" s="17" t="inlineStr">
        <is>
          <t>R</t>
        </is>
      </c>
      <c r="C138" s="8">
        <f>C62*Assumptions!$B$260*C83*(1+Assumptions!$B$175)</f>
        <v/>
      </c>
      <c r="D138" s="8">
        <f>D62*Assumptions!$B$260*D83*(1+Assumptions!$B$175)</f>
        <v/>
      </c>
      <c r="E138" s="8">
        <f>E62*Assumptions!$B$260*E83*(1+Assumptions!$B$175)</f>
        <v/>
      </c>
      <c r="F138" s="8">
        <f>F62*Assumptions!$B$260*F83*(1+Assumptions!$B$175)</f>
        <v/>
      </c>
      <c r="G138" s="8">
        <f>G62*Assumptions!$B$260*G83*(1+Assumptions!$B$175)</f>
        <v/>
      </c>
      <c r="H138" s="8">
        <f>H62*Assumptions!$B$260*H83*(1+Assumptions!$B$175)</f>
        <v/>
      </c>
      <c r="I138" s="8">
        <f>I62*Assumptions!$B$260*I83*(1+Assumptions!$B$175)</f>
        <v/>
      </c>
      <c r="J138" s="8">
        <f>J62*Assumptions!$B$260*J83*(1+Assumptions!$B$175)</f>
        <v/>
      </c>
      <c r="K138" s="8">
        <f>K62*Assumptions!$B$260*K83*(1+Assumptions!$B$175)</f>
        <v/>
      </c>
      <c r="L138" s="8">
        <f>L62*Assumptions!$B$260*L83*(1+Assumptions!$B$175)</f>
        <v/>
      </c>
      <c r="M138" s="8">
        <f>M62*Assumptions!$B$260*M83*(1+Assumptions!$B$175)</f>
        <v/>
      </c>
      <c r="N138" s="8">
        <f>N62*Assumptions!$B$260*N83*(1+Assumptions!$B$175)</f>
        <v/>
      </c>
      <c r="O138" s="8">
        <f>O62*Assumptions!$B$260*O83*(1+Assumptions!$B$175)</f>
        <v/>
      </c>
      <c r="P138" s="8">
        <f>P62*Assumptions!$B$260*P83*(1+Assumptions!$B$175)</f>
        <v/>
      </c>
      <c r="Q138" s="8">
        <f>Q62*Assumptions!$B$260*Q83*(1+Assumptions!$B$175)</f>
        <v/>
      </c>
      <c r="R138" s="8">
        <f>R62*Assumptions!$B$260*R83*(1+Assumptions!$B$175)</f>
        <v/>
      </c>
      <c r="S138" s="8">
        <f>S62*Assumptions!$B$260*S83*(1+Assumptions!$B$175)</f>
        <v/>
      </c>
      <c r="T138" s="8">
        <f>T62*Assumptions!$B$260*T83*(1+Assumptions!$B$175)</f>
        <v/>
      </c>
      <c r="U138" s="8">
        <f>U62*Assumptions!$B$260*U83*(1+Assumptions!$B$175)</f>
        <v/>
      </c>
      <c r="V138" s="8">
        <f>V62*Assumptions!$B$260*V83*(1+Assumptions!$B$175)</f>
        <v/>
      </c>
      <c r="W138" s="8">
        <f>W62*Assumptions!$B$260*W83*(1+Assumptions!$B$175)</f>
        <v/>
      </c>
      <c r="X138" s="8">
        <f>X62*Assumptions!$B$260*X83*(1+Assumptions!$B$175)</f>
        <v/>
      </c>
      <c r="Y138" s="8">
        <f>Y62*Assumptions!$B$260*Y83*(1+Assumptions!$B$175)</f>
        <v/>
      </c>
      <c r="Z138" s="8">
        <f>Z62*Assumptions!$B$260*Z83*(1+Assumptions!$B$175)</f>
        <v/>
      </c>
      <c r="AA138" s="8">
        <f>AA62*Assumptions!$B$260*AA83*(1+Assumptions!$B$175)</f>
        <v/>
      </c>
      <c r="AB138" s="8">
        <f>AB62*Assumptions!$B$260*AB83*(1+Assumptions!$B$175)</f>
        <v/>
      </c>
      <c r="AC138" s="8">
        <f>AC62*Assumptions!$B$260*AC83*(1+Assumptions!$B$175)</f>
        <v/>
      </c>
      <c r="AD138" s="8">
        <f>AD62*Assumptions!$B$260*AD83*(1+Assumptions!$B$175)</f>
        <v/>
      </c>
      <c r="AE138" s="8">
        <f>AE62*Assumptions!$B$260*AE83*(1+Assumptions!$B$175)</f>
        <v/>
      </c>
      <c r="AF138" s="8">
        <f>AF62*Assumptions!$B$260*AF83*(1+Assumptions!$B$175)</f>
        <v/>
      </c>
      <c r="AG138" s="8">
        <f>AG62*Assumptions!$B$260*AG83*(1+Assumptions!$B$175)</f>
        <v/>
      </c>
      <c r="AH138" s="8">
        <f>AH62*Assumptions!$B$260*AH83*(1+Assumptions!$B$175)</f>
        <v/>
      </c>
      <c r="AI138" s="8">
        <f>AI62*Assumptions!$B$260*AI83*(1+Assumptions!$B$175)</f>
        <v/>
      </c>
      <c r="AJ138" s="8">
        <f>AJ62*Assumptions!$B$260*AJ83*(1+Assumptions!$B$175)</f>
        <v/>
      </c>
      <c r="AK138" s="8">
        <f>AK62*Assumptions!$B$260*AK83*(1+Assumptions!$B$175)</f>
        <v/>
      </c>
      <c r="AL138" s="8">
        <f>AL62*Assumptions!$B$260*AL83*(1+Assumptions!$B$175)</f>
        <v/>
      </c>
      <c r="AM138" s="8">
        <f>AM62*Assumptions!$B$260*AM83*(1+Assumptions!$B$175)</f>
        <v/>
      </c>
      <c r="AN138" s="8">
        <f>AN62*Assumptions!$B$260*AN83*(1+Assumptions!$B$175)</f>
        <v/>
      </c>
      <c r="AO138" s="8">
        <f>AO62*Assumptions!$B$260*AO83*(1+Assumptions!$B$175)</f>
        <v/>
      </c>
      <c r="AP138" s="8">
        <f>AP62*Assumptions!$B$260*AP83*(1+Assumptions!$B$175)</f>
        <v/>
      </c>
      <c r="AQ138" s="8">
        <f>AQ62*Assumptions!$B$260*AQ83*(1+Assumptions!$B$175)</f>
        <v/>
      </c>
      <c r="AR138" s="8">
        <f>AR62*Assumptions!$B$260*AR83*(1+Assumptions!$B$175)</f>
        <v/>
      </c>
      <c r="AS138" s="8">
        <f>AS62*Assumptions!$B$260*AS83*(1+Assumptions!$B$175)</f>
        <v/>
      </c>
      <c r="AT138" s="8">
        <f>AT62*Assumptions!$B$260*AT83*(1+Assumptions!$B$175)</f>
        <v/>
      </c>
      <c r="AU138" s="8">
        <f>AU62*Assumptions!$B$260*AU83*(1+Assumptions!$B$175)</f>
        <v/>
      </c>
      <c r="AV138" s="8">
        <f>AV62*Assumptions!$B$260*AV83*(1+Assumptions!$B$175)</f>
        <v/>
      </c>
      <c r="AW138" s="8">
        <f>AW62*Assumptions!$B$260*AW83*(1+Assumptions!$B$175)</f>
        <v/>
      </c>
      <c r="AX138" s="8">
        <f>AX62*Assumptions!$B$260*AX83*(1+Assumptions!$B$175)</f>
        <v/>
      </c>
      <c r="AY138" s="8">
        <f>AY62*Assumptions!$B$260*AY83*(1+Assumptions!$B$175)</f>
        <v/>
      </c>
      <c r="AZ138" s="8">
        <f>AZ62*Assumptions!$B$260*AZ83*(1+Assumptions!$B$175)</f>
        <v/>
      </c>
      <c r="BA138" s="8">
        <f>BA62*Assumptions!$B$260*BA83*(1+Assumptions!$B$175)</f>
        <v/>
      </c>
      <c r="BB138" s="8">
        <f>BB62*Assumptions!$B$260*BB83*(1+Assumptions!$B$175)</f>
        <v/>
      </c>
      <c r="BC138" s="8">
        <f>BC62*Assumptions!$B$260*BC83*(1+Assumptions!$B$175)</f>
        <v/>
      </c>
      <c r="BD138" s="8">
        <f>BD62*Assumptions!$B$260*BD83*(1+Assumptions!$B$175)</f>
        <v/>
      </c>
      <c r="BE138" s="8">
        <f>BE62*Assumptions!$B$260*BE83*(1+Assumptions!$B$175)</f>
        <v/>
      </c>
      <c r="BF138" s="8">
        <f>BF62*Assumptions!$B$260*BF83*(1+Assumptions!$B$175)</f>
        <v/>
      </c>
      <c r="BG138" s="8">
        <f>BG62*Assumptions!$B$260*BG83*(1+Assumptions!$B$175)</f>
        <v/>
      </c>
      <c r="BH138" s="8">
        <f>BH62*Assumptions!$B$260*BH83*(1+Assumptions!$B$175)</f>
        <v/>
      </c>
      <c r="BI138" s="8">
        <f>BI62*Assumptions!$B$260*BI83*(1+Assumptions!$B$175)</f>
        <v/>
      </c>
      <c r="BJ138" s="8">
        <f>BJ62*Assumptions!$B$260*BJ83*(1+Assumptions!$B$175)</f>
        <v/>
      </c>
    </row>
    <row r="139">
      <c r="A139" s="4" t="inlineStr">
        <is>
          <t>Country lead: Ghana</t>
        </is>
      </c>
      <c r="B139" s="17" t="inlineStr">
        <is>
          <t>R</t>
        </is>
      </c>
      <c r="C139" s="8">
        <f>C63*Assumptions!$B$261*C83*(1+Assumptions!$B$175)</f>
        <v/>
      </c>
      <c r="D139" s="8">
        <f>D63*Assumptions!$B$261*D83*(1+Assumptions!$B$175)</f>
        <v/>
      </c>
      <c r="E139" s="8">
        <f>E63*Assumptions!$B$261*E83*(1+Assumptions!$B$175)</f>
        <v/>
      </c>
      <c r="F139" s="8">
        <f>F63*Assumptions!$B$261*F83*(1+Assumptions!$B$175)</f>
        <v/>
      </c>
      <c r="G139" s="8">
        <f>G63*Assumptions!$B$261*G83*(1+Assumptions!$B$175)</f>
        <v/>
      </c>
      <c r="H139" s="8">
        <f>H63*Assumptions!$B$261*H83*(1+Assumptions!$B$175)</f>
        <v/>
      </c>
      <c r="I139" s="8">
        <f>I63*Assumptions!$B$261*I83*(1+Assumptions!$B$175)</f>
        <v/>
      </c>
      <c r="J139" s="8">
        <f>J63*Assumptions!$B$261*J83*(1+Assumptions!$B$175)</f>
        <v/>
      </c>
      <c r="K139" s="8">
        <f>K63*Assumptions!$B$261*K83*(1+Assumptions!$B$175)</f>
        <v/>
      </c>
      <c r="L139" s="8">
        <f>L63*Assumptions!$B$261*L83*(1+Assumptions!$B$175)</f>
        <v/>
      </c>
      <c r="M139" s="8">
        <f>M63*Assumptions!$B$261*M83*(1+Assumptions!$B$175)</f>
        <v/>
      </c>
      <c r="N139" s="8">
        <f>N63*Assumptions!$B$261*N83*(1+Assumptions!$B$175)</f>
        <v/>
      </c>
      <c r="O139" s="8">
        <f>O63*Assumptions!$B$261*O83*(1+Assumptions!$B$175)</f>
        <v/>
      </c>
      <c r="P139" s="8">
        <f>P63*Assumptions!$B$261*P83*(1+Assumptions!$B$175)</f>
        <v/>
      </c>
      <c r="Q139" s="8">
        <f>Q63*Assumptions!$B$261*Q83*(1+Assumptions!$B$175)</f>
        <v/>
      </c>
      <c r="R139" s="8">
        <f>R63*Assumptions!$B$261*R83*(1+Assumptions!$B$175)</f>
        <v/>
      </c>
      <c r="S139" s="8">
        <f>S63*Assumptions!$B$261*S83*(1+Assumptions!$B$175)</f>
        <v/>
      </c>
      <c r="T139" s="8">
        <f>T63*Assumptions!$B$261*T83*(1+Assumptions!$B$175)</f>
        <v/>
      </c>
      <c r="U139" s="8">
        <f>U63*Assumptions!$B$261*U83*(1+Assumptions!$B$175)</f>
        <v/>
      </c>
      <c r="V139" s="8">
        <f>V63*Assumptions!$B$261*V83*(1+Assumptions!$B$175)</f>
        <v/>
      </c>
      <c r="W139" s="8">
        <f>W63*Assumptions!$B$261*W83*(1+Assumptions!$B$175)</f>
        <v/>
      </c>
      <c r="X139" s="8">
        <f>X63*Assumptions!$B$261*X83*(1+Assumptions!$B$175)</f>
        <v/>
      </c>
      <c r="Y139" s="8">
        <f>Y63*Assumptions!$B$261*Y83*(1+Assumptions!$B$175)</f>
        <v/>
      </c>
      <c r="Z139" s="8">
        <f>Z63*Assumptions!$B$261*Z83*(1+Assumptions!$B$175)</f>
        <v/>
      </c>
      <c r="AA139" s="8">
        <f>AA63*Assumptions!$B$261*AA83*(1+Assumptions!$B$175)</f>
        <v/>
      </c>
      <c r="AB139" s="8">
        <f>AB63*Assumptions!$B$261*AB83*(1+Assumptions!$B$175)</f>
        <v/>
      </c>
      <c r="AC139" s="8">
        <f>AC63*Assumptions!$B$261*AC83*(1+Assumptions!$B$175)</f>
        <v/>
      </c>
      <c r="AD139" s="8">
        <f>AD63*Assumptions!$B$261*AD83*(1+Assumptions!$B$175)</f>
        <v/>
      </c>
      <c r="AE139" s="8">
        <f>AE63*Assumptions!$B$261*AE83*(1+Assumptions!$B$175)</f>
        <v/>
      </c>
      <c r="AF139" s="8">
        <f>AF63*Assumptions!$B$261*AF83*(1+Assumptions!$B$175)</f>
        <v/>
      </c>
      <c r="AG139" s="8">
        <f>AG63*Assumptions!$B$261*AG83*(1+Assumptions!$B$175)</f>
        <v/>
      </c>
      <c r="AH139" s="8">
        <f>AH63*Assumptions!$B$261*AH83*(1+Assumptions!$B$175)</f>
        <v/>
      </c>
      <c r="AI139" s="8">
        <f>AI63*Assumptions!$B$261*AI83*(1+Assumptions!$B$175)</f>
        <v/>
      </c>
      <c r="AJ139" s="8">
        <f>AJ63*Assumptions!$B$261*AJ83*(1+Assumptions!$B$175)</f>
        <v/>
      </c>
      <c r="AK139" s="8">
        <f>AK63*Assumptions!$B$261*AK83*(1+Assumptions!$B$175)</f>
        <v/>
      </c>
      <c r="AL139" s="8">
        <f>AL63*Assumptions!$B$261*AL83*(1+Assumptions!$B$175)</f>
        <v/>
      </c>
      <c r="AM139" s="8">
        <f>AM63*Assumptions!$B$261*AM83*(1+Assumptions!$B$175)</f>
        <v/>
      </c>
      <c r="AN139" s="8">
        <f>AN63*Assumptions!$B$261*AN83*(1+Assumptions!$B$175)</f>
        <v/>
      </c>
      <c r="AO139" s="8">
        <f>AO63*Assumptions!$B$261*AO83*(1+Assumptions!$B$175)</f>
        <v/>
      </c>
      <c r="AP139" s="8">
        <f>AP63*Assumptions!$B$261*AP83*(1+Assumptions!$B$175)</f>
        <v/>
      </c>
      <c r="AQ139" s="8">
        <f>AQ63*Assumptions!$B$261*AQ83*(1+Assumptions!$B$175)</f>
        <v/>
      </c>
      <c r="AR139" s="8">
        <f>AR63*Assumptions!$B$261*AR83*(1+Assumptions!$B$175)</f>
        <v/>
      </c>
      <c r="AS139" s="8">
        <f>AS63*Assumptions!$B$261*AS83*(1+Assumptions!$B$175)</f>
        <v/>
      </c>
      <c r="AT139" s="8">
        <f>AT63*Assumptions!$B$261*AT83*(1+Assumptions!$B$175)</f>
        <v/>
      </c>
      <c r="AU139" s="8">
        <f>AU63*Assumptions!$B$261*AU83*(1+Assumptions!$B$175)</f>
        <v/>
      </c>
      <c r="AV139" s="8">
        <f>AV63*Assumptions!$B$261*AV83*(1+Assumptions!$B$175)</f>
        <v/>
      </c>
      <c r="AW139" s="8">
        <f>AW63*Assumptions!$B$261*AW83*(1+Assumptions!$B$175)</f>
        <v/>
      </c>
      <c r="AX139" s="8">
        <f>AX63*Assumptions!$B$261*AX83*(1+Assumptions!$B$175)</f>
        <v/>
      </c>
      <c r="AY139" s="8">
        <f>AY63*Assumptions!$B$261*AY83*(1+Assumptions!$B$175)</f>
        <v/>
      </c>
      <c r="AZ139" s="8">
        <f>AZ63*Assumptions!$B$261*AZ83*(1+Assumptions!$B$175)</f>
        <v/>
      </c>
      <c r="BA139" s="8">
        <f>BA63*Assumptions!$B$261*BA83*(1+Assumptions!$B$175)</f>
        <v/>
      </c>
      <c r="BB139" s="8">
        <f>BB63*Assumptions!$B$261*BB83*(1+Assumptions!$B$175)</f>
        <v/>
      </c>
      <c r="BC139" s="8">
        <f>BC63*Assumptions!$B$261*BC83*(1+Assumptions!$B$175)</f>
        <v/>
      </c>
      <c r="BD139" s="8">
        <f>BD63*Assumptions!$B$261*BD83*(1+Assumptions!$B$175)</f>
        <v/>
      </c>
      <c r="BE139" s="8">
        <f>BE63*Assumptions!$B$261*BE83*(1+Assumptions!$B$175)</f>
        <v/>
      </c>
      <c r="BF139" s="8">
        <f>BF63*Assumptions!$B$261*BF83*(1+Assumptions!$B$175)</f>
        <v/>
      </c>
      <c r="BG139" s="8">
        <f>BG63*Assumptions!$B$261*BG83*(1+Assumptions!$B$175)</f>
        <v/>
      </c>
      <c r="BH139" s="8">
        <f>BH63*Assumptions!$B$261*BH83*(1+Assumptions!$B$175)</f>
        <v/>
      </c>
      <c r="BI139" s="8">
        <f>BI63*Assumptions!$B$261*BI83*(1+Assumptions!$B$175)</f>
        <v/>
      </c>
      <c r="BJ139" s="8">
        <f>BJ63*Assumptions!$B$261*BJ83*(1+Assumptions!$B$175)</f>
        <v/>
      </c>
    </row>
    <row r="140">
      <c r="A140" s="4" t="inlineStr">
        <is>
          <t>Ghana sales &amp; CS</t>
        </is>
      </c>
      <c r="B140" s="17" t="inlineStr">
        <is>
          <t>R</t>
        </is>
      </c>
      <c r="C140" s="8">
        <f>C64*Assumptions!$B$262*C83*(1+Assumptions!$B$175)</f>
        <v/>
      </c>
      <c r="D140" s="8">
        <f>D64*Assumptions!$B$262*D83*(1+Assumptions!$B$175)</f>
        <v/>
      </c>
      <c r="E140" s="8">
        <f>E64*Assumptions!$B$262*E83*(1+Assumptions!$B$175)</f>
        <v/>
      </c>
      <c r="F140" s="8">
        <f>F64*Assumptions!$B$262*F83*(1+Assumptions!$B$175)</f>
        <v/>
      </c>
      <c r="G140" s="8">
        <f>G64*Assumptions!$B$262*G83*(1+Assumptions!$B$175)</f>
        <v/>
      </c>
      <c r="H140" s="8">
        <f>H64*Assumptions!$B$262*H83*(1+Assumptions!$B$175)</f>
        <v/>
      </c>
      <c r="I140" s="8">
        <f>I64*Assumptions!$B$262*I83*(1+Assumptions!$B$175)</f>
        <v/>
      </c>
      <c r="J140" s="8">
        <f>J64*Assumptions!$B$262*J83*(1+Assumptions!$B$175)</f>
        <v/>
      </c>
      <c r="K140" s="8">
        <f>K64*Assumptions!$B$262*K83*(1+Assumptions!$B$175)</f>
        <v/>
      </c>
      <c r="L140" s="8">
        <f>L64*Assumptions!$B$262*L83*(1+Assumptions!$B$175)</f>
        <v/>
      </c>
      <c r="M140" s="8">
        <f>M64*Assumptions!$B$262*M83*(1+Assumptions!$B$175)</f>
        <v/>
      </c>
      <c r="N140" s="8">
        <f>N64*Assumptions!$B$262*N83*(1+Assumptions!$B$175)</f>
        <v/>
      </c>
      <c r="O140" s="8">
        <f>O64*Assumptions!$B$262*O83*(1+Assumptions!$B$175)</f>
        <v/>
      </c>
      <c r="P140" s="8">
        <f>P64*Assumptions!$B$262*P83*(1+Assumptions!$B$175)</f>
        <v/>
      </c>
      <c r="Q140" s="8">
        <f>Q64*Assumptions!$B$262*Q83*(1+Assumptions!$B$175)</f>
        <v/>
      </c>
      <c r="R140" s="8">
        <f>R64*Assumptions!$B$262*R83*(1+Assumptions!$B$175)</f>
        <v/>
      </c>
      <c r="S140" s="8">
        <f>S64*Assumptions!$B$262*S83*(1+Assumptions!$B$175)</f>
        <v/>
      </c>
      <c r="T140" s="8">
        <f>T64*Assumptions!$B$262*T83*(1+Assumptions!$B$175)</f>
        <v/>
      </c>
      <c r="U140" s="8">
        <f>U64*Assumptions!$B$262*U83*(1+Assumptions!$B$175)</f>
        <v/>
      </c>
      <c r="V140" s="8">
        <f>V64*Assumptions!$B$262*V83*(1+Assumptions!$B$175)</f>
        <v/>
      </c>
      <c r="W140" s="8">
        <f>W64*Assumptions!$B$262*W83*(1+Assumptions!$B$175)</f>
        <v/>
      </c>
      <c r="X140" s="8">
        <f>X64*Assumptions!$B$262*X83*(1+Assumptions!$B$175)</f>
        <v/>
      </c>
      <c r="Y140" s="8">
        <f>Y64*Assumptions!$B$262*Y83*(1+Assumptions!$B$175)</f>
        <v/>
      </c>
      <c r="Z140" s="8">
        <f>Z64*Assumptions!$B$262*Z83*(1+Assumptions!$B$175)</f>
        <v/>
      </c>
      <c r="AA140" s="8">
        <f>AA64*Assumptions!$B$262*AA83*(1+Assumptions!$B$175)</f>
        <v/>
      </c>
      <c r="AB140" s="8">
        <f>AB64*Assumptions!$B$262*AB83*(1+Assumptions!$B$175)</f>
        <v/>
      </c>
      <c r="AC140" s="8">
        <f>AC64*Assumptions!$B$262*AC83*(1+Assumptions!$B$175)</f>
        <v/>
      </c>
      <c r="AD140" s="8">
        <f>AD64*Assumptions!$B$262*AD83*(1+Assumptions!$B$175)</f>
        <v/>
      </c>
      <c r="AE140" s="8">
        <f>AE64*Assumptions!$B$262*AE83*(1+Assumptions!$B$175)</f>
        <v/>
      </c>
      <c r="AF140" s="8">
        <f>AF64*Assumptions!$B$262*AF83*(1+Assumptions!$B$175)</f>
        <v/>
      </c>
      <c r="AG140" s="8">
        <f>AG64*Assumptions!$B$262*AG83*(1+Assumptions!$B$175)</f>
        <v/>
      </c>
      <c r="AH140" s="8">
        <f>AH64*Assumptions!$B$262*AH83*(1+Assumptions!$B$175)</f>
        <v/>
      </c>
      <c r="AI140" s="8">
        <f>AI64*Assumptions!$B$262*AI83*(1+Assumptions!$B$175)</f>
        <v/>
      </c>
      <c r="AJ140" s="8">
        <f>AJ64*Assumptions!$B$262*AJ83*(1+Assumptions!$B$175)</f>
        <v/>
      </c>
      <c r="AK140" s="8">
        <f>AK64*Assumptions!$B$262*AK83*(1+Assumptions!$B$175)</f>
        <v/>
      </c>
      <c r="AL140" s="8">
        <f>AL64*Assumptions!$B$262*AL83*(1+Assumptions!$B$175)</f>
        <v/>
      </c>
      <c r="AM140" s="8">
        <f>AM64*Assumptions!$B$262*AM83*(1+Assumptions!$B$175)</f>
        <v/>
      </c>
      <c r="AN140" s="8">
        <f>AN64*Assumptions!$B$262*AN83*(1+Assumptions!$B$175)</f>
        <v/>
      </c>
      <c r="AO140" s="8">
        <f>AO64*Assumptions!$B$262*AO83*(1+Assumptions!$B$175)</f>
        <v/>
      </c>
      <c r="AP140" s="8">
        <f>AP64*Assumptions!$B$262*AP83*(1+Assumptions!$B$175)</f>
        <v/>
      </c>
      <c r="AQ140" s="8">
        <f>AQ64*Assumptions!$B$262*AQ83*(1+Assumptions!$B$175)</f>
        <v/>
      </c>
      <c r="AR140" s="8">
        <f>AR64*Assumptions!$B$262*AR83*(1+Assumptions!$B$175)</f>
        <v/>
      </c>
      <c r="AS140" s="8">
        <f>AS64*Assumptions!$B$262*AS83*(1+Assumptions!$B$175)</f>
        <v/>
      </c>
      <c r="AT140" s="8">
        <f>AT64*Assumptions!$B$262*AT83*(1+Assumptions!$B$175)</f>
        <v/>
      </c>
      <c r="AU140" s="8">
        <f>AU64*Assumptions!$B$262*AU83*(1+Assumptions!$B$175)</f>
        <v/>
      </c>
      <c r="AV140" s="8">
        <f>AV64*Assumptions!$B$262*AV83*(1+Assumptions!$B$175)</f>
        <v/>
      </c>
      <c r="AW140" s="8">
        <f>AW64*Assumptions!$B$262*AW83*(1+Assumptions!$B$175)</f>
        <v/>
      </c>
      <c r="AX140" s="8">
        <f>AX64*Assumptions!$B$262*AX83*(1+Assumptions!$B$175)</f>
        <v/>
      </c>
      <c r="AY140" s="8">
        <f>AY64*Assumptions!$B$262*AY83*(1+Assumptions!$B$175)</f>
        <v/>
      </c>
      <c r="AZ140" s="8">
        <f>AZ64*Assumptions!$B$262*AZ83*(1+Assumptions!$B$175)</f>
        <v/>
      </c>
      <c r="BA140" s="8">
        <f>BA64*Assumptions!$B$262*BA83*(1+Assumptions!$B$175)</f>
        <v/>
      </c>
      <c r="BB140" s="8">
        <f>BB64*Assumptions!$B$262*BB83*(1+Assumptions!$B$175)</f>
        <v/>
      </c>
      <c r="BC140" s="8">
        <f>BC64*Assumptions!$B$262*BC83*(1+Assumptions!$B$175)</f>
        <v/>
      </c>
      <c r="BD140" s="8">
        <f>BD64*Assumptions!$B$262*BD83*(1+Assumptions!$B$175)</f>
        <v/>
      </c>
      <c r="BE140" s="8">
        <f>BE64*Assumptions!$B$262*BE83*(1+Assumptions!$B$175)</f>
        <v/>
      </c>
      <c r="BF140" s="8">
        <f>BF64*Assumptions!$B$262*BF83*(1+Assumptions!$B$175)</f>
        <v/>
      </c>
      <c r="BG140" s="8">
        <f>BG64*Assumptions!$B$262*BG83*(1+Assumptions!$B$175)</f>
        <v/>
      </c>
      <c r="BH140" s="8">
        <f>BH64*Assumptions!$B$262*BH83*(1+Assumptions!$B$175)</f>
        <v/>
      </c>
      <c r="BI140" s="8">
        <f>BI64*Assumptions!$B$262*BI83*(1+Assumptions!$B$175)</f>
        <v/>
      </c>
      <c r="BJ140" s="8">
        <f>BJ64*Assumptions!$B$262*BJ83*(1+Assumptions!$B$175)</f>
        <v/>
      </c>
    </row>
    <row r="141">
      <c r="A141" s="4" t="inlineStr">
        <is>
          <t>Ghana team expansion</t>
        </is>
      </c>
      <c r="B141" s="17" t="inlineStr">
        <is>
          <t>R</t>
        </is>
      </c>
      <c r="C141" s="8">
        <f>C65*Assumptions!$B$263*C83*(1+Assumptions!$B$175)</f>
        <v/>
      </c>
      <c r="D141" s="8">
        <f>D65*Assumptions!$B$263*D83*(1+Assumptions!$B$175)</f>
        <v/>
      </c>
      <c r="E141" s="8">
        <f>E65*Assumptions!$B$263*E83*(1+Assumptions!$B$175)</f>
        <v/>
      </c>
      <c r="F141" s="8">
        <f>F65*Assumptions!$B$263*F83*(1+Assumptions!$B$175)</f>
        <v/>
      </c>
      <c r="G141" s="8">
        <f>G65*Assumptions!$B$263*G83*(1+Assumptions!$B$175)</f>
        <v/>
      </c>
      <c r="H141" s="8">
        <f>H65*Assumptions!$B$263*H83*(1+Assumptions!$B$175)</f>
        <v/>
      </c>
      <c r="I141" s="8">
        <f>I65*Assumptions!$B$263*I83*(1+Assumptions!$B$175)</f>
        <v/>
      </c>
      <c r="J141" s="8">
        <f>J65*Assumptions!$B$263*J83*(1+Assumptions!$B$175)</f>
        <v/>
      </c>
      <c r="K141" s="8">
        <f>K65*Assumptions!$B$263*K83*(1+Assumptions!$B$175)</f>
        <v/>
      </c>
      <c r="L141" s="8">
        <f>L65*Assumptions!$B$263*L83*(1+Assumptions!$B$175)</f>
        <v/>
      </c>
      <c r="M141" s="8">
        <f>M65*Assumptions!$B$263*M83*(1+Assumptions!$B$175)</f>
        <v/>
      </c>
      <c r="N141" s="8">
        <f>N65*Assumptions!$B$263*N83*(1+Assumptions!$B$175)</f>
        <v/>
      </c>
      <c r="O141" s="8">
        <f>O65*Assumptions!$B$263*O83*(1+Assumptions!$B$175)</f>
        <v/>
      </c>
      <c r="P141" s="8">
        <f>P65*Assumptions!$B$263*P83*(1+Assumptions!$B$175)</f>
        <v/>
      </c>
      <c r="Q141" s="8">
        <f>Q65*Assumptions!$B$263*Q83*(1+Assumptions!$B$175)</f>
        <v/>
      </c>
      <c r="R141" s="8">
        <f>R65*Assumptions!$B$263*R83*(1+Assumptions!$B$175)</f>
        <v/>
      </c>
      <c r="S141" s="8">
        <f>S65*Assumptions!$B$263*S83*(1+Assumptions!$B$175)</f>
        <v/>
      </c>
      <c r="T141" s="8">
        <f>T65*Assumptions!$B$263*T83*(1+Assumptions!$B$175)</f>
        <v/>
      </c>
      <c r="U141" s="8">
        <f>U65*Assumptions!$B$263*U83*(1+Assumptions!$B$175)</f>
        <v/>
      </c>
      <c r="V141" s="8">
        <f>V65*Assumptions!$B$263*V83*(1+Assumptions!$B$175)</f>
        <v/>
      </c>
      <c r="W141" s="8">
        <f>W65*Assumptions!$B$263*W83*(1+Assumptions!$B$175)</f>
        <v/>
      </c>
      <c r="X141" s="8">
        <f>X65*Assumptions!$B$263*X83*(1+Assumptions!$B$175)</f>
        <v/>
      </c>
      <c r="Y141" s="8">
        <f>Y65*Assumptions!$B$263*Y83*(1+Assumptions!$B$175)</f>
        <v/>
      </c>
      <c r="Z141" s="8">
        <f>Z65*Assumptions!$B$263*Z83*(1+Assumptions!$B$175)</f>
        <v/>
      </c>
      <c r="AA141" s="8">
        <f>AA65*Assumptions!$B$263*AA83*(1+Assumptions!$B$175)</f>
        <v/>
      </c>
      <c r="AB141" s="8">
        <f>AB65*Assumptions!$B$263*AB83*(1+Assumptions!$B$175)</f>
        <v/>
      </c>
      <c r="AC141" s="8">
        <f>AC65*Assumptions!$B$263*AC83*(1+Assumptions!$B$175)</f>
        <v/>
      </c>
      <c r="AD141" s="8">
        <f>AD65*Assumptions!$B$263*AD83*(1+Assumptions!$B$175)</f>
        <v/>
      </c>
      <c r="AE141" s="8">
        <f>AE65*Assumptions!$B$263*AE83*(1+Assumptions!$B$175)</f>
        <v/>
      </c>
      <c r="AF141" s="8">
        <f>AF65*Assumptions!$B$263*AF83*(1+Assumptions!$B$175)</f>
        <v/>
      </c>
      <c r="AG141" s="8">
        <f>AG65*Assumptions!$B$263*AG83*(1+Assumptions!$B$175)</f>
        <v/>
      </c>
      <c r="AH141" s="8">
        <f>AH65*Assumptions!$B$263*AH83*(1+Assumptions!$B$175)</f>
        <v/>
      </c>
      <c r="AI141" s="8">
        <f>AI65*Assumptions!$B$263*AI83*(1+Assumptions!$B$175)</f>
        <v/>
      </c>
      <c r="AJ141" s="8">
        <f>AJ65*Assumptions!$B$263*AJ83*(1+Assumptions!$B$175)</f>
        <v/>
      </c>
      <c r="AK141" s="8">
        <f>AK65*Assumptions!$B$263*AK83*(1+Assumptions!$B$175)</f>
        <v/>
      </c>
      <c r="AL141" s="8">
        <f>AL65*Assumptions!$B$263*AL83*(1+Assumptions!$B$175)</f>
        <v/>
      </c>
      <c r="AM141" s="8">
        <f>AM65*Assumptions!$B$263*AM83*(1+Assumptions!$B$175)</f>
        <v/>
      </c>
      <c r="AN141" s="8">
        <f>AN65*Assumptions!$B$263*AN83*(1+Assumptions!$B$175)</f>
        <v/>
      </c>
      <c r="AO141" s="8">
        <f>AO65*Assumptions!$B$263*AO83*(1+Assumptions!$B$175)</f>
        <v/>
      </c>
      <c r="AP141" s="8">
        <f>AP65*Assumptions!$B$263*AP83*(1+Assumptions!$B$175)</f>
        <v/>
      </c>
      <c r="AQ141" s="8">
        <f>AQ65*Assumptions!$B$263*AQ83*(1+Assumptions!$B$175)</f>
        <v/>
      </c>
      <c r="AR141" s="8">
        <f>AR65*Assumptions!$B$263*AR83*(1+Assumptions!$B$175)</f>
        <v/>
      </c>
      <c r="AS141" s="8">
        <f>AS65*Assumptions!$B$263*AS83*(1+Assumptions!$B$175)</f>
        <v/>
      </c>
      <c r="AT141" s="8">
        <f>AT65*Assumptions!$B$263*AT83*(1+Assumptions!$B$175)</f>
        <v/>
      </c>
      <c r="AU141" s="8">
        <f>AU65*Assumptions!$B$263*AU83*(1+Assumptions!$B$175)</f>
        <v/>
      </c>
      <c r="AV141" s="8">
        <f>AV65*Assumptions!$B$263*AV83*(1+Assumptions!$B$175)</f>
        <v/>
      </c>
      <c r="AW141" s="8">
        <f>AW65*Assumptions!$B$263*AW83*(1+Assumptions!$B$175)</f>
        <v/>
      </c>
      <c r="AX141" s="8">
        <f>AX65*Assumptions!$B$263*AX83*(1+Assumptions!$B$175)</f>
        <v/>
      </c>
      <c r="AY141" s="8">
        <f>AY65*Assumptions!$B$263*AY83*(1+Assumptions!$B$175)</f>
        <v/>
      </c>
      <c r="AZ141" s="8">
        <f>AZ65*Assumptions!$B$263*AZ83*(1+Assumptions!$B$175)</f>
        <v/>
      </c>
      <c r="BA141" s="8">
        <f>BA65*Assumptions!$B$263*BA83*(1+Assumptions!$B$175)</f>
        <v/>
      </c>
      <c r="BB141" s="8">
        <f>BB65*Assumptions!$B$263*BB83*(1+Assumptions!$B$175)</f>
        <v/>
      </c>
      <c r="BC141" s="8">
        <f>BC65*Assumptions!$B$263*BC83*(1+Assumptions!$B$175)</f>
        <v/>
      </c>
      <c r="BD141" s="8">
        <f>BD65*Assumptions!$B$263*BD83*(1+Assumptions!$B$175)</f>
        <v/>
      </c>
      <c r="BE141" s="8">
        <f>BE65*Assumptions!$B$263*BE83*(1+Assumptions!$B$175)</f>
        <v/>
      </c>
      <c r="BF141" s="8">
        <f>BF65*Assumptions!$B$263*BF83*(1+Assumptions!$B$175)</f>
        <v/>
      </c>
      <c r="BG141" s="8">
        <f>BG65*Assumptions!$B$263*BG83*(1+Assumptions!$B$175)</f>
        <v/>
      </c>
      <c r="BH141" s="8">
        <f>BH65*Assumptions!$B$263*BH83*(1+Assumptions!$B$175)</f>
        <v/>
      </c>
      <c r="BI141" s="8">
        <f>BI65*Assumptions!$B$263*BI83*(1+Assumptions!$B$175)</f>
        <v/>
      </c>
      <c r="BJ141" s="8">
        <f>BJ65*Assumptions!$B$263*BJ83*(1+Assumptions!$B$175)</f>
        <v/>
      </c>
    </row>
    <row r="142"/>
    <row r="143">
      <c r="A143" s="19" t="inlineStr">
        <is>
          <t>Payroll by department</t>
        </is>
      </c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19" t="n"/>
      <c r="AJ143" s="19" t="n"/>
      <c r="AK143" s="19" t="n"/>
      <c r="AL143" s="19" t="n"/>
      <c r="AM143" s="19" t="n"/>
      <c r="AN143" s="19" t="n"/>
      <c r="AO143" s="19" t="n"/>
      <c r="AP143" s="19" t="n"/>
      <c r="AQ143" s="19" t="n"/>
      <c r="AR143" s="19" t="n"/>
      <c r="AS143" s="19" t="n"/>
      <c r="AT143" s="19" t="n"/>
      <c r="AU143" s="19" t="n"/>
      <c r="AV143" s="19" t="n"/>
      <c r="AW143" s="19" t="n"/>
      <c r="AX143" s="19" t="n"/>
      <c r="AY143" s="19" t="n"/>
      <c r="AZ143" s="19" t="n"/>
      <c r="BA143" s="19" t="n"/>
      <c r="BB143" s="19" t="n"/>
      <c r="BC143" s="19" t="n"/>
      <c r="BD143" s="19" t="n"/>
      <c r="BE143" s="19" t="n"/>
      <c r="BF143" s="19" t="n"/>
      <c r="BG143" s="19" t="n"/>
      <c r="BH143" s="19" t="n"/>
      <c r="BI143" s="19" t="n"/>
      <c r="BJ143" s="19" t="n"/>
    </row>
    <row r="144">
      <c r="A144" s="4" t="inlineStr">
        <is>
          <t>Leadership</t>
        </is>
      </c>
      <c r="B144" s="17" t="inlineStr">
        <is>
          <t>R</t>
        </is>
      </c>
      <c r="C144" s="8">
        <f>C84+C85</f>
        <v/>
      </c>
      <c r="D144" s="8">
        <f>D84+D85</f>
        <v/>
      </c>
      <c r="E144" s="8">
        <f>E84+E85</f>
        <v/>
      </c>
      <c r="F144" s="8">
        <f>F84+F85</f>
        <v/>
      </c>
      <c r="G144" s="8">
        <f>G84+G85</f>
        <v/>
      </c>
      <c r="H144" s="8">
        <f>H84+H85</f>
        <v/>
      </c>
      <c r="I144" s="8">
        <f>I84+I85</f>
        <v/>
      </c>
      <c r="J144" s="8">
        <f>J84+J85</f>
        <v/>
      </c>
      <c r="K144" s="8">
        <f>K84+K85</f>
        <v/>
      </c>
      <c r="L144" s="8">
        <f>L84+L85</f>
        <v/>
      </c>
      <c r="M144" s="8">
        <f>M84+M85</f>
        <v/>
      </c>
      <c r="N144" s="8">
        <f>N84+N85</f>
        <v/>
      </c>
      <c r="O144" s="8">
        <f>O84+O85</f>
        <v/>
      </c>
      <c r="P144" s="8">
        <f>P84+P85</f>
        <v/>
      </c>
      <c r="Q144" s="8">
        <f>Q84+Q85</f>
        <v/>
      </c>
      <c r="R144" s="8">
        <f>R84+R85</f>
        <v/>
      </c>
      <c r="S144" s="8">
        <f>S84+S85</f>
        <v/>
      </c>
      <c r="T144" s="8">
        <f>T84+T85</f>
        <v/>
      </c>
      <c r="U144" s="8">
        <f>U84+U85</f>
        <v/>
      </c>
      <c r="V144" s="8">
        <f>V84+V85</f>
        <v/>
      </c>
      <c r="W144" s="8">
        <f>W84+W85</f>
        <v/>
      </c>
      <c r="X144" s="8">
        <f>X84+X85</f>
        <v/>
      </c>
      <c r="Y144" s="8">
        <f>Y84+Y85</f>
        <v/>
      </c>
      <c r="Z144" s="8">
        <f>Z84+Z85</f>
        <v/>
      </c>
      <c r="AA144" s="8">
        <f>AA84+AA85</f>
        <v/>
      </c>
      <c r="AB144" s="8">
        <f>AB84+AB85</f>
        <v/>
      </c>
      <c r="AC144" s="8">
        <f>AC84+AC85</f>
        <v/>
      </c>
      <c r="AD144" s="8">
        <f>AD84+AD85</f>
        <v/>
      </c>
      <c r="AE144" s="8">
        <f>AE84+AE85</f>
        <v/>
      </c>
      <c r="AF144" s="8">
        <f>AF84+AF85</f>
        <v/>
      </c>
      <c r="AG144" s="8">
        <f>AG84+AG85</f>
        <v/>
      </c>
      <c r="AH144" s="8">
        <f>AH84+AH85</f>
        <v/>
      </c>
      <c r="AI144" s="8">
        <f>AI84+AI85</f>
        <v/>
      </c>
      <c r="AJ144" s="8">
        <f>AJ84+AJ85</f>
        <v/>
      </c>
      <c r="AK144" s="8">
        <f>AK84+AK85</f>
        <v/>
      </c>
      <c r="AL144" s="8">
        <f>AL84+AL85</f>
        <v/>
      </c>
      <c r="AM144" s="8">
        <f>AM84+AM85</f>
        <v/>
      </c>
      <c r="AN144" s="8">
        <f>AN84+AN85</f>
        <v/>
      </c>
      <c r="AO144" s="8">
        <f>AO84+AO85</f>
        <v/>
      </c>
      <c r="AP144" s="8">
        <f>AP84+AP85</f>
        <v/>
      </c>
      <c r="AQ144" s="8">
        <f>AQ84+AQ85</f>
        <v/>
      </c>
      <c r="AR144" s="8">
        <f>AR84+AR85</f>
        <v/>
      </c>
      <c r="AS144" s="8">
        <f>AS84+AS85</f>
        <v/>
      </c>
      <c r="AT144" s="8">
        <f>AT84+AT85</f>
        <v/>
      </c>
      <c r="AU144" s="8">
        <f>AU84+AU85</f>
        <v/>
      </c>
      <c r="AV144" s="8">
        <f>AV84+AV85</f>
        <v/>
      </c>
      <c r="AW144" s="8">
        <f>AW84+AW85</f>
        <v/>
      </c>
      <c r="AX144" s="8">
        <f>AX84+AX85</f>
        <v/>
      </c>
      <c r="AY144" s="8">
        <f>AY84+AY85</f>
        <v/>
      </c>
      <c r="AZ144" s="8">
        <f>AZ84+AZ85</f>
        <v/>
      </c>
      <c r="BA144" s="8">
        <f>BA84+BA85</f>
        <v/>
      </c>
      <c r="BB144" s="8">
        <f>BB84+BB85</f>
        <v/>
      </c>
      <c r="BC144" s="8">
        <f>BC84+BC85</f>
        <v/>
      </c>
      <c r="BD144" s="8">
        <f>BD84+BD85</f>
        <v/>
      </c>
      <c r="BE144" s="8">
        <f>BE84+BE85</f>
        <v/>
      </c>
      <c r="BF144" s="8">
        <f>BF84+BF85</f>
        <v/>
      </c>
      <c r="BG144" s="8">
        <f>BG84+BG85</f>
        <v/>
      </c>
      <c r="BH144" s="8">
        <f>BH84+BH85</f>
        <v/>
      </c>
      <c r="BI144" s="8">
        <f>BI84+BI85</f>
        <v/>
      </c>
      <c r="BJ144" s="8">
        <f>BJ84+BJ85</f>
        <v/>
      </c>
    </row>
    <row r="145">
      <c r="A145" s="4" t="inlineStr">
        <is>
          <t>Engineering &amp; product</t>
        </is>
      </c>
      <c r="B145" s="17" t="inlineStr">
        <is>
          <t>R</t>
        </is>
      </c>
      <c r="C145" s="8">
        <f>C86+C87+C88+C89+C90+C91+C92+C93+C94+C95+C96+C97+C98+C99+C100+C101+C102</f>
        <v/>
      </c>
      <c r="D145" s="8">
        <f>D86+D87+D88+D89+D90+D91+D92+D93+D94+D95+D96+D97+D98+D99+D100+D101+D102</f>
        <v/>
      </c>
      <c r="E145" s="8">
        <f>E86+E87+E88+E89+E90+E91+E92+E93+E94+E95+E96+E97+E98+E99+E100+E101+E102</f>
        <v/>
      </c>
      <c r="F145" s="8">
        <f>F86+F87+F88+F89+F90+F91+F92+F93+F94+F95+F96+F97+F98+F99+F100+F101+F102</f>
        <v/>
      </c>
      <c r="G145" s="8">
        <f>G86+G87+G88+G89+G90+G91+G92+G93+G94+G95+G96+G97+G98+G99+G100+G101+G102</f>
        <v/>
      </c>
      <c r="H145" s="8">
        <f>H86+H87+H88+H89+H90+H91+H92+H93+H94+H95+H96+H97+H98+H99+H100+H101+H102</f>
        <v/>
      </c>
      <c r="I145" s="8">
        <f>I86+I87+I88+I89+I90+I91+I92+I93+I94+I95+I96+I97+I98+I99+I100+I101+I102</f>
        <v/>
      </c>
      <c r="J145" s="8">
        <f>J86+J87+J88+J89+J90+J91+J92+J93+J94+J95+J96+J97+J98+J99+J100+J101+J102</f>
        <v/>
      </c>
      <c r="K145" s="8">
        <f>K86+K87+K88+K89+K90+K91+K92+K93+K94+K95+K96+K97+K98+K99+K100+K101+K102</f>
        <v/>
      </c>
      <c r="L145" s="8">
        <f>L86+L87+L88+L89+L90+L91+L92+L93+L94+L95+L96+L97+L98+L99+L100+L101+L102</f>
        <v/>
      </c>
      <c r="M145" s="8">
        <f>M86+M87+M88+M89+M90+M91+M92+M93+M94+M95+M96+M97+M98+M99+M100+M101+M102</f>
        <v/>
      </c>
      <c r="N145" s="8">
        <f>N86+N87+N88+N89+N90+N91+N92+N93+N94+N95+N96+N97+N98+N99+N100+N101+N102</f>
        <v/>
      </c>
      <c r="O145" s="8">
        <f>O86+O87+O88+O89+O90+O91+O92+O93+O94+O95+O96+O97+O98+O99+O100+O101+O102</f>
        <v/>
      </c>
      <c r="P145" s="8">
        <f>P86+P87+P88+P89+P90+P91+P92+P93+P94+P95+P96+P97+P98+P99+P100+P101+P102</f>
        <v/>
      </c>
      <c r="Q145" s="8">
        <f>Q86+Q87+Q88+Q89+Q90+Q91+Q92+Q93+Q94+Q95+Q96+Q97+Q98+Q99+Q100+Q101+Q102</f>
        <v/>
      </c>
      <c r="R145" s="8">
        <f>R86+R87+R88+R89+R90+R91+R92+R93+R94+R95+R96+R97+R98+R99+R100+R101+R102</f>
        <v/>
      </c>
      <c r="S145" s="8">
        <f>S86+S87+S88+S89+S90+S91+S92+S93+S94+S95+S96+S97+S98+S99+S100+S101+S102</f>
        <v/>
      </c>
      <c r="T145" s="8">
        <f>T86+T87+T88+T89+T90+T91+T92+T93+T94+T95+T96+T97+T98+T99+T100+T101+T102</f>
        <v/>
      </c>
      <c r="U145" s="8">
        <f>U86+U87+U88+U89+U90+U91+U92+U93+U94+U95+U96+U97+U98+U99+U100+U101+U102</f>
        <v/>
      </c>
      <c r="V145" s="8">
        <f>V86+V87+V88+V89+V90+V91+V92+V93+V94+V95+V96+V97+V98+V99+V100+V101+V102</f>
        <v/>
      </c>
      <c r="W145" s="8">
        <f>W86+W87+W88+W89+W90+W91+W92+W93+W94+W95+W96+W97+W98+W99+W100+W101+W102</f>
        <v/>
      </c>
      <c r="X145" s="8">
        <f>X86+X87+X88+X89+X90+X91+X92+X93+X94+X95+X96+X97+X98+X99+X100+X101+X102</f>
        <v/>
      </c>
      <c r="Y145" s="8">
        <f>Y86+Y87+Y88+Y89+Y90+Y91+Y92+Y93+Y94+Y95+Y96+Y97+Y98+Y99+Y100+Y101+Y102</f>
        <v/>
      </c>
      <c r="Z145" s="8">
        <f>Z86+Z87+Z88+Z89+Z90+Z91+Z92+Z93+Z94+Z95+Z96+Z97+Z98+Z99+Z100+Z101+Z102</f>
        <v/>
      </c>
      <c r="AA145" s="8">
        <f>AA86+AA87+AA88+AA89+AA90+AA91+AA92+AA93+AA94+AA95+AA96+AA97+AA98+AA99+AA100+AA101+AA102</f>
        <v/>
      </c>
      <c r="AB145" s="8">
        <f>AB86+AB87+AB88+AB89+AB90+AB91+AB92+AB93+AB94+AB95+AB96+AB97+AB98+AB99+AB100+AB101+AB102</f>
        <v/>
      </c>
      <c r="AC145" s="8">
        <f>AC86+AC87+AC88+AC89+AC90+AC91+AC92+AC93+AC94+AC95+AC96+AC97+AC98+AC99+AC100+AC101+AC102</f>
        <v/>
      </c>
      <c r="AD145" s="8">
        <f>AD86+AD87+AD88+AD89+AD90+AD91+AD92+AD93+AD94+AD95+AD96+AD97+AD98+AD99+AD100+AD101+AD102</f>
        <v/>
      </c>
      <c r="AE145" s="8">
        <f>AE86+AE87+AE88+AE89+AE90+AE91+AE92+AE93+AE94+AE95+AE96+AE97+AE98+AE99+AE100+AE101+AE102</f>
        <v/>
      </c>
      <c r="AF145" s="8">
        <f>AF86+AF87+AF88+AF89+AF90+AF91+AF92+AF93+AF94+AF95+AF96+AF97+AF98+AF99+AF100+AF101+AF102</f>
        <v/>
      </c>
      <c r="AG145" s="8">
        <f>AG86+AG87+AG88+AG89+AG90+AG91+AG92+AG93+AG94+AG95+AG96+AG97+AG98+AG99+AG100+AG101+AG102</f>
        <v/>
      </c>
      <c r="AH145" s="8">
        <f>AH86+AH87+AH88+AH89+AH90+AH91+AH92+AH93+AH94+AH95+AH96+AH97+AH98+AH99+AH100+AH101+AH102</f>
        <v/>
      </c>
      <c r="AI145" s="8">
        <f>AI86+AI87+AI88+AI89+AI90+AI91+AI92+AI93+AI94+AI95+AI96+AI97+AI98+AI99+AI100+AI101+AI102</f>
        <v/>
      </c>
      <c r="AJ145" s="8">
        <f>AJ86+AJ87+AJ88+AJ89+AJ90+AJ91+AJ92+AJ93+AJ94+AJ95+AJ96+AJ97+AJ98+AJ99+AJ100+AJ101+AJ102</f>
        <v/>
      </c>
      <c r="AK145" s="8">
        <f>AK86+AK87+AK88+AK89+AK90+AK91+AK92+AK93+AK94+AK95+AK96+AK97+AK98+AK99+AK100+AK101+AK102</f>
        <v/>
      </c>
      <c r="AL145" s="8">
        <f>AL86+AL87+AL88+AL89+AL90+AL91+AL92+AL93+AL94+AL95+AL96+AL97+AL98+AL99+AL100+AL101+AL102</f>
        <v/>
      </c>
      <c r="AM145" s="8">
        <f>AM86+AM87+AM88+AM89+AM90+AM91+AM92+AM93+AM94+AM95+AM96+AM97+AM98+AM99+AM100+AM101+AM102</f>
        <v/>
      </c>
      <c r="AN145" s="8">
        <f>AN86+AN87+AN88+AN89+AN90+AN91+AN92+AN93+AN94+AN95+AN96+AN97+AN98+AN99+AN100+AN101+AN102</f>
        <v/>
      </c>
      <c r="AO145" s="8">
        <f>AO86+AO87+AO88+AO89+AO90+AO91+AO92+AO93+AO94+AO95+AO96+AO97+AO98+AO99+AO100+AO101+AO102</f>
        <v/>
      </c>
      <c r="AP145" s="8">
        <f>AP86+AP87+AP88+AP89+AP90+AP91+AP92+AP93+AP94+AP95+AP96+AP97+AP98+AP99+AP100+AP101+AP102</f>
        <v/>
      </c>
      <c r="AQ145" s="8">
        <f>AQ86+AQ87+AQ88+AQ89+AQ90+AQ91+AQ92+AQ93+AQ94+AQ95+AQ96+AQ97+AQ98+AQ99+AQ100+AQ101+AQ102</f>
        <v/>
      </c>
      <c r="AR145" s="8">
        <f>AR86+AR87+AR88+AR89+AR90+AR91+AR92+AR93+AR94+AR95+AR96+AR97+AR98+AR99+AR100+AR101+AR102</f>
        <v/>
      </c>
      <c r="AS145" s="8">
        <f>AS86+AS87+AS88+AS89+AS90+AS91+AS92+AS93+AS94+AS95+AS96+AS97+AS98+AS99+AS100+AS101+AS102</f>
        <v/>
      </c>
      <c r="AT145" s="8">
        <f>AT86+AT87+AT88+AT89+AT90+AT91+AT92+AT93+AT94+AT95+AT96+AT97+AT98+AT99+AT100+AT101+AT102</f>
        <v/>
      </c>
      <c r="AU145" s="8">
        <f>AU86+AU87+AU88+AU89+AU90+AU91+AU92+AU93+AU94+AU95+AU96+AU97+AU98+AU99+AU100+AU101+AU102</f>
        <v/>
      </c>
      <c r="AV145" s="8">
        <f>AV86+AV87+AV88+AV89+AV90+AV91+AV92+AV93+AV94+AV95+AV96+AV97+AV98+AV99+AV100+AV101+AV102</f>
        <v/>
      </c>
      <c r="AW145" s="8">
        <f>AW86+AW87+AW88+AW89+AW90+AW91+AW92+AW93+AW94+AW95+AW96+AW97+AW98+AW99+AW100+AW101+AW102</f>
        <v/>
      </c>
      <c r="AX145" s="8">
        <f>AX86+AX87+AX88+AX89+AX90+AX91+AX92+AX93+AX94+AX95+AX96+AX97+AX98+AX99+AX100+AX101+AX102</f>
        <v/>
      </c>
      <c r="AY145" s="8">
        <f>AY86+AY87+AY88+AY89+AY90+AY91+AY92+AY93+AY94+AY95+AY96+AY97+AY98+AY99+AY100+AY101+AY102</f>
        <v/>
      </c>
      <c r="AZ145" s="8">
        <f>AZ86+AZ87+AZ88+AZ89+AZ90+AZ91+AZ92+AZ93+AZ94+AZ95+AZ96+AZ97+AZ98+AZ99+AZ100+AZ101+AZ102</f>
        <v/>
      </c>
      <c r="BA145" s="8">
        <f>BA86+BA87+BA88+BA89+BA90+BA91+BA92+BA93+BA94+BA95+BA96+BA97+BA98+BA99+BA100+BA101+BA102</f>
        <v/>
      </c>
      <c r="BB145" s="8">
        <f>BB86+BB87+BB88+BB89+BB90+BB91+BB92+BB93+BB94+BB95+BB96+BB97+BB98+BB99+BB100+BB101+BB102</f>
        <v/>
      </c>
      <c r="BC145" s="8">
        <f>BC86+BC87+BC88+BC89+BC90+BC91+BC92+BC93+BC94+BC95+BC96+BC97+BC98+BC99+BC100+BC101+BC102</f>
        <v/>
      </c>
      <c r="BD145" s="8">
        <f>BD86+BD87+BD88+BD89+BD90+BD91+BD92+BD93+BD94+BD95+BD96+BD97+BD98+BD99+BD100+BD101+BD102</f>
        <v/>
      </c>
      <c r="BE145" s="8">
        <f>BE86+BE87+BE88+BE89+BE90+BE91+BE92+BE93+BE94+BE95+BE96+BE97+BE98+BE99+BE100+BE101+BE102</f>
        <v/>
      </c>
      <c r="BF145" s="8">
        <f>BF86+BF87+BF88+BF89+BF90+BF91+BF92+BF93+BF94+BF95+BF96+BF97+BF98+BF99+BF100+BF101+BF102</f>
        <v/>
      </c>
      <c r="BG145" s="8">
        <f>BG86+BG87+BG88+BG89+BG90+BG91+BG92+BG93+BG94+BG95+BG96+BG97+BG98+BG99+BG100+BG101+BG102</f>
        <v/>
      </c>
      <c r="BH145" s="8">
        <f>BH86+BH87+BH88+BH89+BH90+BH91+BH92+BH93+BH94+BH95+BH96+BH97+BH98+BH99+BH100+BH101+BH102</f>
        <v/>
      </c>
      <c r="BI145" s="8">
        <f>BI86+BI87+BI88+BI89+BI90+BI91+BI92+BI93+BI94+BI95+BI96+BI97+BI98+BI99+BI100+BI101+BI102</f>
        <v/>
      </c>
      <c r="BJ145" s="8">
        <f>BJ86+BJ87+BJ88+BJ89+BJ90+BJ91+BJ92+BJ93+BJ94+BJ95+BJ96+BJ97+BJ98+BJ99+BJ100+BJ101+BJ102</f>
        <v/>
      </c>
    </row>
    <row r="146">
      <c r="A146" s="4" t="inlineStr">
        <is>
          <t>Marketing</t>
        </is>
      </c>
      <c r="B146" s="17" t="inlineStr">
        <is>
          <t>R</t>
        </is>
      </c>
      <c r="C146" s="8">
        <f>C103+C104+C105+C106+C107+C108+C109</f>
        <v/>
      </c>
      <c r="D146" s="8">
        <f>D103+D104+D105+D106+D107+D108+D109</f>
        <v/>
      </c>
      <c r="E146" s="8">
        <f>E103+E104+E105+E106+E107+E108+E109</f>
        <v/>
      </c>
      <c r="F146" s="8">
        <f>F103+F104+F105+F106+F107+F108+F109</f>
        <v/>
      </c>
      <c r="G146" s="8">
        <f>G103+G104+G105+G106+G107+G108+G109</f>
        <v/>
      </c>
      <c r="H146" s="8">
        <f>H103+H104+H105+H106+H107+H108+H109</f>
        <v/>
      </c>
      <c r="I146" s="8">
        <f>I103+I104+I105+I106+I107+I108+I109</f>
        <v/>
      </c>
      <c r="J146" s="8">
        <f>J103+J104+J105+J106+J107+J108+J109</f>
        <v/>
      </c>
      <c r="K146" s="8">
        <f>K103+K104+K105+K106+K107+K108+K109</f>
        <v/>
      </c>
      <c r="L146" s="8">
        <f>L103+L104+L105+L106+L107+L108+L109</f>
        <v/>
      </c>
      <c r="M146" s="8">
        <f>M103+M104+M105+M106+M107+M108+M109</f>
        <v/>
      </c>
      <c r="N146" s="8">
        <f>N103+N104+N105+N106+N107+N108+N109</f>
        <v/>
      </c>
      <c r="O146" s="8">
        <f>O103+O104+O105+O106+O107+O108+O109</f>
        <v/>
      </c>
      <c r="P146" s="8">
        <f>P103+P104+P105+P106+P107+P108+P109</f>
        <v/>
      </c>
      <c r="Q146" s="8">
        <f>Q103+Q104+Q105+Q106+Q107+Q108+Q109</f>
        <v/>
      </c>
      <c r="R146" s="8">
        <f>R103+R104+R105+R106+R107+R108+R109</f>
        <v/>
      </c>
      <c r="S146" s="8">
        <f>S103+S104+S105+S106+S107+S108+S109</f>
        <v/>
      </c>
      <c r="T146" s="8">
        <f>T103+T104+T105+T106+T107+T108+T109</f>
        <v/>
      </c>
      <c r="U146" s="8">
        <f>U103+U104+U105+U106+U107+U108+U109</f>
        <v/>
      </c>
      <c r="V146" s="8">
        <f>V103+V104+V105+V106+V107+V108+V109</f>
        <v/>
      </c>
      <c r="W146" s="8">
        <f>W103+W104+W105+W106+W107+W108+W109</f>
        <v/>
      </c>
      <c r="X146" s="8">
        <f>X103+X104+X105+X106+X107+X108+X109</f>
        <v/>
      </c>
      <c r="Y146" s="8">
        <f>Y103+Y104+Y105+Y106+Y107+Y108+Y109</f>
        <v/>
      </c>
      <c r="Z146" s="8">
        <f>Z103+Z104+Z105+Z106+Z107+Z108+Z109</f>
        <v/>
      </c>
      <c r="AA146" s="8">
        <f>AA103+AA104+AA105+AA106+AA107+AA108+AA109</f>
        <v/>
      </c>
      <c r="AB146" s="8">
        <f>AB103+AB104+AB105+AB106+AB107+AB108+AB109</f>
        <v/>
      </c>
      <c r="AC146" s="8">
        <f>AC103+AC104+AC105+AC106+AC107+AC108+AC109</f>
        <v/>
      </c>
      <c r="AD146" s="8">
        <f>AD103+AD104+AD105+AD106+AD107+AD108+AD109</f>
        <v/>
      </c>
      <c r="AE146" s="8">
        <f>AE103+AE104+AE105+AE106+AE107+AE108+AE109</f>
        <v/>
      </c>
      <c r="AF146" s="8">
        <f>AF103+AF104+AF105+AF106+AF107+AF108+AF109</f>
        <v/>
      </c>
      <c r="AG146" s="8">
        <f>AG103+AG104+AG105+AG106+AG107+AG108+AG109</f>
        <v/>
      </c>
      <c r="AH146" s="8">
        <f>AH103+AH104+AH105+AH106+AH107+AH108+AH109</f>
        <v/>
      </c>
      <c r="AI146" s="8">
        <f>AI103+AI104+AI105+AI106+AI107+AI108+AI109</f>
        <v/>
      </c>
      <c r="AJ146" s="8">
        <f>AJ103+AJ104+AJ105+AJ106+AJ107+AJ108+AJ109</f>
        <v/>
      </c>
      <c r="AK146" s="8">
        <f>AK103+AK104+AK105+AK106+AK107+AK108+AK109</f>
        <v/>
      </c>
      <c r="AL146" s="8">
        <f>AL103+AL104+AL105+AL106+AL107+AL108+AL109</f>
        <v/>
      </c>
      <c r="AM146" s="8">
        <f>AM103+AM104+AM105+AM106+AM107+AM108+AM109</f>
        <v/>
      </c>
      <c r="AN146" s="8">
        <f>AN103+AN104+AN105+AN106+AN107+AN108+AN109</f>
        <v/>
      </c>
      <c r="AO146" s="8">
        <f>AO103+AO104+AO105+AO106+AO107+AO108+AO109</f>
        <v/>
      </c>
      <c r="AP146" s="8">
        <f>AP103+AP104+AP105+AP106+AP107+AP108+AP109</f>
        <v/>
      </c>
      <c r="AQ146" s="8">
        <f>AQ103+AQ104+AQ105+AQ106+AQ107+AQ108+AQ109</f>
        <v/>
      </c>
      <c r="AR146" s="8">
        <f>AR103+AR104+AR105+AR106+AR107+AR108+AR109</f>
        <v/>
      </c>
      <c r="AS146" s="8">
        <f>AS103+AS104+AS105+AS106+AS107+AS108+AS109</f>
        <v/>
      </c>
      <c r="AT146" s="8">
        <f>AT103+AT104+AT105+AT106+AT107+AT108+AT109</f>
        <v/>
      </c>
      <c r="AU146" s="8">
        <f>AU103+AU104+AU105+AU106+AU107+AU108+AU109</f>
        <v/>
      </c>
      <c r="AV146" s="8">
        <f>AV103+AV104+AV105+AV106+AV107+AV108+AV109</f>
        <v/>
      </c>
      <c r="AW146" s="8">
        <f>AW103+AW104+AW105+AW106+AW107+AW108+AW109</f>
        <v/>
      </c>
      <c r="AX146" s="8">
        <f>AX103+AX104+AX105+AX106+AX107+AX108+AX109</f>
        <v/>
      </c>
      <c r="AY146" s="8">
        <f>AY103+AY104+AY105+AY106+AY107+AY108+AY109</f>
        <v/>
      </c>
      <c r="AZ146" s="8">
        <f>AZ103+AZ104+AZ105+AZ106+AZ107+AZ108+AZ109</f>
        <v/>
      </c>
      <c r="BA146" s="8">
        <f>BA103+BA104+BA105+BA106+BA107+BA108+BA109</f>
        <v/>
      </c>
      <c r="BB146" s="8">
        <f>BB103+BB104+BB105+BB106+BB107+BB108+BB109</f>
        <v/>
      </c>
      <c r="BC146" s="8">
        <f>BC103+BC104+BC105+BC106+BC107+BC108+BC109</f>
        <v/>
      </c>
      <c r="BD146" s="8">
        <f>BD103+BD104+BD105+BD106+BD107+BD108+BD109</f>
        <v/>
      </c>
      <c r="BE146" s="8">
        <f>BE103+BE104+BE105+BE106+BE107+BE108+BE109</f>
        <v/>
      </c>
      <c r="BF146" s="8">
        <f>BF103+BF104+BF105+BF106+BF107+BF108+BF109</f>
        <v/>
      </c>
      <c r="BG146" s="8">
        <f>BG103+BG104+BG105+BG106+BG107+BG108+BG109</f>
        <v/>
      </c>
      <c r="BH146" s="8">
        <f>BH103+BH104+BH105+BH106+BH107+BH108+BH109</f>
        <v/>
      </c>
      <c r="BI146" s="8">
        <f>BI103+BI104+BI105+BI106+BI107+BI108+BI109</f>
        <v/>
      </c>
      <c r="BJ146" s="8">
        <f>BJ103+BJ104+BJ105+BJ106+BJ107+BJ108+BJ109</f>
        <v/>
      </c>
    </row>
    <row r="147">
      <c r="A147" s="4" t="inlineStr">
        <is>
          <t>Sales &amp; partnerships</t>
        </is>
      </c>
      <c r="B147" s="17" t="inlineStr">
        <is>
          <t>R</t>
        </is>
      </c>
      <c r="C147" s="8">
        <f>C110+C111+C112+C113+C114+C115+C116+C117+C118</f>
        <v/>
      </c>
      <c r="D147" s="8">
        <f>D110+D111+D112+D113+D114+D115+D116+D117+D118</f>
        <v/>
      </c>
      <c r="E147" s="8">
        <f>E110+E111+E112+E113+E114+E115+E116+E117+E118</f>
        <v/>
      </c>
      <c r="F147" s="8">
        <f>F110+F111+F112+F113+F114+F115+F116+F117+F118</f>
        <v/>
      </c>
      <c r="G147" s="8">
        <f>G110+G111+G112+G113+G114+G115+G116+G117+G118</f>
        <v/>
      </c>
      <c r="H147" s="8">
        <f>H110+H111+H112+H113+H114+H115+H116+H117+H118</f>
        <v/>
      </c>
      <c r="I147" s="8">
        <f>I110+I111+I112+I113+I114+I115+I116+I117+I118</f>
        <v/>
      </c>
      <c r="J147" s="8">
        <f>J110+J111+J112+J113+J114+J115+J116+J117+J118</f>
        <v/>
      </c>
      <c r="K147" s="8">
        <f>K110+K111+K112+K113+K114+K115+K116+K117+K118</f>
        <v/>
      </c>
      <c r="L147" s="8">
        <f>L110+L111+L112+L113+L114+L115+L116+L117+L118</f>
        <v/>
      </c>
      <c r="M147" s="8">
        <f>M110+M111+M112+M113+M114+M115+M116+M117+M118</f>
        <v/>
      </c>
      <c r="N147" s="8">
        <f>N110+N111+N112+N113+N114+N115+N116+N117+N118</f>
        <v/>
      </c>
      <c r="O147" s="8">
        <f>O110+O111+O112+O113+O114+O115+O116+O117+O118</f>
        <v/>
      </c>
      <c r="P147" s="8">
        <f>P110+P111+P112+P113+P114+P115+P116+P117+P118</f>
        <v/>
      </c>
      <c r="Q147" s="8">
        <f>Q110+Q111+Q112+Q113+Q114+Q115+Q116+Q117+Q118</f>
        <v/>
      </c>
      <c r="R147" s="8">
        <f>R110+R111+R112+R113+R114+R115+R116+R117+R118</f>
        <v/>
      </c>
      <c r="S147" s="8">
        <f>S110+S111+S112+S113+S114+S115+S116+S117+S118</f>
        <v/>
      </c>
      <c r="T147" s="8">
        <f>T110+T111+T112+T113+T114+T115+T116+T117+T118</f>
        <v/>
      </c>
      <c r="U147" s="8">
        <f>U110+U111+U112+U113+U114+U115+U116+U117+U118</f>
        <v/>
      </c>
      <c r="V147" s="8">
        <f>V110+V111+V112+V113+V114+V115+V116+V117+V118</f>
        <v/>
      </c>
      <c r="W147" s="8">
        <f>W110+W111+W112+W113+W114+W115+W116+W117+W118</f>
        <v/>
      </c>
      <c r="X147" s="8">
        <f>X110+X111+X112+X113+X114+X115+X116+X117+X118</f>
        <v/>
      </c>
      <c r="Y147" s="8">
        <f>Y110+Y111+Y112+Y113+Y114+Y115+Y116+Y117+Y118</f>
        <v/>
      </c>
      <c r="Z147" s="8">
        <f>Z110+Z111+Z112+Z113+Z114+Z115+Z116+Z117+Z118</f>
        <v/>
      </c>
      <c r="AA147" s="8">
        <f>AA110+AA111+AA112+AA113+AA114+AA115+AA116+AA117+AA118</f>
        <v/>
      </c>
      <c r="AB147" s="8">
        <f>AB110+AB111+AB112+AB113+AB114+AB115+AB116+AB117+AB118</f>
        <v/>
      </c>
      <c r="AC147" s="8">
        <f>AC110+AC111+AC112+AC113+AC114+AC115+AC116+AC117+AC118</f>
        <v/>
      </c>
      <c r="AD147" s="8">
        <f>AD110+AD111+AD112+AD113+AD114+AD115+AD116+AD117+AD118</f>
        <v/>
      </c>
      <c r="AE147" s="8">
        <f>AE110+AE111+AE112+AE113+AE114+AE115+AE116+AE117+AE118</f>
        <v/>
      </c>
      <c r="AF147" s="8">
        <f>AF110+AF111+AF112+AF113+AF114+AF115+AF116+AF117+AF118</f>
        <v/>
      </c>
      <c r="AG147" s="8">
        <f>AG110+AG111+AG112+AG113+AG114+AG115+AG116+AG117+AG118</f>
        <v/>
      </c>
      <c r="AH147" s="8">
        <f>AH110+AH111+AH112+AH113+AH114+AH115+AH116+AH117+AH118</f>
        <v/>
      </c>
      <c r="AI147" s="8">
        <f>AI110+AI111+AI112+AI113+AI114+AI115+AI116+AI117+AI118</f>
        <v/>
      </c>
      <c r="AJ147" s="8">
        <f>AJ110+AJ111+AJ112+AJ113+AJ114+AJ115+AJ116+AJ117+AJ118</f>
        <v/>
      </c>
      <c r="AK147" s="8">
        <f>AK110+AK111+AK112+AK113+AK114+AK115+AK116+AK117+AK118</f>
        <v/>
      </c>
      <c r="AL147" s="8">
        <f>AL110+AL111+AL112+AL113+AL114+AL115+AL116+AL117+AL118</f>
        <v/>
      </c>
      <c r="AM147" s="8">
        <f>AM110+AM111+AM112+AM113+AM114+AM115+AM116+AM117+AM118</f>
        <v/>
      </c>
      <c r="AN147" s="8">
        <f>AN110+AN111+AN112+AN113+AN114+AN115+AN116+AN117+AN118</f>
        <v/>
      </c>
      <c r="AO147" s="8">
        <f>AO110+AO111+AO112+AO113+AO114+AO115+AO116+AO117+AO118</f>
        <v/>
      </c>
      <c r="AP147" s="8">
        <f>AP110+AP111+AP112+AP113+AP114+AP115+AP116+AP117+AP118</f>
        <v/>
      </c>
      <c r="AQ147" s="8">
        <f>AQ110+AQ111+AQ112+AQ113+AQ114+AQ115+AQ116+AQ117+AQ118</f>
        <v/>
      </c>
      <c r="AR147" s="8">
        <f>AR110+AR111+AR112+AR113+AR114+AR115+AR116+AR117+AR118</f>
        <v/>
      </c>
      <c r="AS147" s="8">
        <f>AS110+AS111+AS112+AS113+AS114+AS115+AS116+AS117+AS118</f>
        <v/>
      </c>
      <c r="AT147" s="8">
        <f>AT110+AT111+AT112+AT113+AT114+AT115+AT116+AT117+AT118</f>
        <v/>
      </c>
      <c r="AU147" s="8">
        <f>AU110+AU111+AU112+AU113+AU114+AU115+AU116+AU117+AU118</f>
        <v/>
      </c>
      <c r="AV147" s="8">
        <f>AV110+AV111+AV112+AV113+AV114+AV115+AV116+AV117+AV118</f>
        <v/>
      </c>
      <c r="AW147" s="8">
        <f>AW110+AW111+AW112+AW113+AW114+AW115+AW116+AW117+AW118</f>
        <v/>
      </c>
      <c r="AX147" s="8">
        <f>AX110+AX111+AX112+AX113+AX114+AX115+AX116+AX117+AX118</f>
        <v/>
      </c>
      <c r="AY147" s="8">
        <f>AY110+AY111+AY112+AY113+AY114+AY115+AY116+AY117+AY118</f>
        <v/>
      </c>
      <c r="AZ147" s="8">
        <f>AZ110+AZ111+AZ112+AZ113+AZ114+AZ115+AZ116+AZ117+AZ118</f>
        <v/>
      </c>
      <c r="BA147" s="8">
        <f>BA110+BA111+BA112+BA113+BA114+BA115+BA116+BA117+BA118</f>
        <v/>
      </c>
      <c r="BB147" s="8">
        <f>BB110+BB111+BB112+BB113+BB114+BB115+BB116+BB117+BB118</f>
        <v/>
      </c>
      <c r="BC147" s="8">
        <f>BC110+BC111+BC112+BC113+BC114+BC115+BC116+BC117+BC118</f>
        <v/>
      </c>
      <c r="BD147" s="8">
        <f>BD110+BD111+BD112+BD113+BD114+BD115+BD116+BD117+BD118</f>
        <v/>
      </c>
      <c r="BE147" s="8">
        <f>BE110+BE111+BE112+BE113+BE114+BE115+BE116+BE117+BE118</f>
        <v/>
      </c>
      <c r="BF147" s="8">
        <f>BF110+BF111+BF112+BF113+BF114+BF115+BF116+BF117+BF118</f>
        <v/>
      </c>
      <c r="BG147" s="8">
        <f>BG110+BG111+BG112+BG113+BG114+BG115+BG116+BG117+BG118</f>
        <v/>
      </c>
      <c r="BH147" s="8">
        <f>BH110+BH111+BH112+BH113+BH114+BH115+BH116+BH117+BH118</f>
        <v/>
      </c>
      <c r="BI147" s="8">
        <f>BI110+BI111+BI112+BI113+BI114+BI115+BI116+BI117+BI118</f>
        <v/>
      </c>
      <c r="BJ147" s="8">
        <f>BJ110+BJ111+BJ112+BJ113+BJ114+BJ115+BJ116+BJ117+BJ118</f>
        <v/>
      </c>
    </row>
    <row r="148">
      <c r="A148" s="4" t="inlineStr">
        <is>
          <t>Customer success</t>
        </is>
      </c>
      <c r="B148" s="17" t="inlineStr">
        <is>
          <t>R</t>
        </is>
      </c>
      <c r="C148" s="8">
        <f>C119+C120+C121+C122+C123+C124+C131</f>
        <v/>
      </c>
      <c r="D148" s="8">
        <f>D119+D120+D121+D122+D123+D124+D131</f>
        <v/>
      </c>
      <c r="E148" s="8">
        <f>E119+E120+E121+E122+E123+E124+E131</f>
        <v/>
      </c>
      <c r="F148" s="8">
        <f>F119+F120+F121+F122+F123+F124+F131</f>
        <v/>
      </c>
      <c r="G148" s="8">
        <f>G119+G120+G121+G122+G123+G124+G131</f>
        <v/>
      </c>
      <c r="H148" s="8">
        <f>H119+H120+H121+H122+H123+H124+H131</f>
        <v/>
      </c>
      <c r="I148" s="8">
        <f>I119+I120+I121+I122+I123+I124+I131</f>
        <v/>
      </c>
      <c r="J148" s="8">
        <f>J119+J120+J121+J122+J123+J124+J131</f>
        <v/>
      </c>
      <c r="K148" s="8">
        <f>K119+K120+K121+K122+K123+K124+K131</f>
        <v/>
      </c>
      <c r="L148" s="8">
        <f>L119+L120+L121+L122+L123+L124+L131</f>
        <v/>
      </c>
      <c r="M148" s="8">
        <f>M119+M120+M121+M122+M123+M124+M131</f>
        <v/>
      </c>
      <c r="N148" s="8">
        <f>N119+N120+N121+N122+N123+N124+N131</f>
        <v/>
      </c>
      <c r="O148" s="8">
        <f>O119+O120+O121+O122+O123+O124+O131</f>
        <v/>
      </c>
      <c r="P148" s="8">
        <f>P119+P120+P121+P122+P123+P124+P131</f>
        <v/>
      </c>
      <c r="Q148" s="8">
        <f>Q119+Q120+Q121+Q122+Q123+Q124+Q131</f>
        <v/>
      </c>
      <c r="R148" s="8">
        <f>R119+R120+R121+R122+R123+R124+R131</f>
        <v/>
      </c>
      <c r="S148" s="8">
        <f>S119+S120+S121+S122+S123+S124+S131</f>
        <v/>
      </c>
      <c r="T148" s="8">
        <f>T119+T120+T121+T122+T123+T124+T131</f>
        <v/>
      </c>
      <c r="U148" s="8">
        <f>U119+U120+U121+U122+U123+U124+U131</f>
        <v/>
      </c>
      <c r="V148" s="8">
        <f>V119+V120+V121+V122+V123+V124+V131</f>
        <v/>
      </c>
      <c r="W148" s="8">
        <f>W119+W120+W121+W122+W123+W124+W131</f>
        <v/>
      </c>
      <c r="X148" s="8">
        <f>X119+X120+X121+X122+X123+X124+X131</f>
        <v/>
      </c>
      <c r="Y148" s="8">
        <f>Y119+Y120+Y121+Y122+Y123+Y124+Y131</f>
        <v/>
      </c>
      <c r="Z148" s="8">
        <f>Z119+Z120+Z121+Z122+Z123+Z124+Z131</f>
        <v/>
      </c>
      <c r="AA148" s="8">
        <f>AA119+AA120+AA121+AA122+AA123+AA124+AA131</f>
        <v/>
      </c>
      <c r="AB148" s="8">
        <f>AB119+AB120+AB121+AB122+AB123+AB124+AB131</f>
        <v/>
      </c>
      <c r="AC148" s="8">
        <f>AC119+AC120+AC121+AC122+AC123+AC124+AC131</f>
        <v/>
      </c>
      <c r="AD148" s="8">
        <f>AD119+AD120+AD121+AD122+AD123+AD124+AD131</f>
        <v/>
      </c>
      <c r="AE148" s="8">
        <f>AE119+AE120+AE121+AE122+AE123+AE124+AE131</f>
        <v/>
      </c>
      <c r="AF148" s="8">
        <f>AF119+AF120+AF121+AF122+AF123+AF124+AF131</f>
        <v/>
      </c>
      <c r="AG148" s="8">
        <f>AG119+AG120+AG121+AG122+AG123+AG124+AG131</f>
        <v/>
      </c>
      <c r="AH148" s="8">
        <f>AH119+AH120+AH121+AH122+AH123+AH124+AH131</f>
        <v/>
      </c>
      <c r="AI148" s="8">
        <f>AI119+AI120+AI121+AI122+AI123+AI124+AI131</f>
        <v/>
      </c>
      <c r="AJ148" s="8">
        <f>AJ119+AJ120+AJ121+AJ122+AJ123+AJ124+AJ131</f>
        <v/>
      </c>
      <c r="AK148" s="8">
        <f>AK119+AK120+AK121+AK122+AK123+AK124+AK131</f>
        <v/>
      </c>
      <c r="AL148" s="8">
        <f>AL119+AL120+AL121+AL122+AL123+AL124+AL131</f>
        <v/>
      </c>
      <c r="AM148" s="8">
        <f>AM119+AM120+AM121+AM122+AM123+AM124+AM131</f>
        <v/>
      </c>
      <c r="AN148" s="8">
        <f>AN119+AN120+AN121+AN122+AN123+AN124+AN131</f>
        <v/>
      </c>
      <c r="AO148" s="8">
        <f>AO119+AO120+AO121+AO122+AO123+AO124+AO131</f>
        <v/>
      </c>
      <c r="AP148" s="8">
        <f>AP119+AP120+AP121+AP122+AP123+AP124+AP131</f>
        <v/>
      </c>
      <c r="AQ148" s="8">
        <f>AQ119+AQ120+AQ121+AQ122+AQ123+AQ124+AQ131</f>
        <v/>
      </c>
      <c r="AR148" s="8">
        <f>AR119+AR120+AR121+AR122+AR123+AR124+AR131</f>
        <v/>
      </c>
      <c r="AS148" s="8">
        <f>AS119+AS120+AS121+AS122+AS123+AS124+AS131</f>
        <v/>
      </c>
      <c r="AT148" s="8">
        <f>AT119+AT120+AT121+AT122+AT123+AT124+AT131</f>
        <v/>
      </c>
      <c r="AU148" s="8">
        <f>AU119+AU120+AU121+AU122+AU123+AU124+AU131</f>
        <v/>
      </c>
      <c r="AV148" s="8">
        <f>AV119+AV120+AV121+AV122+AV123+AV124+AV131</f>
        <v/>
      </c>
      <c r="AW148" s="8">
        <f>AW119+AW120+AW121+AW122+AW123+AW124+AW131</f>
        <v/>
      </c>
      <c r="AX148" s="8">
        <f>AX119+AX120+AX121+AX122+AX123+AX124+AX131</f>
        <v/>
      </c>
      <c r="AY148" s="8">
        <f>AY119+AY120+AY121+AY122+AY123+AY124+AY131</f>
        <v/>
      </c>
      <c r="AZ148" s="8">
        <f>AZ119+AZ120+AZ121+AZ122+AZ123+AZ124+AZ131</f>
        <v/>
      </c>
      <c r="BA148" s="8">
        <f>BA119+BA120+BA121+BA122+BA123+BA124+BA131</f>
        <v/>
      </c>
      <c r="BB148" s="8">
        <f>BB119+BB120+BB121+BB122+BB123+BB124+BB131</f>
        <v/>
      </c>
      <c r="BC148" s="8">
        <f>BC119+BC120+BC121+BC122+BC123+BC124+BC131</f>
        <v/>
      </c>
      <c r="BD148" s="8">
        <f>BD119+BD120+BD121+BD122+BD123+BD124+BD131</f>
        <v/>
      </c>
      <c r="BE148" s="8">
        <f>BE119+BE120+BE121+BE122+BE123+BE124+BE131</f>
        <v/>
      </c>
      <c r="BF148" s="8">
        <f>BF119+BF120+BF121+BF122+BF123+BF124+BF131</f>
        <v/>
      </c>
      <c r="BG148" s="8">
        <f>BG119+BG120+BG121+BG122+BG123+BG124+BG131</f>
        <v/>
      </c>
      <c r="BH148" s="8">
        <f>BH119+BH120+BH121+BH122+BH123+BH124+BH131</f>
        <v/>
      </c>
      <c r="BI148" s="8">
        <f>BI119+BI120+BI121+BI122+BI123+BI124+BI131</f>
        <v/>
      </c>
      <c r="BJ148" s="8">
        <f>BJ119+BJ120+BJ121+BJ122+BJ123+BJ124+BJ131</f>
        <v/>
      </c>
    </row>
    <row r="149">
      <c r="A149" s="4" t="inlineStr">
        <is>
          <t>G&amp;A &amp; compliance</t>
        </is>
      </c>
      <c r="B149" s="17" t="inlineStr">
        <is>
          <t>R</t>
        </is>
      </c>
      <c r="C149" s="8">
        <f>C125+C126+C127+C128+C129+C130+C132</f>
        <v/>
      </c>
      <c r="D149" s="8">
        <f>D125+D126+D127+D128+D129+D130+D132</f>
        <v/>
      </c>
      <c r="E149" s="8">
        <f>E125+E126+E127+E128+E129+E130+E132</f>
        <v/>
      </c>
      <c r="F149" s="8">
        <f>F125+F126+F127+F128+F129+F130+F132</f>
        <v/>
      </c>
      <c r="G149" s="8">
        <f>G125+G126+G127+G128+G129+G130+G132</f>
        <v/>
      </c>
      <c r="H149" s="8">
        <f>H125+H126+H127+H128+H129+H130+H132</f>
        <v/>
      </c>
      <c r="I149" s="8">
        <f>I125+I126+I127+I128+I129+I130+I132</f>
        <v/>
      </c>
      <c r="J149" s="8">
        <f>J125+J126+J127+J128+J129+J130+J132</f>
        <v/>
      </c>
      <c r="K149" s="8">
        <f>K125+K126+K127+K128+K129+K130+K132</f>
        <v/>
      </c>
      <c r="L149" s="8">
        <f>L125+L126+L127+L128+L129+L130+L132</f>
        <v/>
      </c>
      <c r="M149" s="8">
        <f>M125+M126+M127+M128+M129+M130+M132</f>
        <v/>
      </c>
      <c r="N149" s="8">
        <f>N125+N126+N127+N128+N129+N130+N132</f>
        <v/>
      </c>
      <c r="O149" s="8">
        <f>O125+O126+O127+O128+O129+O130+O132</f>
        <v/>
      </c>
      <c r="P149" s="8">
        <f>P125+P126+P127+P128+P129+P130+P132</f>
        <v/>
      </c>
      <c r="Q149" s="8">
        <f>Q125+Q126+Q127+Q128+Q129+Q130+Q132</f>
        <v/>
      </c>
      <c r="R149" s="8">
        <f>R125+R126+R127+R128+R129+R130+R132</f>
        <v/>
      </c>
      <c r="S149" s="8">
        <f>S125+S126+S127+S128+S129+S130+S132</f>
        <v/>
      </c>
      <c r="T149" s="8">
        <f>T125+T126+T127+T128+T129+T130+T132</f>
        <v/>
      </c>
      <c r="U149" s="8">
        <f>U125+U126+U127+U128+U129+U130+U132</f>
        <v/>
      </c>
      <c r="V149" s="8">
        <f>V125+V126+V127+V128+V129+V130+V132</f>
        <v/>
      </c>
      <c r="W149" s="8">
        <f>W125+W126+W127+W128+W129+W130+W132</f>
        <v/>
      </c>
      <c r="X149" s="8">
        <f>X125+X126+X127+X128+X129+X130+X132</f>
        <v/>
      </c>
      <c r="Y149" s="8">
        <f>Y125+Y126+Y127+Y128+Y129+Y130+Y132</f>
        <v/>
      </c>
      <c r="Z149" s="8">
        <f>Z125+Z126+Z127+Z128+Z129+Z130+Z132</f>
        <v/>
      </c>
      <c r="AA149" s="8">
        <f>AA125+AA126+AA127+AA128+AA129+AA130+AA132</f>
        <v/>
      </c>
      <c r="AB149" s="8">
        <f>AB125+AB126+AB127+AB128+AB129+AB130+AB132</f>
        <v/>
      </c>
      <c r="AC149" s="8">
        <f>AC125+AC126+AC127+AC128+AC129+AC130+AC132</f>
        <v/>
      </c>
      <c r="AD149" s="8">
        <f>AD125+AD126+AD127+AD128+AD129+AD130+AD132</f>
        <v/>
      </c>
      <c r="AE149" s="8">
        <f>AE125+AE126+AE127+AE128+AE129+AE130+AE132</f>
        <v/>
      </c>
      <c r="AF149" s="8">
        <f>AF125+AF126+AF127+AF128+AF129+AF130+AF132</f>
        <v/>
      </c>
      <c r="AG149" s="8">
        <f>AG125+AG126+AG127+AG128+AG129+AG130+AG132</f>
        <v/>
      </c>
      <c r="AH149" s="8">
        <f>AH125+AH126+AH127+AH128+AH129+AH130+AH132</f>
        <v/>
      </c>
      <c r="AI149" s="8">
        <f>AI125+AI126+AI127+AI128+AI129+AI130+AI132</f>
        <v/>
      </c>
      <c r="AJ149" s="8">
        <f>AJ125+AJ126+AJ127+AJ128+AJ129+AJ130+AJ132</f>
        <v/>
      </c>
      <c r="AK149" s="8">
        <f>AK125+AK126+AK127+AK128+AK129+AK130+AK132</f>
        <v/>
      </c>
      <c r="AL149" s="8">
        <f>AL125+AL126+AL127+AL128+AL129+AL130+AL132</f>
        <v/>
      </c>
      <c r="AM149" s="8">
        <f>AM125+AM126+AM127+AM128+AM129+AM130+AM132</f>
        <v/>
      </c>
      <c r="AN149" s="8">
        <f>AN125+AN126+AN127+AN128+AN129+AN130+AN132</f>
        <v/>
      </c>
      <c r="AO149" s="8">
        <f>AO125+AO126+AO127+AO128+AO129+AO130+AO132</f>
        <v/>
      </c>
      <c r="AP149" s="8">
        <f>AP125+AP126+AP127+AP128+AP129+AP130+AP132</f>
        <v/>
      </c>
      <c r="AQ149" s="8">
        <f>AQ125+AQ126+AQ127+AQ128+AQ129+AQ130+AQ132</f>
        <v/>
      </c>
      <c r="AR149" s="8">
        <f>AR125+AR126+AR127+AR128+AR129+AR130+AR132</f>
        <v/>
      </c>
      <c r="AS149" s="8">
        <f>AS125+AS126+AS127+AS128+AS129+AS130+AS132</f>
        <v/>
      </c>
      <c r="AT149" s="8">
        <f>AT125+AT126+AT127+AT128+AT129+AT130+AT132</f>
        <v/>
      </c>
      <c r="AU149" s="8">
        <f>AU125+AU126+AU127+AU128+AU129+AU130+AU132</f>
        <v/>
      </c>
      <c r="AV149" s="8">
        <f>AV125+AV126+AV127+AV128+AV129+AV130+AV132</f>
        <v/>
      </c>
      <c r="AW149" s="8">
        <f>AW125+AW126+AW127+AW128+AW129+AW130+AW132</f>
        <v/>
      </c>
      <c r="AX149" s="8">
        <f>AX125+AX126+AX127+AX128+AX129+AX130+AX132</f>
        <v/>
      </c>
      <c r="AY149" s="8">
        <f>AY125+AY126+AY127+AY128+AY129+AY130+AY132</f>
        <v/>
      </c>
      <c r="AZ149" s="8">
        <f>AZ125+AZ126+AZ127+AZ128+AZ129+AZ130+AZ132</f>
        <v/>
      </c>
      <c r="BA149" s="8">
        <f>BA125+BA126+BA127+BA128+BA129+BA130+BA132</f>
        <v/>
      </c>
      <c r="BB149" s="8">
        <f>BB125+BB126+BB127+BB128+BB129+BB130+BB132</f>
        <v/>
      </c>
      <c r="BC149" s="8">
        <f>BC125+BC126+BC127+BC128+BC129+BC130+BC132</f>
        <v/>
      </c>
      <c r="BD149" s="8">
        <f>BD125+BD126+BD127+BD128+BD129+BD130+BD132</f>
        <v/>
      </c>
      <c r="BE149" s="8">
        <f>BE125+BE126+BE127+BE128+BE129+BE130+BE132</f>
        <v/>
      </c>
      <c r="BF149" s="8">
        <f>BF125+BF126+BF127+BF128+BF129+BF130+BF132</f>
        <v/>
      </c>
      <c r="BG149" s="8">
        <f>BG125+BG126+BG127+BG128+BG129+BG130+BG132</f>
        <v/>
      </c>
      <c r="BH149" s="8">
        <f>BH125+BH126+BH127+BH128+BH129+BH130+BH132</f>
        <v/>
      </c>
      <c r="BI149" s="8">
        <f>BI125+BI126+BI127+BI128+BI129+BI130+BI132</f>
        <v/>
      </c>
      <c r="BJ149" s="8">
        <f>BJ125+BJ126+BJ127+BJ128+BJ129+BJ130+BJ132</f>
        <v/>
      </c>
    </row>
    <row r="150">
      <c r="A150" s="4" t="inlineStr">
        <is>
          <t>Country teams</t>
        </is>
      </c>
      <c r="B150" s="17" t="inlineStr">
        <is>
          <t>R</t>
        </is>
      </c>
      <c r="C150" s="8">
        <f>C133+C134+C135+C136+C137+C138+C139+C140+C141</f>
        <v/>
      </c>
      <c r="D150" s="8">
        <f>D133+D134+D135+D136+D137+D138+D139+D140+D141</f>
        <v/>
      </c>
      <c r="E150" s="8">
        <f>E133+E134+E135+E136+E137+E138+E139+E140+E141</f>
        <v/>
      </c>
      <c r="F150" s="8">
        <f>F133+F134+F135+F136+F137+F138+F139+F140+F141</f>
        <v/>
      </c>
      <c r="G150" s="8">
        <f>G133+G134+G135+G136+G137+G138+G139+G140+G141</f>
        <v/>
      </c>
      <c r="H150" s="8">
        <f>H133+H134+H135+H136+H137+H138+H139+H140+H141</f>
        <v/>
      </c>
      <c r="I150" s="8">
        <f>I133+I134+I135+I136+I137+I138+I139+I140+I141</f>
        <v/>
      </c>
      <c r="J150" s="8">
        <f>J133+J134+J135+J136+J137+J138+J139+J140+J141</f>
        <v/>
      </c>
      <c r="K150" s="8">
        <f>K133+K134+K135+K136+K137+K138+K139+K140+K141</f>
        <v/>
      </c>
      <c r="L150" s="8">
        <f>L133+L134+L135+L136+L137+L138+L139+L140+L141</f>
        <v/>
      </c>
      <c r="M150" s="8">
        <f>M133+M134+M135+M136+M137+M138+M139+M140+M141</f>
        <v/>
      </c>
      <c r="N150" s="8">
        <f>N133+N134+N135+N136+N137+N138+N139+N140+N141</f>
        <v/>
      </c>
      <c r="O150" s="8">
        <f>O133+O134+O135+O136+O137+O138+O139+O140+O141</f>
        <v/>
      </c>
      <c r="P150" s="8">
        <f>P133+P134+P135+P136+P137+P138+P139+P140+P141</f>
        <v/>
      </c>
      <c r="Q150" s="8">
        <f>Q133+Q134+Q135+Q136+Q137+Q138+Q139+Q140+Q141</f>
        <v/>
      </c>
      <c r="R150" s="8">
        <f>R133+R134+R135+R136+R137+R138+R139+R140+R141</f>
        <v/>
      </c>
      <c r="S150" s="8">
        <f>S133+S134+S135+S136+S137+S138+S139+S140+S141</f>
        <v/>
      </c>
      <c r="T150" s="8">
        <f>T133+T134+T135+T136+T137+T138+T139+T140+T141</f>
        <v/>
      </c>
      <c r="U150" s="8">
        <f>U133+U134+U135+U136+U137+U138+U139+U140+U141</f>
        <v/>
      </c>
      <c r="V150" s="8">
        <f>V133+V134+V135+V136+V137+V138+V139+V140+V141</f>
        <v/>
      </c>
      <c r="W150" s="8">
        <f>W133+W134+W135+W136+W137+W138+W139+W140+W141</f>
        <v/>
      </c>
      <c r="X150" s="8">
        <f>X133+X134+X135+X136+X137+X138+X139+X140+X141</f>
        <v/>
      </c>
      <c r="Y150" s="8">
        <f>Y133+Y134+Y135+Y136+Y137+Y138+Y139+Y140+Y141</f>
        <v/>
      </c>
      <c r="Z150" s="8">
        <f>Z133+Z134+Z135+Z136+Z137+Z138+Z139+Z140+Z141</f>
        <v/>
      </c>
      <c r="AA150" s="8">
        <f>AA133+AA134+AA135+AA136+AA137+AA138+AA139+AA140+AA141</f>
        <v/>
      </c>
      <c r="AB150" s="8">
        <f>AB133+AB134+AB135+AB136+AB137+AB138+AB139+AB140+AB141</f>
        <v/>
      </c>
      <c r="AC150" s="8">
        <f>AC133+AC134+AC135+AC136+AC137+AC138+AC139+AC140+AC141</f>
        <v/>
      </c>
      <c r="AD150" s="8">
        <f>AD133+AD134+AD135+AD136+AD137+AD138+AD139+AD140+AD141</f>
        <v/>
      </c>
      <c r="AE150" s="8">
        <f>AE133+AE134+AE135+AE136+AE137+AE138+AE139+AE140+AE141</f>
        <v/>
      </c>
      <c r="AF150" s="8">
        <f>AF133+AF134+AF135+AF136+AF137+AF138+AF139+AF140+AF141</f>
        <v/>
      </c>
      <c r="AG150" s="8">
        <f>AG133+AG134+AG135+AG136+AG137+AG138+AG139+AG140+AG141</f>
        <v/>
      </c>
      <c r="AH150" s="8">
        <f>AH133+AH134+AH135+AH136+AH137+AH138+AH139+AH140+AH141</f>
        <v/>
      </c>
      <c r="AI150" s="8">
        <f>AI133+AI134+AI135+AI136+AI137+AI138+AI139+AI140+AI141</f>
        <v/>
      </c>
      <c r="AJ150" s="8">
        <f>AJ133+AJ134+AJ135+AJ136+AJ137+AJ138+AJ139+AJ140+AJ141</f>
        <v/>
      </c>
      <c r="AK150" s="8">
        <f>AK133+AK134+AK135+AK136+AK137+AK138+AK139+AK140+AK141</f>
        <v/>
      </c>
      <c r="AL150" s="8">
        <f>AL133+AL134+AL135+AL136+AL137+AL138+AL139+AL140+AL141</f>
        <v/>
      </c>
      <c r="AM150" s="8">
        <f>AM133+AM134+AM135+AM136+AM137+AM138+AM139+AM140+AM141</f>
        <v/>
      </c>
      <c r="AN150" s="8">
        <f>AN133+AN134+AN135+AN136+AN137+AN138+AN139+AN140+AN141</f>
        <v/>
      </c>
      <c r="AO150" s="8">
        <f>AO133+AO134+AO135+AO136+AO137+AO138+AO139+AO140+AO141</f>
        <v/>
      </c>
      <c r="AP150" s="8">
        <f>AP133+AP134+AP135+AP136+AP137+AP138+AP139+AP140+AP141</f>
        <v/>
      </c>
      <c r="AQ150" s="8">
        <f>AQ133+AQ134+AQ135+AQ136+AQ137+AQ138+AQ139+AQ140+AQ141</f>
        <v/>
      </c>
      <c r="AR150" s="8">
        <f>AR133+AR134+AR135+AR136+AR137+AR138+AR139+AR140+AR141</f>
        <v/>
      </c>
      <c r="AS150" s="8">
        <f>AS133+AS134+AS135+AS136+AS137+AS138+AS139+AS140+AS141</f>
        <v/>
      </c>
      <c r="AT150" s="8">
        <f>AT133+AT134+AT135+AT136+AT137+AT138+AT139+AT140+AT141</f>
        <v/>
      </c>
      <c r="AU150" s="8">
        <f>AU133+AU134+AU135+AU136+AU137+AU138+AU139+AU140+AU141</f>
        <v/>
      </c>
      <c r="AV150" s="8">
        <f>AV133+AV134+AV135+AV136+AV137+AV138+AV139+AV140+AV141</f>
        <v/>
      </c>
      <c r="AW150" s="8">
        <f>AW133+AW134+AW135+AW136+AW137+AW138+AW139+AW140+AW141</f>
        <v/>
      </c>
      <c r="AX150" s="8">
        <f>AX133+AX134+AX135+AX136+AX137+AX138+AX139+AX140+AX141</f>
        <v/>
      </c>
      <c r="AY150" s="8">
        <f>AY133+AY134+AY135+AY136+AY137+AY138+AY139+AY140+AY141</f>
        <v/>
      </c>
      <c r="AZ150" s="8">
        <f>AZ133+AZ134+AZ135+AZ136+AZ137+AZ138+AZ139+AZ140+AZ141</f>
        <v/>
      </c>
      <c r="BA150" s="8">
        <f>BA133+BA134+BA135+BA136+BA137+BA138+BA139+BA140+BA141</f>
        <v/>
      </c>
      <c r="BB150" s="8">
        <f>BB133+BB134+BB135+BB136+BB137+BB138+BB139+BB140+BB141</f>
        <v/>
      </c>
      <c r="BC150" s="8">
        <f>BC133+BC134+BC135+BC136+BC137+BC138+BC139+BC140+BC141</f>
        <v/>
      </c>
      <c r="BD150" s="8">
        <f>BD133+BD134+BD135+BD136+BD137+BD138+BD139+BD140+BD141</f>
        <v/>
      </c>
      <c r="BE150" s="8">
        <f>BE133+BE134+BE135+BE136+BE137+BE138+BE139+BE140+BE141</f>
        <v/>
      </c>
      <c r="BF150" s="8">
        <f>BF133+BF134+BF135+BF136+BF137+BF138+BF139+BF140+BF141</f>
        <v/>
      </c>
      <c r="BG150" s="8">
        <f>BG133+BG134+BG135+BG136+BG137+BG138+BG139+BG140+BG141</f>
        <v/>
      </c>
      <c r="BH150" s="8">
        <f>BH133+BH134+BH135+BH136+BH137+BH138+BH139+BH140+BH141</f>
        <v/>
      </c>
      <c r="BI150" s="8">
        <f>BI133+BI134+BI135+BI136+BI137+BI138+BI139+BI140+BI141</f>
        <v/>
      </c>
      <c r="BJ150" s="8">
        <f>BJ133+BJ134+BJ135+BJ136+BJ137+BJ138+BJ139+BJ140+BJ141</f>
        <v/>
      </c>
    </row>
    <row r="151">
      <c r="A151" s="3" t="inlineStr">
        <is>
          <t>Total payroll</t>
        </is>
      </c>
      <c r="B151" s="17" t="inlineStr">
        <is>
          <t>R</t>
        </is>
      </c>
      <c r="C151" s="42">
        <f>C144+C145+C146+C147+C148+C149+C150</f>
        <v/>
      </c>
      <c r="D151" s="42">
        <f>D144+D145+D146+D147+D148+D149+D150</f>
        <v/>
      </c>
      <c r="E151" s="42">
        <f>E144+E145+E146+E147+E148+E149+E150</f>
        <v/>
      </c>
      <c r="F151" s="42">
        <f>F144+F145+F146+F147+F148+F149+F150</f>
        <v/>
      </c>
      <c r="G151" s="42">
        <f>G144+G145+G146+G147+G148+G149+G150</f>
        <v/>
      </c>
      <c r="H151" s="42">
        <f>H144+H145+H146+H147+H148+H149+H150</f>
        <v/>
      </c>
      <c r="I151" s="42">
        <f>I144+I145+I146+I147+I148+I149+I150</f>
        <v/>
      </c>
      <c r="J151" s="42">
        <f>J144+J145+J146+J147+J148+J149+J150</f>
        <v/>
      </c>
      <c r="K151" s="42">
        <f>K144+K145+K146+K147+K148+K149+K150</f>
        <v/>
      </c>
      <c r="L151" s="42">
        <f>L144+L145+L146+L147+L148+L149+L150</f>
        <v/>
      </c>
      <c r="M151" s="42">
        <f>M144+M145+M146+M147+M148+M149+M150</f>
        <v/>
      </c>
      <c r="N151" s="42">
        <f>N144+N145+N146+N147+N148+N149+N150</f>
        <v/>
      </c>
      <c r="O151" s="42">
        <f>O144+O145+O146+O147+O148+O149+O150</f>
        <v/>
      </c>
      <c r="P151" s="42">
        <f>P144+P145+P146+P147+P148+P149+P150</f>
        <v/>
      </c>
      <c r="Q151" s="42">
        <f>Q144+Q145+Q146+Q147+Q148+Q149+Q150</f>
        <v/>
      </c>
      <c r="R151" s="42">
        <f>R144+R145+R146+R147+R148+R149+R150</f>
        <v/>
      </c>
      <c r="S151" s="42">
        <f>S144+S145+S146+S147+S148+S149+S150</f>
        <v/>
      </c>
      <c r="T151" s="42">
        <f>T144+T145+T146+T147+T148+T149+T150</f>
        <v/>
      </c>
      <c r="U151" s="42">
        <f>U144+U145+U146+U147+U148+U149+U150</f>
        <v/>
      </c>
      <c r="V151" s="42">
        <f>V144+V145+V146+V147+V148+V149+V150</f>
        <v/>
      </c>
      <c r="W151" s="42">
        <f>W144+W145+W146+W147+W148+W149+W150</f>
        <v/>
      </c>
      <c r="X151" s="42">
        <f>X144+X145+X146+X147+X148+X149+X150</f>
        <v/>
      </c>
      <c r="Y151" s="42">
        <f>Y144+Y145+Y146+Y147+Y148+Y149+Y150</f>
        <v/>
      </c>
      <c r="Z151" s="42">
        <f>Z144+Z145+Z146+Z147+Z148+Z149+Z150</f>
        <v/>
      </c>
      <c r="AA151" s="42">
        <f>AA144+AA145+AA146+AA147+AA148+AA149+AA150</f>
        <v/>
      </c>
      <c r="AB151" s="42">
        <f>AB144+AB145+AB146+AB147+AB148+AB149+AB150</f>
        <v/>
      </c>
      <c r="AC151" s="42">
        <f>AC144+AC145+AC146+AC147+AC148+AC149+AC150</f>
        <v/>
      </c>
      <c r="AD151" s="42">
        <f>AD144+AD145+AD146+AD147+AD148+AD149+AD150</f>
        <v/>
      </c>
      <c r="AE151" s="42">
        <f>AE144+AE145+AE146+AE147+AE148+AE149+AE150</f>
        <v/>
      </c>
      <c r="AF151" s="42">
        <f>AF144+AF145+AF146+AF147+AF148+AF149+AF150</f>
        <v/>
      </c>
      <c r="AG151" s="42">
        <f>AG144+AG145+AG146+AG147+AG148+AG149+AG150</f>
        <v/>
      </c>
      <c r="AH151" s="42">
        <f>AH144+AH145+AH146+AH147+AH148+AH149+AH150</f>
        <v/>
      </c>
      <c r="AI151" s="42">
        <f>AI144+AI145+AI146+AI147+AI148+AI149+AI150</f>
        <v/>
      </c>
      <c r="AJ151" s="42">
        <f>AJ144+AJ145+AJ146+AJ147+AJ148+AJ149+AJ150</f>
        <v/>
      </c>
      <c r="AK151" s="42">
        <f>AK144+AK145+AK146+AK147+AK148+AK149+AK150</f>
        <v/>
      </c>
      <c r="AL151" s="42">
        <f>AL144+AL145+AL146+AL147+AL148+AL149+AL150</f>
        <v/>
      </c>
      <c r="AM151" s="42">
        <f>AM144+AM145+AM146+AM147+AM148+AM149+AM150</f>
        <v/>
      </c>
      <c r="AN151" s="42">
        <f>AN144+AN145+AN146+AN147+AN148+AN149+AN150</f>
        <v/>
      </c>
      <c r="AO151" s="42">
        <f>AO144+AO145+AO146+AO147+AO148+AO149+AO150</f>
        <v/>
      </c>
      <c r="AP151" s="42">
        <f>AP144+AP145+AP146+AP147+AP148+AP149+AP150</f>
        <v/>
      </c>
      <c r="AQ151" s="42">
        <f>AQ144+AQ145+AQ146+AQ147+AQ148+AQ149+AQ150</f>
        <v/>
      </c>
      <c r="AR151" s="42">
        <f>AR144+AR145+AR146+AR147+AR148+AR149+AR150</f>
        <v/>
      </c>
      <c r="AS151" s="42">
        <f>AS144+AS145+AS146+AS147+AS148+AS149+AS150</f>
        <v/>
      </c>
      <c r="AT151" s="42">
        <f>AT144+AT145+AT146+AT147+AT148+AT149+AT150</f>
        <v/>
      </c>
      <c r="AU151" s="42">
        <f>AU144+AU145+AU146+AU147+AU148+AU149+AU150</f>
        <v/>
      </c>
      <c r="AV151" s="42">
        <f>AV144+AV145+AV146+AV147+AV148+AV149+AV150</f>
        <v/>
      </c>
      <c r="AW151" s="42">
        <f>AW144+AW145+AW146+AW147+AW148+AW149+AW150</f>
        <v/>
      </c>
      <c r="AX151" s="42">
        <f>AX144+AX145+AX146+AX147+AX148+AX149+AX150</f>
        <v/>
      </c>
      <c r="AY151" s="42">
        <f>AY144+AY145+AY146+AY147+AY148+AY149+AY150</f>
        <v/>
      </c>
      <c r="AZ151" s="42">
        <f>AZ144+AZ145+AZ146+AZ147+AZ148+AZ149+AZ150</f>
        <v/>
      </c>
      <c r="BA151" s="42">
        <f>BA144+BA145+BA146+BA147+BA148+BA149+BA150</f>
        <v/>
      </c>
      <c r="BB151" s="42">
        <f>BB144+BB145+BB146+BB147+BB148+BB149+BB150</f>
        <v/>
      </c>
      <c r="BC151" s="42">
        <f>BC144+BC145+BC146+BC147+BC148+BC149+BC150</f>
        <v/>
      </c>
      <c r="BD151" s="42">
        <f>BD144+BD145+BD146+BD147+BD148+BD149+BD150</f>
        <v/>
      </c>
      <c r="BE151" s="42">
        <f>BE144+BE145+BE146+BE147+BE148+BE149+BE150</f>
        <v/>
      </c>
      <c r="BF151" s="42">
        <f>BF144+BF145+BF146+BF147+BF148+BF149+BF150</f>
        <v/>
      </c>
      <c r="BG151" s="42">
        <f>BG144+BG145+BG146+BG147+BG148+BG149+BG150</f>
        <v/>
      </c>
      <c r="BH151" s="42">
        <f>BH144+BH145+BH146+BH147+BH148+BH149+BH150</f>
        <v/>
      </c>
      <c r="BI151" s="42">
        <f>BI144+BI145+BI146+BI147+BI148+BI149+BI150</f>
        <v/>
      </c>
      <c r="BJ151" s="42">
        <f>BJ144+BJ145+BJ146+BJ147+BJ148+BJ149+BJ150</f>
        <v/>
      </c>
    </row>
    <row r="152">
      <c r="A152" s="4" t="inlineStr">
        <is>
          <t>of which partnerships managers</t>
        </is>
      </c>
      <c r="B152" s="17" t="inlineStr">
        <is>
          <t>R</t>
        </is>
      </c>
      <c r="C152" s="8">
        <f>C110+C111+C112+C113+C117</f>
        <v/>
      </c>
      <c r="D152" s="8">
        <f>D110+D111+D112+D113+D117</f>
        <v/>
      </c>
      <c r="E152" s="8">
        <f>E110+E111+E112+E113+E117</f>
        <v/>
      </c>
      <c r="F152" s="8">
        <f>F110+F111+F112+F113+F117</f>
        <v/>
      </c>
      <c r="G152" s="8">
        <f>G110+G111+G112+G113+G117</f>
        <v/>
      </c>
      <c r="H152" s="8">
        <f>H110+H111+H112+H113+H117</f>
        <v/>
      </c>
      <c r="I152" s="8">
        <f>I110+I111+I112+I113+I117</f>
        <v/>
      </c>
      <c r="J152" s="8">
        <f>J110+J111+J112+J113+J117</f>
        <v/>
      </c>
      <c r="K152" s="8">
        <f>K110+K111+K112+K113+K117</f>
        <v/>
      </c>
      <c r="L152" s="8">
        <f>L110+L111+L112+L113+L117</f>
        <v/>
      </c>
      <c r="M152" s="8">
        <f>M110+M111+M112+M113+M117</f>
        <v/>
      </c>
      <c r="N152" s="8">
        <f>N110+N111+N112+N113+N117</f>
        <v/>
      </c>
      <c r="O152" s="8">
        <f>O110+O111+O112+O113+O117</f>
        <v/>
      </c>
      <c r="P152" s="8">
        <f>P110+P111+P112+P113+P117</f>
        <v/>
      </c>
      <c r="Q152" s="8">
        <f>Q110+Q111+Q112+Q113+Q117</f>
        <v/>
      </c>
      <c r="R152" s="8">
        <f>R110+R111+R112+R113+R117</f>
        <v/>
      </c>
      <c r="S152" s="8">
        <f>S110+S111+S112+S113+S117</f>
        <v/>
      </c>
      <c r="T152" s="8">
        <f>T110+T111+T112+T113+T117</f>
        <v/>
      </c>
      <c r="U152" s="8">
        <f>U110+U111+U112+U113+U117</f>
        <v/>
      </c>
      <c r="V152" s="8">
        <f>V110+V111+V112+V113+V117</f>
        <v/>
      </c>
      <c r="W152" s="8">
        <f>W110+W111+W112+W113+W117</f>
        <v/>
      </c>
      <c r="X152" s="8">
        <f>X110+X111+X112+X113+X117</f>
        <v/>
      </c>
      <c r="Y152" s="8">
        <f>Y110+Y111+Y112+Y113+Y117</f>
        <v/>
      </c>
      <c r="Z152" s="8">
        <f>Z110+Z111+Z112+Z113+Z117</f>
        <v/>
      </c>
      <c r="AA152" s="8">
        <f>AA110+AA111+AA112+AA113+AA117</f>
        <v/>
      </c>
      <c r="AB152" s="8">
        <f>AB110+AB111+AB112+AB113+AB117</f>
        <v/>
      </c>
      <c r="AC152" s="8">
        <f>AC110+AC111+AC112+AC113+AC117</f>
        <v/>
      </c>
      <c r="AD152" s="8">
        <f>AD110+AD111+AD112+AD113+AD117</f>
        <v/>
      </c>
      <c r="AE152" s="8">
        <f>AE110+AE111+AE112+AE113+AE117</f>
        <v/>
      </c>
      <c r="AF152" s="8">
        <f>AF110+AF111+AF112+AF113+AF117</f>
        <v/>
      </c>
      <c r="AG152" s="8">
        <f>AG110+AG111+AG112+AG113+AG117</f>
        <v/>
      </c>
      <c r="AH152" s="8">
        <f>AH110+AH111+AH112+AH113+AH117</f>
        <v/>
      </c>
      <c r="AI152" s="8">
        <f>AI110+AI111+AI112+AI113+AI117</f>
        <v/>
      </c>
      <c r="AJ152" s="8">
        <f>AJ110+AJ111+AJ112+AJ113+AJ117</f>
        <v/>
      </c>
      <c r="AK152" s="8">
        <f>AK110+AK111+AK112+AK113+AK117</f>
        <v/>
      </c>
      <c r="AL152" s="8">
        <f>AL110+AL111+AL112+AL113+AL117</f>
        <v/>
      </c>
      <c r="AM152" s="8">
        <f>AM110+AM111+AM112+AM113+AM117</f>
        <v/>
      </c>
      <c r="AN152" s="8">
        <f>AN110+AN111+AN112+AN113+AN117</f>
        <v/>
      </c>
      <c r="AO152" s="8">
        <f>AO110+AO111+AO112+AO113+AO117</f>
        <v/>
      </c>
      <c r="AP152" s="8">
        <f>AP110+AP111+AP112+AP113+AP117</f>
        <v/>
      </c>
      <c r="AQ152" s="8">
        <f>AQ110+AQ111+AQ112+AQ113+AQ117</f>
        <v/>
      </c>
      <c r="AR152" s="8">
        <f>AR110+AR111+AR112+AR113+AR117</f>
        <v/>
      </c>
      <c r="AS152" s="8">
        <f>AS110+AS111+AS112+AS113+AS117</f>
        <v/>
      </c>
      <c r="AT152" s="8">
        <f>AT110+AT111+AT112+AT113+AT117</f>
        <v/>
      </c>
      <c r="AU152" s="8">
        <f>AU110+AU111+AU112+AU113+AU117</f>
        <v/>
      </c>
      <c r="AV152" s="8">
        <f>AV110+AV111+AV112+AV113+AV117</f>
        <v/>
      </c>
      <c r="AW152" s="8">
        <f>AW110+AW111+AW112+AW113+AW117</f>
        <v/>
      </c>
      <c r="AX152" s="8">
        <f>AX110+AX111+AX112+AX113+AX117</f>
        <v/>
      </c>
      <c r="AY152" s="8">
        <f>AY110+AY111+AY112+AY113+AY117</f>
        <v/>
      </c>
      <c r="AZ152" s="8">
        <f>AZ110+AZ111+AZ112+AZ113+AZ117</f>
        <v/>
      </c>
      <c r="BA152" s="8">
        <f>BA110+BA111+BA112+BA113+BA117</f>
        <v/>
      </c>
      <c r="BB152" s="8">
        <f>BB110+BB111+BB112+BB113+BB117</f>
        <v/>
      </c>
      <c r="BC152" s="8">
        <f>BC110+BC111+BC112+BC113+BC117</f>
        <v/>
      </c>
      <c r="BD152" s="8">
        <f>BD110+BD111+BD112+BD113+BD117</f>
        <v/>
      </c>
      <c r="BE152" s="8">
        <f>BE110+BE111+BE112+BE113+BE117</f>
        <v/>
      </c>
      <c r="BF152" s="8">
        <f>BF110+BF111+BF112+BF113+BF117</f>
        <v/>
      </c>
      <c r="BG152" s="8">
        <f>BG110+BG111+BG112+BG113+BG117</f>
        <v/>
      </c>
      <c r="BH152" s="8">
        <f>BH110+BH111+BH112+BH113+BH117</f>
        <v/>
      </c>
      <c r="BI152" s="8">
        <f>BI110+BI111+BI112+BI113+BI117</f>
        <v/>
      </c>
      <c r="BJ152" s="8">
        <f>BJ110+BJ111+BJ112+BJ113+BJ117</f>
        <v/>
      </c>
    </row>
    <row r="153"/>
    <row r="154">
      <c r="A154" s="19" t="inlineStr">
        <is>
          <t>Cost of revenue (COGS)</t>
        </is>
      </c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  <c r="AA154" s="19" t="n"/>
      <c r="AB154" s="19" t="n"/>
      <c r="AC154" s="19" t="n"/>
      <c r="AD154" s="19" t="n"/>
      <c r="AE154" s="19" t="n"/>
      <c r="AF154" s="19" t="n"/>
      <c r="AG154" s="19" t="n"/>
      <c r="AH154" s="19" t="n"/>
      <c r="AI154" s="19" t="n"/>
      <c r="AJ154" s="19" t="n"/>
      <c r="AK154" s="19" t="n"/>
      <c r="AL154" s="19" t="n"/>
      <c r="AM154" s="19" t="n"/>
      <c r="AN154" s="19" t="n"/>
      <c r="AO154" s="19" t="n"/>
      <c r="AP154" s="19" t="n"/>
      <c r="AQ154" s="19" t="n"/>
      <c r="AR154" s="19" t="n"/>
      <c r="AS154" s="19" t="n"/>
      <c r="AT154" s="19" t="n"/>
      <c r="AU154" s="19" t="n"/>
      <c r="AV154" s="19" t="n"/>
      <c r="AW154" s="19" t="n"/>
      <c r="AX154" s="19" t="n"/>
      <c r="AY154" s="19" t="n"/>
      <c r="AZ154" s="19" t="n"/>
      <c r="BA154" s="19" t="n"/>
      <c r="BB154" s="19" t="n"/>
      <c r="BC154" s="19" t="n"/>
      <c r="BD154" s="19" t="n"/>
      <c r="BE154" s="19" t="n"/>
      <c r="BF154" s="19" t="n"/>
      <c r="BG154" s="19" t="n"/>
      <c r="BH154" s="19" t="n"/>
      <c r="BI154" s="19" t="n"/>
      <c r="BJ154" s="19" t="n"/>
    </row>
    <row r="155">
      <c r="A155" s="4" t="inlineStr">
        <is>
          <t>AI credits consumed ('000)</t>
        </is>
      </c>
      <c r="B155" s="17" t="inlineStr">
        <is>
          <t>'000 credits</t>
        </is>
      </c>
      <c r="C155" s="10">
        <f>(Revenue_Build!C286*Pricing!$E$5+Revenue_Build!C289*Pricing!$E$6+Revenue_Build!C292*Pricing!$E$7+Revenue_Build!C295*Pricing!$E$8+Revenue_Build!C298*Pricing!$E$9)*Assumptions!$B$165/1000+Revenue_Build!C301*Assumptions!$B$148*Assumptions!$B$150/1000</f>
        <v/>
      </c>
      <c r="D155" s="10">
        <f>(Revenue_Build!D286*Pricing!$E$5+Revenue_Build!D289*Pricing!$E$6+Revenue_Build!D292*Pricing!$E$7+Revenue_Build!D295*Pricing!$E$8+Revenue_Build!D298*Pricing!$E$9)*Assumptions!$B$165/1000+Revenue_Build!D301*Assumptions!$B$148*Assumptions!$B$150/1000</f>
        <v/>
      </c>
      <c r="E155" s="10">
        <f>(Revenue_Build!E286*Pricing!$E$5+Revenue_Build!E289*Pricing!$E$6+Revenue_Build!E292*Pricing!$E$7+Revenue_Build!E295*Pricing!$E$8+Revenue_Build!E298*Pricing!$E$9)*Assumptions!$B$165/1000+Revenue_Build!E301*Assumptions!$B$148*Assumptions!$B$150/1000</f>
        <v/>
      </c>
      <c r="F155" s="10">
        <f>(Revenue_Build!F286*Pricing!$E$5+Revenue_Build!F289*Pricing!$E$6+Revenue_Build!F292*Pricing!$E$7+Revenue_Build!F295*Pricing!$E$8+Revenue_Build!F298*Pricing!$E$9)*Assumptions!$B$165/1000+Revenue_Build!F301*Assumptions!$B$148*Assumptions!$B$150/1000</f>
        <v/>
      </c>
      <c r="G155" s="10">
        <f>(Revenue_Build!G286*Pricing!$E$5+Revenue_Build!G289*Pricing!$E$6+Revenue_Build!G292*Pricing!$E$7+Revenue_Build!G295*Pricing!$E$8+Revenue_Build!G298*Pricing!$E$9)*Assumptions!$B$165/1000+Revenue_Build!G301*Assumptions!$B$148*Assumptions!$B$150/1000</f>
        <v/>
      </c>
      <c r="H155" s="10">
        <f>(Revenue_Build!H286*Pricing!$E$5+Revenue_Build!H289*Pricing!$E$6+Revenue_Build!H292*Pricing!$E$7+Revenue_Build!H295*Pricing!$E$8+Revenue_Build!H298*Pricing!$E$9)*Assumptions!$B$165/1000+Revenue_Build!H301*Assumptions!$B$148*Assumptions!$B$150/1000</f>
        <v/>
      </c>
      <c r="I155" s="10">
        <f>(Revenue_Build!I286*Pricing!$E$5+Revenue_Build!I289*Pricing!$E$6+Revenue_Build!I292*Pricing!$E$7+Revenue_Build!I295*Pricing!$E$8+Revenue_Build!I298*Pricing!$E$9)*Assumptions!$B$165/1000+Revenue_Build!I301*Assumptions!$B$148*Assumptions!$B$150/1000</f>
        <v/>
      </c>
      <c r="J155" s="10">
        <f>(Revenue_Build!J286*Pricing!$E$5+Revenue_Build!J289*Pricing!$E$6+Revenue_Build!J292*Pricing!$E$7+Revenue_Build!J295*Pricing!$E$8+Revenue_Build!J298*Pricing!$E$9)*Assumptions!$B$165/1000+Revenue_Build!J301*Assumptions!$B$148*Assumptions!$B$150/1000</f>
        <v/>
      </c>
      <c r="K155" s="10">
        <f>(Revenue_Build!K286*Pricing!$E$5+Revenue_Build!K289*Pricing!$E$6+Revenue_Build!K292*Pricing!$E$7+Revenue_Build!K295*Pricing!$E$8+Revenue_Build!K298*Pricing!$E$9)*Assumptions!$B$165/1000+Revenue_Build!K301*Assumptions!$B$148*Assumptions!$B$150/1000</f>
        <v/>
      </c>
      <c r="L155" s="10">
        <f>(Revenue_Build!L286*Pricing!$E$5+Revenue_Build!L289*Pricing!$E$6+Revenue_Build!L292*Pricing!$E$7+Revenue_Build!L295*Pricing!$E$8+Revenue_Build!L298*Pricing!$E$9)*Assumptions!$B$165/1000+Revenue_Build!L301*Assumptions!$B$148*Assumptions!$B$150/1000</f>
        <v/>
      </c>
      <c r="M155" s="10">
        <f>(Revenue_Build!M286*Pricing!$E$5+Revenue_Build!M289*Pricing!$E$6+Revenue_Build!M292*Pricing!$E$7+Revenue_Build!M295*Pricing!$E$8+Revenue_Build!M298*Pricing!$E$9)*Assumptions!$B$165/1000+Revenue_Build!M301*Assumptions!$B$148*Assumptions!$B$150/1000</f>
        <v/>
      </c>
      <c r="N155" s="10">
        <f>(Revenue_Build!N286*Pricing!$E$5+Revenue_Build!N289*Pricing!$E$6+Revenue_Build!N292*Pricing!$E$7+Revenue_Build!N295*Pricing!$E$8+Revenue_Build!N298*Pricing!$E$9)*Assumptions!$B$165/1000+Revenue_Build!N301*Assumptions!$B$148*Assumptions!$B$150/1000</f>
        <v/>
      </c>
      <c r="O155" s="10">
        <f>(Revenue_Build!O286*Pricing!$E$5+Revenue_Build!O289*Pricing!$E$6+Revenue_Build!O292*Pricing!$E$7+Revenue_Build!O295*Pricing!$E$8+Revenue_Build!O298*Pricing!$E$9)*Assumptions!$B$165/1000+Revenue_Build!O301*Assumptions!$B$148*Assumptions!$B$150/1000</f>
        <v/>
      </c>
      <c r="P155" s="10">
        <f>(Revenue_Build!P286*Pricing!$E$5+Revenue_Build!P289*Pricing!$E$6+Revenue_Build!P292*Pricing!$E$7+Revenue_Build!P295*Pricing!$E$8+Revenue_Build!P298*Pricing!$E$9)*Assumptions!$B$165/1000+Revenue_Build!P301*Assumptions!$B$148*Assumptions!$B$150/1000</f>
        <v/>
      </c>
      <c r="Q155" s="10">
        <f>(Revenue_Build!Q286*Pricing!$E$5+Revenue_Build!Q289*Pricing!$E$6+Revenue_Build!Q292*Pricing!$E$7+Revenue_Build!Q295*Pricing!$E$8+Revenue_Build!Q298*Pricing!$E$9)*Assumptions!$B$165/1000+Revenue_Build!Q301*Assumptions!$B$148*Assumptions!$B$150/1000</f>
        <v/>
      </c>
      <c r="R155" s="10">
        <f>(Revenue_Build!R286*Pricing!$E$5+Revenue_Build!R289*Pricing!$E$6+Revenue_Build!R292*Pricing!$E$7+Revenue_Build!R295*Pricing!$E$8+Revenue_Build!R298*Pricing!$E$9)*Assumptions!$B$165/1000+Revenue_Build!R301*Assumptions!$B$148*Assumptions!$B$150/1000</f>
        <v/>
      </c>
      <c r="S155" s="10">
        <f>(Revenue_Build!S286*Pricing!$E$5+Revenue_Build!S289*Pricing!$E$6+Revenue_Build!S292*Pricing!$E$7+Revenue_Build!S295*Pricing!$E$8+Revenue_Build!S298*Pricing!$E$9)*Assumptions!$B$165/1000+Revenue_Build!S301*Assumptions!$B$148*Assumptions!$B$150/1000</f>
        <v/>
      </c>
      <c r="T155" s="10">
        <f>(Revenue_Build!T286*Pricing!$E$5+Revenue_Build!T289*Pricing!$E$6+Revenue_Build!T292*Pricing!$E$7+Revenue_Build!T295*Pricing!$E$8+Revenue_Build!T298*Pricing!$E$9)*Assumptions!$B$165/1000+Revenue_Build!T301*Assumptions!$B$148*Assumptions!$B$150/1000</f>
        <v/>
      </c>
      <c r="U155" s="10">
        <f>(Revenue_Build!U286*Pricing!$E$5+Revenue_Build!U289*Pricing!$E$6+Revenue_Build!U292*Pricing!$E$7+Revenue_Build!U295*Pricing!$E$8+Revenue_Build!U298*Pricing!$E$9)*Assumptions!$B$165/1000+Revenue_Build!U301*Assumptions!$B$148*Assumptions!$B$150/1000</f>
        <v/>
      </c>
      <c r="V155" s="10">
        <f>(Revenue_Build!V286*Pricing!$E$5+Revenue_Build!V289*Pricing!$E$6+Revenue_Build!V292*Pricing!$E$7+Revenue_Build!V295*Pricing!$E$8+Revenue_Build!V298*Pricing!$E$9)*Assumptions!$B$165/1000+Revenue_Build!V301*Assumptions!$B$148*Assumptions!$B$150/1000</f>
        <v/>
      </c>
      <c r="W155" s="10">
        <f>(Revenue_Build!W286*Pricing!$E$5+Revenue_Build!W289*Pricing!$E$6+Revenue_Build!W292*Pricing!$E$7+Revenue_Build!W295*Pricing!$E$8+Revenue_Build!W298*Pricing!$E$9)*Assumptions!$B$165/1000+Revenue_Build!W301*Assumptions!$B$148*Assumptions!$B$150/1000</f>
        <v/>
      </c>
      <c r="X155" s="10">
        <f>(Revenue_Build!X286*Pricing!$E$5+Revenue_Build!X289*Pricing!$E$6+Revenue_Build!X292*Pricing!$E$7+Revenue_Build!X295*Pricing!$E$8+Revenue_Build!X298*Pricing!$E$9)*Assumptions!$B$165/1000+Revenue_Build!X301*Assumptions!$B$148*Assumptions!$B$150/1000</f>
        <v/>
      </c>
      <c r="Y155" s="10">
        <f>(Revenue_Build!Y286*Pricing!$E$5+Revenue_Build!Y289*Pricing!$E$6+Revenue_Build!Y292*Pricing!$E$7+Revenue_Build!Y295*Pricing!$E$8+Revenue_Build!Y298*Pricing!$E$9)*Assumptions!$B$165/1000+Revenue_Build!Y301*Assumptions!$B$148*Assumptions!$B$150/1000</f>
        <v/>
      </c>
      <c r="Z155" s="10">
        <f>(Revenue_Build!Z286*Pricing!$E$5+Revenue_Build!Z289*Pricing!$E$6+Revenue_Build!Z292*Pricing!$E$7+Revenue_Build!Z295*Pricing!$E$8+Revenue_Build!Z298*Pricing!$E$9)*Assumptions!$B$165/1000+Revenue_Build!Z301*Assumptions!$B$148*Assumptions!$B$150/1000</f>
        <v/>
      </c>
      <c r="AA155" s="10">
        <f>(Revenue_Build!AA286*Pricing!$E$5+Revenue_Build!AA289*Pricing!$E$6+Revenue_Build!AA292*Pricing!$E$7+Revenue_Build!AA295*Pricing!$E$8+Revenue_Build!AA298*Pricing!$E$9)*Assumptions!$B$165/1000+Revenue_Build!AA301*Assumptions!$B$148*Assumptions!$B$150/1000</f>
        <v/>
      </c>
      <c r="AB155" s="10">
        <f>(Revenue_Build!AB286*Pricing!$E$5+Revenue_Build!AB289*Pricing!$E$6+Revenue_Build!AB292*Pricing!$E$7+Revenue_Build!AB295*Pricing!$E$8+Revenue_Build!AB298*Pricing!$E$9)*Assumptions!$B$165/1000+Revenue_Build!AB301*Assumptions!$B$148*Assumptions!$B$150/1000</f>
        <v/>
      </c>
      <c r="AC155" s="10">
        <f>(Revenue_Build!AC286*Pricing!$E$5+Revenue_Build!AC289*Pricing!$E$6+Revenue_Build!AC292*Pricing!$E$7+Revenue_Build!AC295*Pricing!$E$8+Revenue_Build!AC298*Pricing!$E$9)*Assumptions!$B$165/1000+Revenue_Build!AC301*Assumptions!$B$148*Assumptions!$B$150/1000</f>
        <v/>
      </c>
      <c r="AD155" s="10">
        <f>(Revenue_Build!AD286*Pricing!$E$5+Revenue_Build!AD289*Pricing!$E$6+Revenue_Build!AD292*Pricing!$E$7+Revenue_Build!AD295*Pricing!$E$8+Revenue_Build!AD298*Pricing!$E$9)*Assumptions!$B$165/1000+Revenue_Build!AD301*Assumptions!$B$148*Assumptions!$B$150/1000</f>
        <v/>
      </c>
      <c r="AE155" s="10">
        <f>(Revenue_Build!AE286*Pricing!$E$5+Revenue_Build!AE289*Pricing!$E$6+Revenue_Build!AE292*Pricing!$E$7+Revenue_Build!AE295*Pricing!$E$8+Revenue_Build!AE298*Pricing!$E$9)*Assumptions!$B$165/1000+Revenue_Build!AE301*Assumptions!$B$148*Assumptions!$B$150/1000</f>
        <v/>
      </c>
      <c r="AF155" s="10">
        <f>(Revenue_Build!AF286*Pricing!$E$5+Revenue_Build!AF289*Pricing!$E$6+Revenue_Build!AF292*Pricing!$E$7+Revenue_Build!AF295*Pricing!$E$8+Revenue_Build!AF298*Pricing!$E$9)*Assumptions!$B$165/1000+Revenue_Build!AF301*Assumptions!$B$148*Assumptions!$B$150/1000</f>
        <v/>
      </c>
      <c r="AG155" s="10">
        <f>(Revenue_Build!AG286*Pricing!$E$5+Revenue_Build!AG289*Pricing!$E$6+Revenue_Build!AG292*Pricing!$E$7+Revenue_Build!AG295*Pricing!$E$8+Revenue_Build!AG298*Pricing!$E$9)*Assumptions!$B$165/1000+Revenue_Build!AG301*Assumptions!$B$148*Assumptions!$B$150/1000</f>
        <v/>
      </c>
      <c r="AH155" s="10">
        <f>(Revenue_Build!AH286*Pricing!$E$5+Revenue_Build!AH289*Pricing!$E$6+Revenue_Build!AH292*Pricing!$E$7+Revenue_Build!AH295*Pricing!$E$8+Revenue_Build!AH298*Pricing!$E$9)*Assumptions!$B$165/1000+Revenue_Build!AH301*Assumptions!$B$148*Assumptions!$B$150/1000</f>
        <v/>
      </c>
      <c r="AI155" s="10">
        <f>(Revenue_Build!AI286*Pricing!$E$5+Revenue_Build!AI289*Pricing!$E$6+Revenue_Build!AI292*Pricing!$E$7+Revenue_Build!AI295*Pricing!$E$8+Revenue_Build!AI298*Pricing!$E$9)*Assumptions!$B$165/1000+Revenue_Build!AI301*Assumptions!$B$148*Assumptions!$B$150/1000</f>
        <v/>
      </c>
      <c r="AJ155" s="10">
        <f>(Revenue_Build!AJ286*Pricing!$E$5+Revenue_Build!AJ289*Pricing!$E$6+Revenue_Build!AJ292*Pricing!$E$7+Revenue_Build!AJ295*Pricing!$E$8+Revenue_Build!AJ298*Pricing!$E$9)*Assumptions!$B$165/1000+Revenue_Build!AJ301*Assumptions!$B$148*Assumptions!$B$150/1000</f>
        <v/>
      </c>
      <c r="AK155" s="10">
        <f>(Revenue_Build!AK286*Pricing!$E$5+Revenue_Build!AK289*Pricing!$E$6+Revenue_Build!AK292*Pricing!$E$7+Revenue_Build!AK295*Pricing!$E$8+Revenue_Build!AK298*Pricing!$E$9)*Assumptions!$B$165/1000+Revenue_Build!AK301*Assumptions!$B$148*Assumptions!$B$150/1000</f>
        <v/>
      </c>
      <c r="AL155" s="10">
        <f>(Revenue_Build!AL286*Pricing!$E$5+Revenue_Build!AL289*Pricing!$E$6+Revenue_Build!AL292*Pricing!$E$7+Revenue_Build!AL295*Pricing!$E$8+Revenue_Build!AL298*Pricing!$E$9)*Assumptions!$B$165/1000+Revenue_Build!AL301*Assumptions!$B$148*Assumptions!$B$150/1000</f>
        <v/>
      </c>
      <c r="AM155" s="10">
        <f>(Revenue_Build!AM286*Pricing!$E$5+Revenue_Build!AM289*Pricing!$E$6+Revenue_Build!AM292*Pricing!$E$7+Revenue_Build!AM295*Pricing!$E$8+Revenue_Build!AM298*Pricing!$E$9)*Assumptions!$B$165/1000+Revenue_Build!AM301*Assumptions!$B$148*Assumptions!$B$150/1000</f>
        <v/>
      </c>
      <c r="AN155" s="10">
        <f>(Revenue_Build!AN286*Pricing!$E$5+Revenue_Build!AN289*Pricing!$E$6+Revenue_Build!AN292*Pricing!$E$7+Revenue_Build!AN295*Pricing!$E$8+Revenue_Build!AN298*Pricing!$E$9)*Assumptions!$B$165/1000+Revenue_Build!AN301*Assumptions!$B$148*Assumptions!$B$150/1000</f>
        <v/>
      </c>
      <c r="AO155" s="10">
        <f>(Revenue_Build!AO286*Pricing!$E$5+Revenue_Build!AO289*Pricing!$E$6+Revenue_Build!AO292*Pricing!$E$7+Revenue_Build!AO295*Pricing!$E$8+Revenue_Build!AO298*Pricing!$E$9)*Assumptions!$B$165/1000+Revenue_Build!AO301*Assumptions!$B$148*Assumptions!$B$150/1000</f>
        <v/>
      </c>
      <c r="AP155" s="10">
        <f>(Revenue_Build!AP286*Pricing!$E$5+Revenue_Build!AP289*Pricing!$E$6+Revenue_Build!AP292*Pricing!$E$7+Revenue_Build!AP295*Pricing!$E$8+Revenue_Build!AP298*Pricing!$E$9)*Assumptions!$B$165/1000+Revenue_Build!AP301*Assumptions!$B$148*Assumptions!$B$150/1000</f>
        <v/>
      </c>
      <c r="AQ155" s="10">
        <f>(Revenue_Build!AQ286*Pricing!$E$5+Revenue_Build!AQ289*Pricing!$E$6+Revenue_Build!AQ292*Pricing!$E$7+Revenue_Build!AQ295*Pricing!$E$8+Revenue_Build!AQ298*Pricing!$E$9)*Assumptions!$B$165/1000+Revenue_Build!AQ301*Assumptions!$B$148*Assumptions!$B$150/1000</f>
        <v/>
      </c>
      <c r="AR155" s="10">
        <f>(Revenue_Build!AR286*Pricing!$E$5+Revenue_Build!AR289*Pricing!$E$6+Revenue_Build!AR292*Pricing!$E$7+Revenue_Build!AR295*Pricing!$E$8+Revenue_Build!AR298*Pricing!$E$9)*Assumptions!$B$165/1000+Revenue_Build!AR301*Assumptions!$B$148*Assumptions!$B$150/1000</f>
        <v/>
      </c>
      <c r="AS155" s="10">
        <f>(Revenue_Build!AS286*Pricing!$E$5+Revenue_Build!AS289*Pricing!$E$6+Revenue_Build!AS292*Pricing!$E$7+Revenue_Build!AS295*Pricing!$E$8+Revenue_Build!AS298*Pricing!$E$9)*Assumptions!$B$165/1000+Revenue_Build!AS301*Assumptions!$B$148*Assumptions!$B$150/1000</f>
        <v/>
      </c>
      <c r="AT155" s="10">
        <f>(Revenue_Build!AT286*Pricing!$E$5+Revenue_Build!AT289*Pricing!$E$6+Revenue_Build!AT292*Pricing!$E$7+Revenue_Build!AT295*Pricing!$E$8+Revenue_Build!AT298*Pricing!$E$9)*Assumptions!$B$165/1000+Revenue_Build!AT301*Assumptions!$B$148*Assumptions!$B$150/1000</f>
        <v/>
      </c>
      <c r="AU155" s="10">
        <f>(Revenue_Build!AU286*Pricing!$E$5+Revenue_Build!AU289*Pricing!$E$6+Revenue_Build!AU292*Pricing!$E$7+Revenue_Build!AU295*Pricing!$E$8+Revenue_Build!AU298*Pricing!$E$9)*Assumptions!$B$165/1000+Revenue_Build!AU301*Assumptions!$B$148*Assumptions!$B$150/1000</f>
        <v/>
      </c>
      <c r="AV155" s="10">
        <f>(Revenue_Build!AV286*Pricing!$E$5+Revenue_Build!AV289*Pricing!$E$6+Revenue_Build!AV292*Pricing!$E$7+Revenue_Build!AV295*Pricing!$E$8+Revenue_Build!AV298*Pricing!$E$9)*Assumptions!$B$165/1000+Revenue_Build!AV301*Assumptions!$B$148*Assumptions!$B$150/1000</f>
        <v/>
      </c>
      <c r="AW155" s="10">
        <f>(Revenue_Build!AW286*Pricing!$E$5+Revenue_Build!AW289*Pricing!$E$6+Revenue_Build!AW292*Pricing!$E$7+Revenue_Build!AW295*Pricing!$E$8+Revenue_Build!AW298*Pricing!$E$9)*Assumptions!$B$165/1000+Revenue_Build!AW301*Assumptions!$B$148*Assumptions!$B$150/1000</f>
        <v/>
      </c>
      <c r="AX155" s="10">
        <f>(Revenue_Build!AX286*Pricing!$E$5+Revenue_Build!AX289*Pricing!$E$6+Revenue_Build!AX292*Pricing!$E$7+Revenue_Build!AX295*Pricing!$E$8+Revenue_Build!AX298*Pricing!$E$9)*Assumptions!$B$165/1000+Revenue_Build!AX301*Assumptions!$B$148*Assumptions!$B$150/1000</f>
        <v/>
      </c>
      <c r="AY155" s="10">
        <f>(Revenue_Build!AY286*Pricing!$E$5+Revenue_Build!AY289*Pricing!$E$6+Revenue_Build!AY292*Pricing!$E$7+Revenue_Build!AY295*Pricing!$E$8+Revenue_Build!AY298*Pricing!$E$9)*Assumptions!$B$165/1000+Revenue_Build!AY301*Assumptions!$B$148*Assumptions!$B$150/1000</f>
        <v/>
      </c>
      <c r="AZ155" s="10">
        <f>(Revenue_Build!AZ286*Pricing!$E$5+Revenue_Build!AZ289*Pricing!$E$6+Revenue_Build!AZ292*Pricing!$E$7+Revenue_Build!AZ295*Pricing!$E$8+Revenue_Build!AZ298*Pricing!$E$9)*Assumptions!$B$165/1000+Revenue_Build!AZ301*Assumptions!$B$148*Assumptions!$B$150/1000</f>
        <v/>
      </c>
      <c r="BA155" s="10">
        <f>(Revenue_Build!BA286*Pricing!$E$5+Revenue_Build!BA289*Pricing!$E$6+Revenue_Build!BA292*Pricing!$E$7+Revenue_Build!BA295*Pricing!$E$8+Revenue_Build!BA298*Pricing!$E$9)*Assumptions!$B$165/1000+Revenue_Build!BA301*Assumptions!$B$148*Assumptions!$B$150/1000</f>
        <v/>
      </c>
      <c r="BB155" s="10">
        <f>(Revenue_Build!BB286*Pricing!$E$5+Revenue_Build!BB289*Pricing!$E$6+Revenue_Build!BB292*Pricing!$E$7+Revenue_Build!BB295*Pricing!$E$8+Revenue_Build!BB298*Pricing!$E$9)*Assumptions!$B$165/1000+Revenue_Build!BB301*Assumptions!$B$148*Assumptions!$B$150/1000</f>
        <v/>
      </c>
      <c r="BC155" s="10">
        <f>(Revenue_Build!BC286*Pricing!$E$5+Revenue_Build!BC289*Pricing!$E$6+Revenue_Build!BC292*Pricing!$E$7+Revenue_Build!BC295*Pricing!$E$8+Revenue_Build!BC298*Pricing!$E$9)*Assumptions!$B$165/1000+Revenue_Build!BC301*Assumptions!$B$148*Assumptions!$B$150/1000</f>
        <v/>
      </c>
      <c r="BD155" s="10">
        <f>(Revenue_Build!BD286*Pricing!$E$5+Revenue_Build!BD289*Pricing!$E$6+Revenue_Build!BD292*Pricing!$E$7+Revenue_Build!BD295*Pricing!$E$8+Revenue_Build!BD298*Pricing!$E$9)*Assumptions!$B$165/1000+Revenue_Build!BD301*Assumptions!$B$148*Assumptions!$B$150/1000</f>
        <v/>
      </c>
      <c r="BE155" s="10">
        <f>(Revenue_Build!BE286*Pricing!$E$5+Revenue_Build!BE289*Pricing!$E$6+Revenue_Build!BE292*Pricing!$E$7+Revenue_Build!BE295*Pricing!$E$8+Revenue_Build!BE298*Pricing!$E$9)*Assumptions!$B$165/1000+Revenue_Build!BE301*Assumptions!$B$148*Assumptions!$B$150/1000</f>
        <v/>
      </c>
      <c r="BF155" s="10">
        <f>(Revenue_Build!BF286*Pricing!$E$5+Revenue_Build!BF289*Pricing!$E$6+Revenue_Build!BF292*Pricing!$E$7+Revenue_Build!BF295*Pricing!$E$8+Revenue_Build!BF298*Pricing!$E$9)*Assumptions!$B$165/1000+Revenue_Build!BF301*Assumptions!$B$148*Assumptions!$B$150/1000</f>
        <v/>
      </c>
      <c r="BG155" s="10">
        <f>(Revenue_Build!BG286*Pricing!$E$5+Revenue_Build!BG289*Pricing!$E$6+Revenue_Build!BG292*Pricing!$E$7+Revenue_Build!BG295*Pricing!$E$8+Revenue_Build!BG298*Pricing!$E$9)*Assumptions!$B$165/1000+Revenue_Build!BG301*Assumptions!$B$148*Assumptions!$B$150/1000</f>
        <v/>
      </c>
      <c r="BH155" s="10">
        <f>(Revenue_Build!BH286*Pricing!$E$5+Revenue_Build!BH289*Pricing!$E$6+Revenue_Build!BH292*Pricing!$E$7+Revenue_Build!BH295*Pricing!$E$8+Revenue_Build!BH298*Pricing!$E$9)*Assumptions!$B$165/1000+Revenue_Build!BH301*Assumptions!$B$148*Assumptions!$B$150/1000</f>
        <v/>
      </c>
      <c r="BI155" s="10">
        <f>(Revenue_Build!BI286*Pricing!$E$5+Revenue_Build!BI289*Pricing!$E$6+Revenue_Build!BI292*Pricing!$E$7+Revenue_Build!BI295*Pricing!$E$8+Revenue_Build!BI298*Pricing!$E$9)*Assumptions!$B$165/1000+Revenue_Build!BI301*Assumptions!$B$148*Assumptions!$B$150/1000</f>
        <v/>
      </c>
      <c r="BJ155" s="10">
        <f>(Revenue_Build!BJ286*Pricing!$E$5+Revenue_Build!BJ289*Pricing!$E$6+Revenue_Build!BJ292*Pricing!$E$7+Revenue_Build!BJ295*Pricing!$E$8+Revenue_Build!BJ298*Pricing!$E$9)*Assumptions!$B$165/1000+Revenue_Build!BJ301*Assumptions!$B$148*Assumptions!$B$150/1000</f>
        <v/>
      </c>
    </row>
    <row r="156">
      <c r="A156" s="4" t="inlineStr">
        <is>
          <t>Inference cost per 1,000 credits</t>
        </is>
      </c>
      <c r="B156" s="17" t="inlineStr">
        <is>
          <t>R</t>
        </is>
      </c>
      <c r="C156" s="45">
        <f>Assumptions!$B$166*(1-Assumptions!$B$167)^(C$5-1)</f>
        <v/>
      </c>
      <c r="D156" s="45">
        <f>Assumptions!$B$166*(1-Assumptions!$B$167)^(D$5-1)</f>
        <v/>
      </c>
      <c r="E156" s="45">
        <f>Assumptions!$B$166*(1-Assumptions!$B$167)^(E$5-1)</f>
        <v/>
      </c>
      <c r="F156" s="45">
        <f>Assumptions!$B$166*(1-Assumptions!$B$167)^(F$5-1)</f>
        <v/>
      </c>
      <c r="G156" s="45">
        <f>Assumptions!$B$166*(1-Assumptions!$B$167)^(G$5-1)</f>
        <v/>
      </c>
      <c r="H156" s="45">
        <f>Assumptions!$B$166*(1-Assumptions!$B$167)^(H$5-1)</f>
        <v/>
      </c>
      <c r="I156" s="45">
        <f>Assumptions!$B$166*(1-Assumptions!$B$167)^(I$5-1)</f>
        <v/>
      </c>
      <c r="J156" s="45">
        <f>Assumptions!$B$166*(1-Assumptions!$B$167)^(J$5-1)</f>
        <v/>
      </c>
      <c r="K156" s="45">
        <f>Assumptions!$B$166*(1-Assumptions!$B$167)^(K$5-1)</f>
        <v/>
      </c>
      <c r="L156" s="45">
        <f>Assumptions!$B$166*(1-Assumptions!$B$167)^(L$5-1)</f>
        <v/>
      </c>
      <c r="M156" s="45">
        <f>Assumptions!$B$166*(1-Assumptions!$B$167)^(M$5-1)</f>
        <v/>
      </c>
      <c r="N156" s="45">
        <f>Assumptions!$B$166*(1-Assumptions!$B$167)^(N$5-1)</f>
        <v/>
      </c>
      <c r="O156" s="45">
        <f>Assumptions!$B$166*(1-Assumptions!$B$167)^(O$5-1)</f>
        <v/>
      </c>
      <c r="P156" s="45">
        <f>Assumptions!$B$166*(1-Assumptions!$B$167)^(P$5-1)</f>
        <v/>
      </c>
      <c r="Q156" s="45">
        <f>Assumptions!$B$166*(1-Assumptions!$B$167)^(Q$5-1)</f>
        <v/>
      </c>
      <c r="R156" s="45">
        <f>Assumptions!$B$166*(1-Assumptions!$B$167)^(R$5-1)</f>
        <v/>
      </c>
      <c r="S156" s="45">
        <f>Assumptions!$B$166*(1-Assumptions!$B$167)^(S$5-1)</f>
        <v/>
      </c>
      <c r="T156" s="45">
        <f>Assumptions!$B$166*(1-Assumptions!$B$167)^(T$5-1)</f>
        <v/>
      </c>
      <c r="U156" s="45">
        <f>Assumptions!$B$166*(1-Assumptions!$B$167)^(U$5-1)</f>
        <v/>
      </c>
      <c r="V156" s="45">
        <f>Assumptions!$B$166*(1-Assumptions!$B$167)^(V$5-1)</f>
        <v/>
      </c>
      <c r="W156" s="45">
        <f>Assumptions!$B$166*(1-Assumptions!$B$167)^(W$5-1)</f>
        <v/>
      </c>
      <c r="X156" s="45">
        <f>Assumptions!$B$166*(1-Assumptions!$B$167)^(X$5-1)</f>
        <v/>
      </c>
      <c r="Y156" s="45">
        <f>Assumptions!$B$166*(1-Assumptions!$B$167)^(Y$5-1)</f>
        <v/>
      </c>
      <c r="Z156" s="45">
        <f>Assumptions!$B$166*(1-Assumptions!$B$167)^(Z$5-1)</f>
        <v/>
      </c>
      <c r="AA156" s="45">
        <f>Assumptions!$B$166*(1-Assumptions!$B$167)^(AA$5-1)</f>
        <v/>
      </c>
      <c r="AB156" s="45">
        <f>Assumptions!$B$166*(1-Assumptions!$B$167)^(AB$5-1)</f>
        <v/>
      </c>
      <c r="AC156" s="45">
        <f>Assumptions!$B$166*(1-Assumptions!$B$167)^(AC$5-1)</f>
        <v/>
      </c>
      <c r="AD156" s="45">
        <f>Assumptions!$B$166*(1-Assumptions!$B$167)^(AD$5-1)</f>
        <v/>
      </c>
      <c r="AE156" s="45">
        <f>Assumptions!$B$166*(1-Assumptions!$B$167)^(AE$5-1)</f>
        <v/>
      </c>
      <c r="AF156" s="45">
        <f>Assumptions!$B$166*(1-Assumptions!$B$167)^(AF$5-1)</f>
        <v/>
      </c>
      <c r="AG156" s="45">
        <f>Assumptions!$B$166*(1-Assumptions!$B$167)^(AG$5-1)</f>
        <v/>
      </c>
      <c r="AH156" s="45">
        <f>Assumptions!$B$166*(1-Assumptions!$B$167)^(AH$5-1)</f>
        <v/>
      </c>
      <c r="AI156" s="45">
        <f>Assumptions!$B$166*(1-Assumptions!$B$167)^(AI$5-1)</f>
        <v/>
      </c>
      <c r="AJ156" s="45">
        <f>Assumptions!$B$166*(1-Assumptions!$B$167)^(AJ$5-1)</f>
        <v/>
      </c>
      <c r="AK156" s="45">
        <f>Assumptions!$B$166*(1-Assumptions!$B$167)^(AK$5-1)</f>
        <v/>
      </c>
      <c r="AL156" s="45">
        <f>Assumptions!$B$166*(1-Assumptions!$B$167)^(AL$5-1)</f>
        <v/>
      </c>
      <c r="AM156" s="45">
        <f>Assumptions!$B$166*(1-Assumptions!$B$167)^(AM$5-1)</f>
        <v/>
      </c>
      <c r="AN156" s="45">
        <f>Assumptions!$B$166*(1-Assumptions!$B$167)^(AN$5-1)</f>
        <v/>
      </c>
      <c r="AO156" s="45">
        <f>Assumptions!$B$166*(1-Assumptions!$B$167)^(AO$5-1)</f>
        <v/>
      </c>
      <c r="AP156" s="45">
        <f>Assumptions!$B$166*(1-Assumptions!$B$167)^(AP$5-1)</f>
        <v/>
      </c>
      <c r="AQ156" s="45">
        <f>Assumptions!$B$166*(1-Assumptions!$B$167)^(AQ$5-1)</f>
        <v/>
      </c>
      <c r="AR156" s="45">
        <f>Assumptions!$B$166*(1-Assumptions!$B$167)^(AR$5-1)</f>
        <v/>
      </c>
      <c r="AS156" s="45">
        <f>Assumptions!$B$166*(1-Assumptions!$B$167)^(AS$5-1)</f>
        <v/>
      </c>
      <c r="AT156" s="45">
        <f>Assumptions!$B$166*(1-Assumptions!$B$167)^(AT$5-1)</f>
        <v/>
      </c>
      <c r="AU156" s="45">
        <f>Assumptions!$B$166*(1-Assumptions!$B$167)^(AU$5-1)</f>
        <v/>
      </c>
      <c r="AV156" s="45">
        <f>Assumptions!$B$166*(1-Assumptions!$B$167)^(AV$5-1)</f>
        <v/>
      </c>
      <c r="AW156" s="45">
        <f>Assumptions!$B$166*(1-Assumptions!$B$167)^(AW$5-1)</f>
        <v/>
      </c>
      <c r="AX156" s="45">
        <f>Assumptions!$B$166*(1-Assumptions!$B$167)^(AX$5-1)</f>
        <v/>
      </c>
      <c r="AY156" s="45">
        <f>Assumptions!$B$166*(1-Assumptions!$B$167)^(AY$5-1)</f>
        <v/>
      </c>
      <c r="AZ156" s="45">
        <f>Assumptions!$B$166*(1-Assumptions!$B$167)^(AZ$5-1)</f>
        <v/>
      </c>
      <c r="BA156" s="45">
        <f>Assumptions!$B$166*(1-Assumptions!$B$167)^(BA$5-1)</f>
        <v/>
      </c>
      <c r="BB156" s="45">
        <f>Assumptions!$B$166*(1-Assumptions!$B$167)^(BB$5-1)</f>
        <v/>
      </c>
      <c r="BC156" s="45">
        <f>Assumptions!$B$166*(1-Assumptions!$B$167)^(BC$5-1)</f>
        <v/>
      </c>
      <c r="BD156" s="45">
        <f>Assumptions!$B$166*(1-Assumptions!$B$167)^(BD$5-1)</f>
        <v/>
      </c>
      <c r="BE156" s="45">
        <f>Assumptions!$B$166*(1-Assumptions!$B$167)^(BE$5-1)</f>
        <v/>
      </c>
      <c r="BF156" s="45">
        <f>Assumptions!$B$166*(1-Assumptions!$B$167)^(BF$5-1)</f>
        <v/>
      </c>
      <c r="BG156" s="45">
        <f>Assumptions!$B$166*(1-Assumptions!$B$167)^(BG$5-1)</f>
        <v/>
      </c>
      <c r="BH156" s="45">
        <f>Assumptions!$B$166*(1-Assumptions!$B$167)^(BH$5-1)</f>
        <v/>
      </c>
      <c r="BI156" s="45">
        <f>Assumptions!$B$166*(1-Assumptions!$B$167)^(BI$5-1)</f>
        <v/>
      </c>
      <c r="BJ156" s="45">
        <f>Assumptions!$B$166*(1-Assumptions!$B$167)^(BJ$5-1)</f>
        <v/>
      </c>
    </row>
    <row r="157">
      <c r="A157" s="4" t="inlineStr">
        <is>
          <t>AI inference</t>
        </is>
      </c>
      <c r="B157" s="17" t="inlineStr">
        <is>
          <t>R</t>
        </is>
      </c>
      <c r="C157" s="8">
        <f>C155*C156</f>
        <v/>
      </c>
      <c r="D157" s="8">
        <f>D155*D156</f>
        <v/>
      </c>
      <c r="E157" s="8">
        <f>E155*E156</f>
        <v/>
      </c>
      <c r="F157" s="8">
        <f>F155*F156</f>
        <v/>
      </c>
      <c r="G157" s="8">
        <f>G155*G156</f>
        <v/>
      </c>
      <c r="H157" s="8">
        <f>H155*H156</f>
        <v/>
      </c>
      <c r="I157" s="8">
        <f>I155*I156</f>
        <v/>
      </c>
      <c r="J157" s="8">
        <f>J155*J156</f>
        <v/>
      </c>
      <c r="K157" s="8">
        <f>K155*K156</f>
        <v/>
      </c>
      <c r="L157" s="8">
        <f>L155*L156</f>
        <v/>
      </c>
      <c r="M157" s="8">
        <f>M155*M156</f>
        <v/>
      </c>
      <c r="N157" s="8">
        <f>N155*N156</f>
        <v/>
      </c>
      <c r="O157" s="8">
        <f>O155*O156</f>
        <v/>
      </c>
      <c r="P157" s="8">
        <f>P155*P156</f>
        <v/>
      </c>
      <c r="Q157" s="8">
        <f>Q155*Q156</f>
        <v/>
      </c>
      <c r="R157" s="8">
        <f>R155*R156</f>
        <v/>
      </c>
      <c r="S157" s="8">
        <f>S155*S156</f>
        <v/>
      </c>
      <c r="T157" s="8">
        <f>T155*T156</f>
        <v/>
      </c>
      <c r="U157" s="8">
        <f>U155*U156</f>
        <v/>
      </c>
      <c r="V157" s="8">
        <f>V155*V156</f>
        <v/>
      </c>
      <c r="W157" s="8">
        <f>W155*W156</f>
        <v/>
      </c>
      <c r="X157" s="8">
        <f>X155*X156</f>
        <v/>
      </c>
      <c r="Y157" s="8">
        <f>Y155*Y156</f>
        <v/>
      </c>
      <c r="Z157" s="8">
        <f>Z155*Z156</f>
        <v/>
      </c>
      <c r="AA157" s="8">
        <f>AA155*AA156</f>
        <v/>
      </c>
      <c r="AB157" s="8">
        <f>AB155*AB156</f>
        <v/>
      </c>
      <c r="AC157" s="8">
        <f>AC155*AC156</f>
        <v/>
      </c>
      <c r="AD157" s="8">
        <f>AD155*AD156</f>
        <v/>
      </c>
      <c r="AE157" s="8">
        <f>AE155*AE156</f>
        <v/>
      </c>
      <c r="AF157" s="8">
        <f>AF155*AF156</f>
        <v/>
      </c>
      <c r="AG157" s="8">
        <f>AG155*AG156</f>
        <v/>
      </c>
      <c r="AH157" s="8">
        <f>AH155*AH156</f>
        <v/>
      </c>
      <c r="AI157" s="8">
        <f>AI155*AI156</f>
        <v/>
      </c>
      <c r="AJ157" s="8">
        <f>AJ155*AJ156</f>
        <v/>
      </c>
      <c r="AK157" s="8">
        <f>AK155*AK156</f>
        <v/>
      </c>
      <c r="AL157" s="8">
        <f>AL155*AL156</f>
        <v/>
      </c>
      <c r="AM157" s="8">
        <f>AM155*AM156</f>
        <v/>
      </c>
      <c r="AN157" s="8">
        <f>AN155*AN156</f>
        <v/>
      </c>
      <c r="AO157" s="8">
        <f>AO155*AO156</f>
        <v/>
      </c>
      <c r="AP157" s="8">
        <f>AP155*AP156</f>
        <v/>
      </c>
      <c r="AQ157" s="8">
        <f>AQ155*AQ156</f>
        <v/>
      </c>
      <c r="AR157" s="8">
        <f>AR155*AR156</f>
        <v/>
      </c>
      <c r="AS157" s="8">
        <f>AS155*AS156</f>
        <v/>
      </c>
      <c r="AT157" s="8">
        <f>AT155*AT156</f>
        <v/>
      </c>
      <c r="AU157" s="8">
        <f>AU155*AU156</f>
        <v/>
      </c>
      <c r="AV157" s="8">
        <f>AV155*AV156</f>
        <v/>
      </c>
      <c r="AW157" s="8">
        <f>AW155*AW156</f>
        <v/>
      </c>
      <c r="AX157" s="8">
        <f>AX155*AX156</f>
        <v/>
      </c>
      <c r="AY157" s="8">
        <f>AY155*AY156</f>
        <v/>
      </c>
      <c r="AZ157" s="8">
        <f>AZ155*AZ156</f>
        <v/>
      </c>
      <c r="BA157" s="8">
        <f>BA155*BA156</f>
        <v/>
      </c>
      <c r="BB157" s="8">
        <f>BB155*BB156</f>
        <v/>
      </c>
      <c r="BC157" s="8">
        <f>BC155*BC156</f>
        <v/>
      </c>
      <c r="BD157" s="8">
        <f>BD155*BD156</f>
        <v/>
      </c>
      <c r="BE157" s="8">
        <f>BE155*BE156</f>
        <v/>
      </c>
      <c r="BF157" s="8">
        <f>BF155*BF156</f>
        <v/>
      </c>
      <c r="BG157" s="8">
        <f>BG155*BG156</f>
        <v/>
      </c>
      <c r="BH157" s="8">
        <f>BH155*BH156</f>
        <v/>
      </c>
      <c r="BI157" s="8">
        <f>BI155*BI156</f>
        <v/>
      </c>
      <c r="BJ157" s="8">
        <f>BJ155*BJ156</f>
        <v/>
      </c>
    </row>
    <row r="158">
      <c r="A158" s="4" t="inlineStr">
        <is>
          <t>Hosting (lean base before seed, full base after)</t>
        </is>
      </c>
      <c r="B158" s="17" t="inlineStr">
        <is>
          <t>R</t>
        </is>
      </c>
      <c r="C158" s="8">
        <f>IF(Revenue_Build!C8=1,Assumptions!$B$168,Assumptions!$B$30)+Assumptions!$B$169*Revenue_Build!C301</f>
        <v/>
      </c>
      <c r="D158" s="8">
        <f>IF(Revenue_Build!D8=1,Assumptions!$B$168,Assumptions!$B$30)+Assumptions!$B$169*Revenue_Build!D301</f>
        <v/>
      </c>
      <c r="E158" s="8">
        <f>IF(Revenue_Build!E8=1,Assumptions!$B$168,Assumptions!$B$30)+Assumptions!$B$169*Revenue_Build!E301</f>
        <v/>
      </c>
      <c r="F158" s="8">
        <f>IF(Revenue_Build!F8=1,Assumptions!$B$168,Assumptions!$B$30)+Assumptions!$B$169*Revenue_Build!F301</f>
        <v/>
      </c>
      <c r="G158" s="8">
        <f>IF(Revenue_Build!G8=1,Assumptions!$B$168,Assumptions!$B$30)+Assumptions!$B$169*Revenue_Build!G301</f>
        <v/>
      </c>
      <c r="H158" s="8">
        <f>IF(Revenue_Build!H8=1,Assumptions!$B$168,Assumptions!$B$30)+Assumptions!$B$169*Revenue_Build!H301</f>
        <v/>
      </c>
      <c r="I158" s="8">
        <f>IF(Revenue_Build!I8=1,Assumptions!$B$168,Assumptions!$B$30)+Assumptions!$B$169*Revenue_Build!I301</f>
        <v/>
      </c>
      <c r="J158" s="8">
        <f>IF(Revenue_Build!J8=1,Assumptions!$B$168,Assumptions!$B$30)+Assumptions!$B$169*Revenue_Build!J301</f>
        <v/>
      </c>
      <c r="K158" s="8">
        <f>IF(Revenue_Build!K8=1,Assumptions!$B$168,Assumptions!$B$30)+Assumptions!$B$169*Revenue_Build!K301</f>
        <v/>
      </c>
      <c r="L158" s="8">
        <f>IF(Revenue_Build!L8=1,Assumptions!$B$168,Assumptions!$B$30)+Assumptions!$B$169*Revenue_Build!L301</f>
        <v/>
      </c>
      <c r="M158" s="8">
        <f>IF(Revenue_Build!M8=1,Assumptions!$B$168,Assumptions!$B$30)+Assumptions!$B$169*Revenue_Build!M301</f>
        <v/>
      </c>
      <c r="N158" s="8">
        <f>IF(Revenue_Build!N8=1,Assumptions!$B$168,Assumptions!$B$30)+Assumptions!$B$169*Revenue_Build!N301</f>
        <v/>
      </c>
      <c r="O158" s="8">
        <f>IF(Revenue_Build!O8=1,Assumptions!$B$168,Assumptions!$B$30)+Assumptions!$B$169*Revenue_Build!O301</f>
        <v/>
      </c>
      <c r="P158" s="8">
        <f>IF(Revenue_Build!P8=1,Assumptions!$B$168,Assumptions!$B$30)+Assumptions!$B$169*Revenue_Build!P301</f>
        <v/>
      </c>
      <c r="Q158" s="8">
        <f>IF(Revenue_Build!Q8=1,Assumptions!$B$168,Assumptions!$B$30)+Assumptions!$B$169*Revenue_Build!Q301</f>
        <v/>
      </c>
      <c r="R158" s="8">
        <f>IF(Revenue_Build!R8=1,Assumptions!$B$168,Assumptions!$B$30)+Assumptions!$B$169*Revenue_Build!R301</f>
        <v/>
      </c>
      <c r="S158" s="8">
        <f>IF(Revenue_Build!S8=1,Assumptions!$B$168,Assumptions!$B$30)+Assumptions!$B$169*Revenue_Build!S301</f>
        <v/>
      </c>
      <c r="T158" s="8">
        <f>IF(Revenue_Build!T8=1,Assumptions!$B$168,Assumptions!$B$30)+Assumptions!$B$169*Revenue_Build!T301</f>
        <v/>
      </c>
      <c r="U158" s="8">
        <f>IF(Revenue_Build!U8=1,Assumptions!$B$168,Assumptions!$B$30)+Assumptions!$B$169*Revenue_Build!U301</f>
        <v/>
      </c>
      <c r="V158" s="8">
        <f>IF(Revenue_Build!V8=1,Assumptions!$B$168,Assumptions!$B$30)+Assumptions!$B$169*Revenue_Build!V301</f>
        <v/>
      </c>
      <c r="W158" s="8">
        <f>IF(Revenue_Build!W8=1,Assumptions!$B$168,Assumptions!$B$30)+Assumptions!$B$169*Revenue_Build!W301</f>
        <v/>
      </c>
      <c r="X158" s="8">
        <f>IF(Revenue_Build!X8=1,Assumptions!$B$168,Assumptions!$B$30)+Assumptions!$B$169*Revenue_Build!X301</f>
        <v/>
      </c>
      <c r="Y158" s="8">
        <f>IF(Revenue_Build!Y8=1,Assumptions!$B$168,Assumptions!$B$30)+Assumptions!$B$169*Revenue_Build!Y301</f>
        <v/>
      </c>
      <c r="Z158" s="8">
        <f>IF(Revenue_Build!Z8=1,Assumptions!$B$168,Assumptions!$B$30)+Assumptions!$B$169*Revenue_Build!Z301</f>
        <v/>
      </c>
      <c r="AA158" s="8">
        <f>IF(Revenue_Build!AA8=1,Assumptions!$B$168,Assumptions!$B$30)+Assumptions!$B$169*Revenue_Build!AA301</f>
        <v/>
      </c>
      <c r="AB158" s="8">
        <f>IF(Revenue_Build!AB8=1,Assumptions!$B$168,Assumptions!$B$30)+Assumptions!$B$169*Revenue_Build!AB301</f>
        <v/>
      </c>
      <c r="AC158" s="8">
        <f>IF(Revenue_Build!AC8=1,Assumptions!$B$168,Assumptions!$B$30)+Assumptions!$B$169*Revenue_Build!AC301</f>
        <v/>
      </c>
      <c r="AD158" s="8">
        <f>IF(Revenue_Build!AD8=1,Assumptions!$B$168,Assumptions!$B$30)+Assumptions!$B$169*Revenue_Build!AD301</f>
        <v/>
      </c>
      <c r="AE158" s="8">
        <f>IF(Revenue_Build!AE8=1,Assumptions!$B$168,Assumptions!$B$30)+Assumptions!$B$169*Revenue_Build!AE301</f>
        <v/>
      </c>
      <c r="AF158" s="8">
        <f>IF(Revenue_Build!AF8=1,Assumptions!$B$168,Assumptions!$B$30)+Assumptions!$B$169*Revenue_Build!AF301</f>
        <v/>
      </c>
      <c r="AG158" s="8">
        <f>IF(Revenue_Build!AG8=1,Assumptions!$B$168,Assumptions!$B$30)+Assumptions!$B$169*Revenue_Build!AG301</f>
        <v/>
      </c>
      <c r="AH158" s="8">
        <f>IF(Revenue_Build!AH8=1,Assumptions!$B$168,Assumptions!$B$30)+Assumptions!$B$169*Revenue_Build!AH301</f>
        <v/>
      </c>
      <c r="AI158" s="8">
        <f>IF(Revenue_Build!AI8=1,Assumptions!$B$168,Assumptions!$B$30)+Assumptions!$B$169*Revenue_Build!AI301</f>
        <v/>
      </c>
      <c r="AJ158" s="8">
        <f>IF(Revenue_Build!AJ8=1,Assumptions!$B$168,Assumptions!$B$30)+Assumptions!$B$169*Revenue_Build!AJ301</f>
        <v/>
      </c>
      <c r="AK158" s="8">
        <f>IF(Revenue_Build!AK8=1,Assumptions!$B$168,Assumptions!$B$30)+Assumptions!$B$169*Revenue_Build!AK301</f>
        <v/>
      </c>
      <c r="AL158" s="8">
        <f>IF(Revenue_Build!AL8=1,Assumptions!$B$168,Assumptions!$B$30)+Assumptions!$B$169*Revenue_Build!AL301</f>
        <v/>
      </c>
      <c r="AM158" s="8">
        <f>IF(Revenue_Build!AM8=1,Assumptions!$B$168,Assumptions!$B$30)+Assumptions!$B$169*Revenue_Build!AM301</f>
        <v/>
      </c>
      <c r="AN158" s="8">
        <f>IF(Revenue_Build!AN8=1,Assumptions!$B$168,Assumptions!$B$30)+Assumptions!$B$169*Revenue_Build!AN301</f>
        <v/>
      </c>
      <c r="AO158" s="8">
        <f>IF(Revenue_Build!AO8=1,Assumptions!$B$168,Assumptions!$B$30)+Assumptions!$B$169*Revenue_Build!AO301</f>
        <v/>
      </c>
      <c r="AP158" s="8">
        <f>IF(Revenue_Build!AP8=1,Assumptions!$B$168,Assumptions!$B$30)+Assumptions!$B$169*Revenue_Build!AP301</f>
        <v/>
      </c>
      <c r="AQ158" s="8">
        <f>IF(Revenue_Build!AQ8=1,Assumptions!$B$168,Assumptions!$B$30)+Assumptions!$B$169*Revenue_Build!AQ301</f>
        <v/>
      </c>
      <c r="AR158" s="8">
        <f>IF(Revenue_Build!AR8=1,Assumptions!$B$168,Assumptions!$B$30)+Assumptions!$B$169*Revenue_Build!AR301</f>
        <v/>
      </c>
      <c r="AS158" s="8">
        <f>IF(Revenue_Build!AS8=1,Assumptions!$B$168,Assumptions!$B$30)+Assumptions!$B$169*Revenue_Build!AS301</f>
        <v/>
      </c>
      <c r="AT158" s="8">
        <f>IF(Revenue_Build!AT8=1,Assumptions!$B$168,Assumptions!$B$30)+Assumptions!$B$169*Revenue_Build!AT301</f>
        <v/>
      </c>
      <c r="AU158" s="8">
        <f>IF(Revenue_Build!AU8=1,Assumptions!$B$168,Assumptions!$B$30)+Assumptions!$B$169*Revenue_Build!AU301</f>
        <v/>
      </c>
      <c r="AV158" s="8">
        <f>IF(Revenue_Build!AV8=1,Assumptions!$B$168,Assumptions!$B$30)+Assumptions!$B$169*Revenue_Build!AV301</f>
        <v/>
      </c>
      <c r="AW158" s="8">
        <f>IF(Revenue_Build!AW8=1,Assumptions!$B$168,Assumptions!$B$30)+Assumptions!$B$169*Revenue_Build!AW301</f>
        <v/>
      </c>
      <c r="AX158" s="8">
        <f>IF(Revenue_Build!AX8=1,Assumptions!$B$168,Assumptions!$B$30)+Assumptions!$B$169*Revenue_Build!AX301</f>
        <v/>
      </c>
      <c r="AY158" s="8">
        <f>IF(Revenue_Build!AY8=1,Assumptions!$B$168,Assumptions!$B$30)+Assumptions!$B$169*Revenue_Build!AY301</f>
        <v/>
      </c>
      <c r="AZ158" s="8">
        <f>IF(Revenue_Build!AZ8=1,Assumptions!$B$168,Assumptions!$B$30)+Assumptions!$B$169*Revenue_Build!AZ301</f>
        <v/>
      </c>
      <c r="BA158" s="8">
        <f>IF(Revenue_Build!BA8=1,Assumptions!$B$168,Assumptions!$B$30)+Assumptions!$B$169*Revenue_Build!BA301</f>
        <v/>
      </c>
      <c r="BB158" s="8">
        <f>IF(Revenue_Build!BB8=1,Assumptions!$B$168,Assumptions!$B$30)+Assumptions!$B$169*Revenue_Build!BB301</f>
        <v/>
      </c>
      <c r="BC158" s="8">
        <f>IF(Revenue_Build!BC8=1,Assumptions!$B$168,Assumptions!$B$30)+Assumptions!$B$169*Revenue_Build!BC301</f>
        <v/>
      </c>
      <c r="BD158" s="8">
        <f>IF(Revenue_Build!BD8=1,Assumptions!$B$168,Assumptions!$B$30)+Assumptions!$B$169*Revenue_Build!BD301</f>
        <v/>
      </c>
      <c r="BE158" s="8">
        <f>IF(Revenue_Build!BE8=1,Assumptions!$B$168,Assumptions!$B$30)+Assumptions!$B$169*Revenue_Build!BE301</f>
        <v/>
      </c>
      <c r="BF158" s="8">
        <f>IF(Revenue_Build!BF8=1,Assumptions!$B$168,Assumptions!$B$30)+Assumptions!$B$169*Revenue_Build!BF301</f>
        <v/>
      </c>
      <c r="BG158" s="8">
        <f>IF(Revenue_Build!BG8=1,Assumptions!$B$168,Assumptions!$B$30)+Assumptions!$B$169*Revenue_Build!BG301</f>
        <v/>
      </c>
      <c r="BH158" s="8">
        <f>IF(Revenue_Build!BH8=1,Assumptions!$B$168,Assumptions!$B$30)+Assumptions!$B$169*Revenue_Build!BH301</f>
        <v/>
      </c>
      <c r="BI158" s="8">
        <f>IF(Revenue_Build!BI8=1,Assumptions!$B$168,Assumptions!$B$30)+Assumptions!$B$169*Revenue_Build!BI301</f>
        <v/>
      </c>
      <c r="BJ158" s="8">
        <f>IF(Revenue_Build!BJ8=1,Assumptions!$B$168,Assumptions!$B$30)+Assumptions!$B$169*Revenue_Build!BJ301</f>
        <v/>
      </c>
    </row>
    <row r="159">
      <c r="A159" s="4" t="inlineStr">
        <is>
          <t>WhatsApp Meta fees (pass-through cost)</t>
        </is>
      </c>
      <c r="B159" s="17" t="inlineStr">
        <is>
          <t>R</t>
        </is>
      </c>
      <c r="C159" s="8">
        <f>Revenue_Build!C391*Assumptions!$B$156</f>
        <v/>
      </c>
      <c r="D159" s="8">
        <f>Revenue_Build!D391*Assumptions!$B$156</f>
        <v/>
      </c>
      <c r="E159" s="8">
        <f>Revenue_Build!E391*Assumptions!$B$156</f>
        <v/>
      </c>
      <c r="F159" s="8">
        <f>Revenue_Build!F391*Assumptions!$B$156</f>
        <v/>
      </c>
      <c r="G159" s="8">
        <f>Revenue_Build!G391*Assumptions!$B$156</f>
        <v/>
      </c>
      <c r="H159" s="8">
        <f>Revenue_Build!H391*Assumptions!$B$156</f>
        <v/>
      </c>
      <c r="I159" s="8">
        <f>Revenue_Build!I391*Assumptions!$B$156</f>
        <v/>
      </c>
      <c r="J159" s="8">
        <f>Revenue_Build!J391*Assumptions!$B$156</f>
        <v/>
      </c>
      <c r="K159" s="8">
        <f>Revenue_Build!K391*Assumptions!$B$156</f>
        <v/>
      </c>
      <c r="L159" s="8">
        <f>Revenue_Build!L391*Assumptions!$B$156</f>
        <v/>
      </c>
      <c r="M159" s="8">
        <f>Revenue_Build!M391*Assumptions!$B$156</f>
        <v/>
      </c>
      <c r="N159" s="8">
        <f>Revenue_Build!N391*Assumptions!$B$156</f>
        <v/>
      </c>
      <c r="O159" s="8">
        <f>Revenue_Build!O391*Assumptions!$B$156</f>
        <v/>
      </c>
      <c r="P159" s="8">
        <f>Revenue_Build!P391*Assumptions!$B$156</f>
        <v/>
      </c>
      <c r="Q159" s="8">
        <f>Revenue_Build!Q391*Assumptions!$B$156</f>
        <v/>
      </c>
      <c r="R159" s="8">
        <f>Revenue_Build!R391*Assumptions!$B$156</f>
        <v/>
      </c>
      <c r="S159" s="8">
        <f>Revenue_Build!S391*Assumptions!$B$156</f>
        <v/>
      </c>
      <c r="T159" s="8">
        <f>Revenue_Build!T391*Assumptions!$B$156</f>
        <v/>
      </c>
      <c r="U159" s="8">
        <f>Revenue_Build!U391*Assumptions!$B$156</f>
        <v/>
      </c>
      <c r="V159" s="8">
        <f>Revenue_Build!V391*Assumptions!$B$156</f>
        <v/>
      </c>
      <c r="W159" s="8">
        <f>Revenue_Build!W391*Assumptions!$B$156</f>
        <v/>
      </c>
      <c r="X159" s="8">
        <f>Revenue_Build!X391*Assumptions!$B$156</f>
        <v/>
      </c>
      <c r="Y159" s="8">
        <f>Revenue_Build!Y391*Assumptions!$B$156</f>
        <v/>
      </c>
      <c r="Z159" s="8">
        <f>Revenue_Build!Z391*Assumptions!$B$156</f>
        <v/>
      </c>
      <c r="AA159" s="8">
        <f>Revenue_Build!AA391*Assumptions!$B$156</f>
        <v/>
      </c>
      <c r="AB159" s="8">
        <f>Revenue_Build!AB391*Assumptions!$B$156</f>
        <v/>
      </c>
      <c r="AC159" s="8">
        <f>Revenue_Build!AC391*Assumptions!$B$156</f>
        <v/>
      </c>
      <c r="AD159" s="8">
        <f>Revenue_Build!AD391*Assumptions!$B$156</f>
        <v/>
      </c>
      <c r="AE159" s="8">
        <f>Revenue_Build!AE391*Assumptions!$B$156</f>
        <v/>
      </c>
      <c r="AF159" s="8">
        <f>Revenue_Build!AF391*Assumptions!$B$156</f>
        <v/>
      </c>
      <c r="AG159" s="8">
        <f>Revenue_Build!AG391*Assumptions!$B$156</f>
        <v/>
      </c>
      <c r="AH159" s="8">
        <f>Revenue_Build!AH391*Assumptions!$B$156</f>
        <v/>
      </c>
      <c r="AI159" s="8">
        <f>Revenue_Build!AI391*Assumptions!$B$156</f>
        <v/>
      </c>
      <c r="AJ159" s="8">
        <f>Revenue_Build!AJ391*Assumptions!$B$156</f>
        <v/>
      </c>
      <c r="AK159" s="8">
        <f>Revenue_Build!AK391*Assumptions!$B$156</f>
        <v/>
      </c>
      <c r="AL159" s="8">
        <f>Revenue_Build!AL391*Assumptions!$B$156</f>
        <v/>
      </c>
      <c r="AM159" s="8">
        <f>Revenue_Build!AM391*Assumptions!$B$156</f>
        <v/>
      </c>
      <c r="AN159" s="8">
        <f>Revenue_Build!AN391*Assumptions!$B$156</f>
        <v/>
      </c>
      <c r="AO159" s="8">
        <f>Revenue_Build!AO391*Assumptions!$B$156</f>
        <v/>
      </c>
      <c r="AP159" s="8">
        <f>Revenue_Build!AP391*Assumptions!$B$156</f>
        <v/>
      </c>
      <c r="AQ159" s="8">
        <f>Revenue_Build!AQ391*Assumptions!$B$156</f>
        <v/>
      </c>
      <c r="AR159" s="8">
        <f>Revenue_Build!AR391*Assumptions!$B$156</f>
        <v/>
      </c>
      <c r="AS159" s="8">
        <f>Revenue_Build!AS391*Assumptions!$B$156</f>
        <v/>
      </c>
      <c r="AT159" s="8">
        <f>Revenue_Build!AT391*Assumptions!$B$156</f>
        <v/>
      </c>
      <c r="AU159" s="8">
        <f>Revenue_Build!AU391*Assumptions!$B$156</f>
        <v/>
      </c>
      <c r="AV159" s="8">
        <f>Revenue_Build!AV391*Assumptions!$B$156</f>
        <v/>
      </c>
      <c r="AW159" s="8">
        <f>Revenue_Build!AW391*Assumptions!$B$156</f>
        <v/>
      </c>
      <c r="AX159" s="8">
        <f>Revenue_Build!AX391*Assumptions!$B$156</f>
        <v/>
      </c>
      <c r="AY159" s="8">
        <f>Revenue_Build!AY391*Assumptions!$B$156</f>
        <v/>
      </c>
      <c r="AZ159" s="8">
        <f>Revenue_Build!AZ391*Assumptions!$B$156</f>
        <v/>
      </c>
      <c r="BA159" s="8">
        <f>Revenue_Build!BA391*Assumptions!$B$156</f>
        <v/>
      </c>
      <c r="BB159" s="8">
        <f>Revenue_Build!BB391*Assumptions!$B$156</f>
        <v/>
      </c>
      <c r="BC159" s="8">
        <f>Revenue_Build!BC391*Assumptions!$B$156</f>
        <v/>
      </c>
      <c r="BD159" s="8">
        <f>Revenue_Build!BD391*Assumptions!$B$156</f>
        <v/>
      </c>
      <c r="BE159" s="8">
        <f>Revenue_Build!BE391*Assumptions!$B$156</f>
        <v/>
      </c>
      <c r="BF159" s="8">
        <f>Revenue_Build!BF391*Assumptions!$B$156</f>
        <v/>
      </c>
      <c r="BG159" s="8">
        <f>Revenue_Build!BG391*Assumptions!$B$156</f>
        <v/>
      </c>
      <c r="BH159" s="8">
        <f>Revenue_Build!BH391*Assumptions!$B$156</f>
        <v/>
      </c>
      <c r="BI159" s="8">
        <f>Revenue_Build!BI391*Assumptions!$B$156</f>
        <v/>
      </c>
      <c r="BJ159" s="8">
        <f>Revenue_Build!BJ391*Assumptions!$B$156</f>
        <v/>
      </c>
    </row>
    <row r="160">
      <c r="A160" s="4" t="inlineStr">
        <is>
          <t>Non-SA share of paying workspaces</t>
        </is>
      </c>
      <c r="B160" s="17" t="inlineStr">
        <is>
          <t>%</t>
        </is>
      </c>
      <c r="C160" s="9">
        <f>IF(Revenue_Build!C301=0,0,1-Revenue_Build!C263/Revenue_Build!C301)</f>
        <v/>
      </c>
      <c r="D160" s="9">
        <f>IF(Revenue_Build!D301=0,0,1-Revenue_Build!D263/Revenue_Build!D301)</f>
        <v/>
      </c>
      <c r="E160" s="9">
        <f>IF(Revenue_Build!E301=0,0,1-Revenue_Build!E263/Revenue_Build!E301)</f>
        <v/>
      </c>
      <c r="F160" s="9">
        <f>IF(Revenue_Build!F301=0,0,1-Revenue_Build!F263/Revenue_Build!F301)</f>
        <v/>
      </c>
      <c r="G160" s="9">
        <f>IF(Revenue_Build!G301=0,0,1-Revenue_Build!G263/Revenue_Build!G301)</f>
        <v/>
      </c>
      <c r="H160" s="9">
        <f>IF(Revenue_Build!H301=0,0,1-Revenue_Build!H263/Revenue_Build!H301)</f>
        <v/>
      </c>
      <c r="I160" s="9">
        <f>IF(Revenue_Build!I301=0,0,1-Revenue_Build!I263/Revenue_Build!I301)</f>
        <v/>
      </c>
      <c r="J160" s="9">
        <f>IF(Revenue_Build!J301=0,0,1-Revenue_Build!J263/Revenue_Build!J301)</f>
        <v/>
      </c>
      <c r="K160" s="9">
        <f>IF(Revenue_Build!K301=0,0,1-Revenue_Build!K263/Revenue_Build!K301)</f>
        <v/>
      </c>
      <c r="L160" s="9">
        <f>IF(Revenue_Build!L301=0,0,1-Revenue_Build!L263/Revenue_Build!L301)</f>
        <v/>
      </c>
      <c r="M160" s="9">
        <f>IF(Revenue_Build!M301=0,0,1-Revenue_Build!M263/Revenue_Build!M301)</f>
        <v/>
      </c>
      <c r="N160" s="9">
        <f>IF(Revenue_Build!N301=0,0,1-Revenue_Build!N263/Revenue_Build!N301)</f>
        <v/>
      </c>
      <c r="O160" s="9">
        <f>IF(Revenue_Build!O301=0,0,1-Revenue_Build!O263/Revenue_Build!O301)</f>
        <v/>
      </c>
      <c r="P160" s="9">
        <f>IF(Revenue_Build!P301=0,0,1-Revenue_Build!P263/Revenue_Build!P301)</f>
        <v/>
      </c>
      <c r="Q160" s="9">
        <f>IF(Revenue_Build!Q301=0,0,1-Revenue_Build!Q263/Revenue_Build!Q301)</f>
        <v/>
      </c>
      <c r="R160" s="9">
        <f>IF(Revenue_Build!R301=0,0,1-Revenue_Build!R263/Revenue_Build!R301)</f>
        <v/>
      </c>
      <c r="S160" s="9">
        <f>IF(Revenue_Build!S301=0,0,1-Revenue_Build!S263/Revenue_Build!S301)</f>
        <v/>
      </c>
      <c r="T160" s="9">
        <f>IF(Revenue_Build!T301=0,0,1-Revenue_Build!T263/Revenue_Build!T301)</f>
        <v/>
      </c>
      <c r="U160" s="9">
        <f>IF(Revenue_Build!U301=0,0,1-Revenue_Build!U263/Revenue_Build!U301)</f>
        <v/>
      </c>
      <c r="V160" s="9">
        <f>IF(Revenue_Build!V301=0,0,1-Revenue_Build!V263/Revenue_Build!V301)</f>
        <v/>
      </c>
      <c r="W160" s="9">
        <f>IF(Revenue_Build!W301=0,0,1-Revenue_Build!W263/Revenue_Build!W301)</f>
        <v/>
      </c>
      <c r="X160" s="9">
        <f>IF(Revenue_Build!X301=0,0,1-Revenue_Build!X263/Revenue_Build!X301)</f>
        <v/>
      </c>
      <c r="Y160" s="9">
        <f>IF(Revenue_Build!Y301=0,0,1-Revenue_Build!Y263/Revenue_Build!Y301)</f>
        <v/>
      </c>
      <c r="Z160" s="9">
        <f>IF(Revenue_Build!Z301=0,0,1-Revenue_Build!Z263/Revenue_Build!Z301)</f>
        <v/>
      </c>
      <c r="AA160" s="9">
        <f>IF(Revenue_Build!AA301=0,0,1-Revenue_Build!AA263/Revenue_Build!AA301)</f>
        <v/>
      </c>
      <c r="AB160" s="9">
        <f>IF(Revenue_Build!AB301=0,0,1-Revenue_Build!AB263/Revenue_Build!AB301)</f>
        <v/>
      </c>
      <c r="AC160" s="9">
        <f>IF(Revenue_Build!AC301=0,0,1-Revenue_Build!AC263/Revenue_Build!AC301)</f>
        <v/>
      </c>
      <c r="AD160" s="9">
        <f>IF(Revenue_Build!AD301=0,0,1-Revenue_Build!AD263/Revenue_Build!AD301)</f>
        <v/>
      </c>
      <c r="AE160" s="9">
        <f>IF(Revenue_Build!AE301=0,0,1-Revenue_Build!AE263/Revenue_Build!AE301)</f>
        <v/>
      </c>
      <c r="AF160" s="9">
        <f>IF(Revenue_Build!AF301=0,0,1-Revenue_Build!AF263/Revenue_Build!AF301)</f>
        <v/>
      </c>
      <c r="AG160" s="9">
        <f>IF(Revenue_Build!AG301=0,0,1-Revenue_Build!AG263/Revenue_Build!AG301)</f>
        <v/>
      </c>
      <c r="AH160" s="9">
        <f>IF(Revenue_Build!AH301=0,0,1-Revenue_Build!AH263/Revenue_Build!AH301)</f>
        <v/>
      </c>
      <c r="AI160" s="9">
        <f>IF(Revenue_Build!AI301=0,0,1-Revenue_Build!AI263/Revenue_Build!AI301)</f>
        <v/>
      </c>
      <c r="AJ160" s="9">
        <f>IF(Revenue_Build!AJ301=0,0,1-Revenue_Build!AJ263/Revenue_Build!AJ301)</f>
        <v/>
      </c>
      <c r="AK160" s="9">
        <f>IF(Revenue_Build!AK301=0,0,1-Revenue_Build!AK263/Revenue_Build!AK301)</f>
        <v/>
      </c>
      <c r="AL160" s="9">
        <f>IF(Revenue_Build!AL301=0,0,1-Revenue_Build!AL263/Revenue_Build!AL301)</f>
        <v/>
      </c>
      <c r="AM160" s="9">
        <f>IF(Revenue_Build!AM301=0,0,1-Revenue_Build!AM263/Revenue_Build!AM301)</f>
        <v/>
      </c>
      <c r="AN160" s="9">
        <f>IF(Revenue_Build!AN301=0,0,1-Revenue_Build!AN263/Revenue_Build!AN301)</f>
        <v/>
      </c>
      <c r="AO160" s="9">
        <f>IF(Revenue_Build!AO301=0,0,1-Revenue_Build!AO263/Revenue_Build!AO301)</f>
        <v/>
      </c>
      <c r="AP160" s="9">
        <f>IF(Revenue_Build!AP301=0,0,1-Revenue_Build!AP263/Revenue_Build!AP301)</f>
        <v/>
      </c>
      <c r="AQ160" s="9">
        <f>IF(Revenue_Build!AQ301=0,0,1-Revenue_Build!AQ263/Revenue_Build!AQ301)</f>
        <v/>
      </c>
      <c r="AR160" s="9">
        <f>IF(Revenue_Build!AR301=0,0,1-Revenue_Build!AR263/Revenue_Build!AR301)</f>
        <v/>
      </c>
      <c r="AS160" s="9">
        <f>IF(Revenue_Build!AS301=0,0,1-Revenue_Build!AS263/Revenue_Build!AS301)</f>
        <v/>
      </c>
      <c r="AT160" s="9">
        <f>IF(Revenue_Build!AT301=0,0,1-Revenue_Build!AT263/Revenue_Build!AT301)</f>
        <v/>
      </c>
      <c r="AU160" s="9">
        <f>IF(Revenue_Build!AU301=0,0,1-Revenue_Build!AU263/Revenue_Build!AU301)</f>
        <v/>
      </c>
      <c r="AV160" s="9">
        <f>IF(Revenue_Build!AV301=0,0,1-Revenue_Build!AV263/Revenue_Build!AV301)</f>
        <v/>
      </c>
      <c r="AW160" s="9">
        <f>IF(Revenue_Build!AW301=0,0,1-Revenue_Build!AW263/Revenue_Build!AW301)</f>
        <v/>
      </c>
      <c r="AX160" s="9">
        <f>IF(Revenue_Build!AX301=0,0,1-Revenue_Build!AX263/Revenue_Build!AX301)</f>
        <v/>
      </c>
      <c r="AY160" s="9">
        <f>IF(Revenue_Build!AY301=0,0,1-Revenue_Build!AY263/Revenue_Build!AY301)</f>
        <v/>
      </c>
      <c r="AZ160" s="9">
        <f>IF(Revenue_Build!AZ301=0,0,1-Revenue_Build!AZ263/Revenue_Build!AZ301)</f>
        <v/>
      </c>
      <c r="BA160" s="9">
        <f>IF(Revenue_Build!BA301=0,0,1-Revenue_Build!BA263/Revenue_Build!BA301)</f>
        <v/>
      </c>
      <c r="BB160" s="9">
        <f>IF(Revenue_Build!BB301=0,0,1-Revenue_Build!BB263/Revenue_Build!BB301)</f>
        <v/>
      </c>
      <c r="BC160" s="9">
        <f>IF(Revenue_Build!BC301=0,0,1-Revenue_Build!BC263/Revenue_Build!BC301)</f>
        <v/>
      </c>
      <c r="BD160" s="9">
        <f>IF(Revenue_Build!BD301=0,0,1-Revenue_Build!BD263/Revenue_Build!BD301)</f>
        <v/>
      </c>
      <c r="BE160" s="9">
        <f>IF(Revenue_Build!BE301=0,0,1-Revenue_Build!BE263/Revenue_Build!BE301)</f>
        <v/>
      </c>
      <c r="BF160" s="9">
        <f>IF(Revenue_Build!BF301=0,0,1-Revenue_Build!BF263/Revenue_Build!BF301)</f>
        <v/>
      </c>
      <c r="BG160" s="9">
        <f>IF(Revenue_Build!BG301=0,0,1-Revenue_Build!BG263/Revenue_Build!BG301)</f>
        <v/>
      </c>
      <c r="BH160" s="9">
        <f>IF(Revenue_Build!BH301=0,0,1-Revenue_Build!BH263/Revenue_Build!BH301)</f>
        <v/>
      </c>
      <c r="BI160" s="9">
        <f>IF(Revenue_Build!BI301=0,0,1-Revenue_Build!BI263/Revenue_Build!BI301)</f>
        <v/>
      </c>
      <c r="BJ160" s="9">
        <f>IF(Revenue_Build!BJ301=0,0,1-Revenue_Build!BJ263/Revenue_Build!BJ301)</f>
        <v/>
      </c>
    </row>
    <row r="161">
      <c r="A161" s="4" t="inlineStr">
        <is>
          <t>Blended processing rate (card/EFT + mobile money)</t>
        </is>
      </c>
      <c r="B161" s="17" t="inlineStr">
        <is>
          <t>%</t>
        </is>
      </c>
      <c r="C161" s="26">
        <f>Assumptions!$B$170+C160*Assumptions!$B$171</f>
        <v/>
      </c>
      <c r="D161" s="26">
        <f>Assumptions!$B$170+D160*Assumptions!$B$171</f>
        <v/>
      </c>
      <c r="E161" s="26">
        <f>Assumptions!$B$170+E160*Assumptions!$B$171</f>
        <v/>
      </c>
      <c r="F161" s="26">
        <f>Assumptions!$B$170+F160*Assumptions!$B$171</f>
        <v/>
      </c>
      <c r="G161" s="26">
        <f>Assumptions!$B$170+G160*Assumptions!$B$171</f>
        <v/>
      </c>
      <c r="H161" s="26">
        <f>Assumptions!$B$170+H160*Assumptions!$B$171</f>
        <v/>
      </c>
      <c r="I161" s="26">
        <f>Assumptions!$B$170+I160*Assumptions!$B$171</f>
        <v/>
      </c>
      <c r="J161" s="26">
        <f>Assumptions!$B$170+J160*Assumptions!$B$171</f>
        <v/>
      </c>
      <c r="K161" s="26">
        <f>Assumptions!$B$170+K160*Assumptions!$B$171</f>
        <v/>
      </c>
      <c r="L161" s="26">
        <f>Assumptions!$B$170+L160*Assumptions!$B$171</f>
        <v/>
      </c>
      <c r="M161" s="26">
        <f>Assumptions!$B$170+M160*Assumptions!$B$171</f>
        <v/>
      </c>
      <c r="N161" s="26">
        <f>Assumptions!$B$170+N160*Assumptions!$B$171</f>
        <v/>
      </c>
      <c r="O161" s="26">
        <f>Assumptions!$B$170+O160*Assumptions!$B$171</f>
        <v/>
      </c>
      <c r="P161" s="26">
        <f>Assumptions!$B$170+P160*Assumptions!$B$171</f>
        <v/>
      </c>
      <c r="Q161" s="26">
        <f>Assumptions!$B$170+Q160*Assumptions!$B$171</f>
        <v/>
      </c>
      <c r="R161" s="26">
        <f>Assumptions!$B$170+R160*Assumptions!$B$171</f>
        <v/>
      </c>
      <c r="S161" s="26">
        <f>Assumptions!$B$170+S160*Assumptions!$B$171</f>
        <v/>
      </c>
      <c r="T161" s="26">
        <f>Assumptions!$B$170+T160*Assumptions!$B$171</f>
        <v/>
      </c>
      <c r="U161" s="26">
        <f>Assumptions!$B$170+U160*Assumptions!$B$171</f>
        <v/>
      </c>
      <c r="V161" s="26">
        <f>Assumptions!$B$170+V160*Assumptions!$B$171</f>
        <v/>
      </c>
      <c r="W161" s="26">
        <f>Assumptions!$B$170+W160*Assumptions!$B$171</f>
        <v/>
      </c>
      <c r="X161" s="26">
        <f>Assumptions!$B$170+X160*Assumptions!$B$171</f>
        <v/>
      </c>
      <c r="Y161" s="26">
        <f>Assumptions!$B$170+Y160*Assumptions!$B$171</f>
        <v/>
      </c>
      <c r="Z161" s="26">
        <f>Assumptions!$B$170+Z160*Assumptions!$B$171</f>
        <v/>
      </c>
      <c r="AA161" s="26">
        <f>Assumptions!$B$170+AA160*Assumptions!$B$171</f>
        <v/>
      </c>
      <c r="AB161" s="26">
        <f>Assumptions!$B$170+AB160*Assumptions!$B$171</f>
        <v/>
      </c>
      <c r="AC161" s="26">
        <f>Assumptions!$B$170+AC160*Assumptions!$B$171</f>
        <v/>
      </c>
      <c r="AD161" s="26">
        <f>Assumptions!$B$170+AD160*Assumptions!$B$171</f>
        <v/>
      </c>
      <c r="AE161" s="26">
        <f>Assumptions!$B$170+AE160*Assumptions!$B$171</f>
        <v/>
      </c>
      <c r="AF161" s="26">
        <f>Assumptions!$B$170+AF160*Assumptions!$B$171</f>
        <v/>
      </c>
      <c r="AG161" s="26">
        <f>Assumptions!$B$170+AG160*Assumptions!$B$171</f>
        <v/>
      </c>
      <c r="AH161" s="26">
        <f>Assumptions!$B$170+AH160*Assumptions!$B$171</f>
        <v/>
      </c>
      <c r="AI161" s="26">
        <f>Assumptions!$B$170+AI160*Assumptions!$B$171</f>
        <v/>
      </c>
      <c r="AJ161" s="26">
        <f>Assumptions!$B$170+AJ160*Assumptions!$B$171</f>
        <v/>
      </c>
      <c r="AK161" s="26">
        <f>Assumptions!$B$170+AK160*Assumptions!$B$171</f>
        <v/>
      </c>
      <c r="AL161" s="26">
        <f>Assumptions!$B$170+AL160*Assumptions!$B$171</f>
        <v/>
      </c>
      <c r="AM161" s="26">
        <f>Assumptions!$B$170+AM160*Assumptions!$B$171</f>
        <v/>
      </c>
      <c r="AN161" s="26">
        <f>Assumptions!$B$170+AN160*Assumptions!$B$171</f>
        <v/>
      </c>
      <c r="AO161" s="26">
        <f>Assumptions!$B$170+AO160*Assumptions!$B$171</f>
        <v/>
      </c>
      <c r="AP161" s="26">
        <f>Assumptions!$B$170+AP160*Assumptions!$B$171</f>
        <v/>
      </c>
      <c r="AQ161" s="26">
        <f>Assumptions!$B$170+AQ160*Assumptions!$B$171</f>
        <v/>
      </c>
      <c r="AR161" s="26">
        <f>Assumptions!$B$170+AR160*Assumptions!$B$171</f>
        <v/>
      </c>
      <c r="AS161" s="26">
        <f>Assumptions!$B$170+AS160*Assumptions!$B$171</f>
        <v/>
      </c>
      <c r="AT161" s="26">
        <f>Assumptions!$B$170+AT160*Assumptions!$B$171</f>
        <v/>
      </c>
      <c r="AU161" s="26">
        <f>Assumptions!$B$170+AU160*Assumptions!$B$171</f>
        <v/>
      </c>
      <c r="AV161" s="26">
        <f>Assumptions!$B$170+AV160*Assumptions!$B$171</f>
        <v/>
      </c>
      <c r="AW161" s="26">
        <f>Assumptions!$B$170+AW160*Assumptions!$B$171</f>
        <v/>
      </c>
      <c r="AX161" s="26">
        <f>Assumptions!$B$170+AX160*Assumptions!$B$171</f>
        <v/>
      </c>
      <c r="AY161" s="26">
        <f>Assumptions!$B$170+AY160*Assumptions!$B$171</f>
        <v/>
      </c>
      <c r="AZ161" s="26">
        <f>Assumptions!$B$170+AZ160*Assumptions!$B$171</f>
        <v/>
      </c>
      <c r="BA161" s="26">
        <f>Assumptions!$B$170+BA160*Assumptions!$B$171</f>
        <v/>
      </c>
      <c r="BB161" s="26">
        <f>Assumptions!$B$170+BB160*Assumptions!$B$171</f>
        <v/>
      </c>
      <c r="BC161" s="26">
        <f>Assumptions!$B$170+BC160*Assumptions!$B$171</f>
        <v/>
      </c>
      <c r="BD161" s="26">
        <f>Assumptions!$B$170+BD160*Assumptions!$B$171</f>
        <v/>
      </c>
      <c r="BE161" s="26">
        <f>Assumptions!$B$170+BE160*Assumptions!$B$171</f>
        <v/>
      </c>
      <c r="BF161" s="26">
        <f>Assumptions!$B$170+BF160*Assumptions!$B$171</f>
        <v/>
      </c>
      <c r="BG161" s="26">
        <f>Assumptions!$B$170+BG160*Assumptions!$B$171</f>
        <v/>
      </c>
      <c r="BH161" s="26">
        <f>Assumptions!$B$170+BH160*Assumptions!$B$171</f>
        <v/>
      </c>
      <c r="BI161" s="26">
        <f>Assumptions!$B$170+BI160*Assumptions!$B$171</f>
        <v/>
      </c>
      <c r="BJ161" s="26">
        <f>Assumptions!$B$170+BJ160*Assumptions!$B$171</f>
        <v/>
      </c>
    </row>
    <row r="162">
      <c r="A162" s="4" t="inlineStr">
        <is>
          <t>Payment processing (excl. commerce fee, netted from GMV)</t>
        </is>
      </c>
      <c r="B162" s="17" t="inlineStr">
        <is>
          <t>R</t>
        </is>
      </c>
      <c r="C162" s="8">
        <f>(Revenue_Build!C398-Revenue_Build!C395)*C161</f>
        <v/>
      </c>
      <c r="D162" s="8">
        <f>(Revenue_Build!D398-Revenue_Build!D395)*D161</f>
        <v/>
      </c>
      <c r="E162" s="8">
        <f>(Revenue_Build!E398-Revenue_Build!E395)*E161</f>
        <v/>
      </c>
      <c r="F162" s="8">
        <f>(Revenue_Build!F398-Revenue_Build!F395)*F161</f>
        <v/>
      </c>
      <c r="G162" s="8">
        <f>(Revenue_Build!G398-Revenue_Build!G395)*G161</f>
        <v/>
      </c>
      <c r="H162" s="8">
        <f>(Revenue_Build!H398-Revenue_Build!H395)*H161</f>
        <v/>
      </c>
      <c r="I162" s="8">
        <f>(Revenue_Build!I398-Revenue_Build!I395)*I161</f>
        <v/>
      </c>
      <c r="J162" s="8">
        <f>(Revenue_Build!J398-Revenue_Build!J395)*J161</f>
        <v/>
      </c>
      <c r="K162" s="8">
        <f>(Revenue_Build!K398-Revenue_Build!K395)*K161</f>
        <v/>
      </c>
      <c r="L162" s="8">
        <f>(Revenue_Build!L398-Revenue_Build!L395)*L161</f>
        <v/>
      </c>
      <c r="M162" s="8">
        <f>(Revenue_Build!M398-Revenue_Build!M395)*M161</f>
        <v/>
      </c>
      <c r="N162" s="8">
        <f>(Revenue_Build!N398-Revenue_Build!N395)*N161</f>
        <v/>
      </c>
      <c r="O162" s="8">
        <f>(Revenue_Build!O398-Revenue_Build!O395)*O161</f>
        <v/>
      </c>
      <c r="P162" s="8">
        <f>(Revenue_Build!P398-Revenue_Build!P395)*P161</f>
        <v/>
      </c>
      <c r="Q162" s="8">
        <f>(Revenue_Build!Q398-Revenue_Build!Q395)*Q161</f>
        <v/>
      </c>
      <c r="R162" s="8">
        <f>(Revenue_Build!R398-Revenue_Build!R395)*R161</f>
        <v/>
      </c>
      <c r="S162" s="8">
        <f>(Revenue_Build!S398-Revenue_Build!S395)*S161</f>
        <v/>
      </c>
      <c r="T162" s="8">
        <f>(Revenue_Build!T398-Revenue_Build!T395)*T161</f>
        <v/>
      </c>
      <c r="U162" s="8">
        <f>(Revenue_Build!U398-Revenue_Build!U395)*U161</f>
        <v/>
      </c>
      <c r="V162" s="8">
        <f>(Revenue_Build!V398-Revenue_Build!V395)*V161</f>
        <v/>
      </c>
      <c r="W162" s="8">
        <f>(Revenue_Build!W398-Revenue_Build!W395)*W161</f>
        <v/>
      </c>
      <c r="X162" s="8">
        <f>(Revenue_Build!X398-Revenue_Build!X395)*X161</f>
        <v/>
      </c>
      <c r="Y162" s="8">
        <f>(Revenue_Build!Y398-Revenue_Build!Y395)*Y161</f>
        <v/>
      </c>
      <c r="Z162" s="8">
        <f>(Revenue_Build!Z398-Revenue_Build!Z395)*Z161</f>
        <v/>
      </c>
      <c r="AA162" s="8">
        <f>(Revenue_Build!AA398-Revenue_Build!AA395)*AA161</f>
        <v/>
      </c>
      <c r="AB162" s="8">
        <f>(Revenue_Build!AB398-Revenue_Build!AB395)*AB161</f>
        <v/>
      </c>
      <c r="AC162" s="8">
        <f>(Revenue_Build!AC398-Revenue_Build!AC395)*AC161</f>
        <v/>
      </c>
      <c r="AD162" s="8">
        <f>(Revenue_Build!AD398-Revenue_Build!AD395)*AD161</f>
        <v/>
      </c>
      <c r="AE162" s="8">
        <f>(Revenue_Build!AE398-Revenue_Build!AE395)*AE161</f>
        <v/>
      </c>
      <c r="AF162" s="8">
        <f>(Revenue_Build!AF398-Revenue_Build!AF395)*AF161</f>
        <v/>
      </c>
      <c r="AG162" s="8">
        <f>(Revenue_Build!AG398-Revenue_Build!AG395)*AG161</f>
        <v/>
      </c>
      <c r="AH162" s="8">
        <f>(Revenue_Build!AH398-Revenue_Build!AH395)*AH161</f>
        <v/>
      </c>
      <c r="AI162" s="8">
        <f>(Revenue_Build!AI398-Revenue_Build!AI395)*AI161</f>
        <v/>
      </c>
      <c r="AJ162" s="8">
        <f>(Revenue_Build!AJ398-Revenue_Build!AJ395)*AJ161</f>
        <v/>
      </c>
      <c r="AK162" s="8">
        <f>(Revenue_Build!AK398-Revenue_Build!AK395)*AK161</f>
        <v/>
      </c>
      <c r="AL162" s="8">
        <f>(Revenue_Build!AL398-Revenue_Build!AL395)*AL161</f>
        <v/>
      </c>
      <c r="AM162" s="8">
        <f>(Revenue_Build!AM398-Revenue_Build!AM395)*AM161</f>
        <v/>
      </c>
      <c r="AN162" s="8">
        <f>(Revenue_Build!AN398-Revenue_Build!AN395)*AN161</f>
        <v/>
      </c>
      <c r="AO162" s="8">
        <f>(Revenue_Build!AO398-Revenue_Build!AO395)*AO161</f>
        <v/>
      </c>
      <c r="AP162" s="8">
        <f>(Revenue_Build!AP398-Revenue_Build!AP395)*AP161</f>
        <v/>
      </c>
      <c r="AQ162" s="8">
        <f>(Revenue_Build!AQ398-Revenue_Build!AQ395)*AQ161</f>
        <v/>
      </c>
      <c r="AR162" s="8">
        <f>(Revenue_Build!AR398-Revenue_Build!AR395)*AR161</f>
        <v/>
      </c>
      <c r="AS162" s="8">
        <f>(Revenue_Build!AS398-Revenue_Build!AS395)*AS161</f>
        <v/>
      </c>
      <c r="AT162" s="8">
        <f>(Revenue_Build!AT398-Revenue_Build!AT395)*AT161</f>
        <v/>
      </c>
      <c r="AU162" s="8">
        <f>(Revenue_Build!AU398-Revenue_Build!AU395)*AU161</f>
        <v/>
      </c>
      <c r="AV162" s="8">
        <f>(Revenue_Build!AV398-Revenue_Build!AV395)*AV161</f>
        <v/>
      </c>
      <c r="AW162" s="8">
        <f>(Revenue_Build!AW398-Revenue_Build!AW395)*AW161</f>
        <v/>
      </c>
      <c r="AX162" s="8">
        <f>(Revenue_Build!AX398-Revenue_Build!AX395)*AX161</f>
        <v/>
      </c>
      <c r="AY162" s="8">
        <f>(Revenue_Build!AY398-Revenue_Build!AY395)*AY161</f>
        <v/>
      </c>
      <c r="AZ162" s="8">
        <f>(Revenue_Build!AZ398-Revenue_Build!AZ395)*AZ161</f>
        <v/>
      </c>
      <c r="BA162" s="8">
        <f>(Revenue_Build!BA398-Revenue_Build!BA395)*BA161</f>
        <v/>
      </c>
      <c r="BB162" s="8">
        <f>(Revenue_Build!BB398-Revenue_Build!BB395)*BB161</f>
        <v/>
      </c>
      <c r="BC162" s="8">
        <f>(Revenue_Build!BC398-Revenue_Build!BC395)*BC161</f>
        <v/>
      </c>
      <c r="BD162" s="8">
        <f>(Revenue_Build!BD398-Revenue_Build!BD395)*BD161</f>
        <v/>
      </c>
      <c r="BE162" s="8">
        <f>(Revenue_Build!BE398-Revenue_Build!BE395)*BE161</f>
        <v/>
      </c>
      <c r="BF162" s="8">
        <f>(Revenue_Build!BF398-Revenue_Build!BF395)*BF161</f>
        <v/>
      </c>
      <c r="BG162" s="8">
        <f>(Revenue_Build!BG398-Revenue_Build!BG395)*BG161</f>
        <v/>
      </c>
      <c r="BH162" s="8">
        <f>(Revenue_Build!BH398-Revenue_Build!BH395)*BH161</f>
        <v/>
      </c>
      <c r="BI162" s="8">
        <f>(Revenue_Build!BI398-Revenue_Build!BI395)*BI161</f>
        <v/>
      </c>
      <c r="BJ162" s="8">
        <f>(Revenue_Build!BJ398-Revenue_Build!BJ395)*BJ161</f>
        <v/>
      </c>
    </row>
    <row r="163">
      <c r="A163" s="4" t="inlineStr">
        <is>
          <t>Variable support cost</t>
        </is>
      </c>
      <c r="B163" s="17" t="inlineStr">
        <is>
          <t>R</t>
        </is>
      </c>
      <c r="C163" s="8">
        <f>Revenue_Build!C301*Assumptions!$B$172</f>
        <v/>
      </c>
      <c r="D163" s="8">
        <f>Revenue_Build!D301*Assumptions!$B$172</f>
        <v/>
      </c>
      <c r="E163" s="8">
        <f>Revenue_Build!E301*Assumptions!$B$172</f>
        <v/>
      </c>
      <c r="F163" s="8">
        <f>Revenue_Build!F301*Assumptions!$B$172</f>
        <v/>
      </c>
      <c r="G163" s="8">
        <f>Revenue_Build!G301*Assumptions!$B$172</f>
        <v/>
      </c>
      <c r="H163" s="8">
        <f>Revenue_Build!H301*Assumptions!$B$172</f>
        <v/>
      </c>
      <c r="I163" s="8">
        <f>Revenue_Build!I301*Assumptions!$B$172</f>
        <v/>
      </c>
      <c r="J163" s="8">
        <f>Revenue_Build!J301*Assumptions!$B$172</f>
        <v/>
      </c>
      <c r="K163" s="8">
        <f>Revenue_Build!K301*Assumptions!$B$172</f>
        <v/>
      </c>
      <c r="L163" s="8">
        <f>Revenue_Build!L301*Assumptions!$B$172</f>
        <v/>
      </c>
      <c r="M163" s="8">
        <f>Revenue_Build!M301*Assumptions!$B$172</f>
        <v/>
      </c>
      <c r="N163" s="8">
        <f>Revenue_Build!N301*Assumptions!$B$172</f>
        <v/>
      </c>
      <c r="O163" s="8">
        <f>Revenue_Build!O301*Assumptions!$B$172</f>
        <v/>
      </c>
      <c r="P163" s="8">
        <f>Revenue_Build!P301*Assumptions!$B$172</f>
        <v/>
      </c>
      <c r="Q163" s="8">
        <f>Revenue_Build!Q301*Assumptions!$B$172</f>
        <v/>
      </c>
      <c r="R163" s="8">
        <f>Revenue_Build!R301*Assumptions!$B$172</f>
        <v/>
      </c>
      <c r="S163" s="8">
        <f>Revenue_Build!S301*Assumptions!$B$172</f>
        <v/>
      </c>
      <c r="T163" s="8">
        <f>Revenue_Build!T301*Assumptions!$B$172</f>
        <v/>
      </c>
      <c r="U163" s="8">
        <f>Revenue_Build!U301*Assumptions!$B$172</f>
        <v/>
      </c>
      <c r="V163" s="8">
        <f>Revenue_Build!V301*Assumptions!$B$172</f>
        <v/>
      </c>
      <c r="W163" s="8">
        <f>Revenue_Build!W301*Assumptions!$B$172</f>
        <v/>
      </c>
      <c r="X163" s="8">
        <f>Revenue_Build!X301*Assumptions!$B$172</f>
        <v/>
      </c>
      <c r="Y163" s="8">
        <f>Revenue_Build!Y301*Assumptions!$B$172</f>
        <v/>
      </c>
      <c r="Z163" s="8">
        <f>Revenue_Build!Z301*Assumptions!$B$172</f>
        <v/>
      </c>
      <c r="AA163" s="8">
        <f>Revenue_Build!AA301*Assumptions!$B$172</f>
        <v/>
      </c>
      <c r="AB163" s="8">
        <f>Revenue_Build!AB301*Assumptions!$B$172</f>
        <v/>
      </c>
      <c r="AC163" s="8">
        <f>Revenue_Build!AC301*Assumptions!$B$172</f>
        <v/>
      </c>
      <c r="AD163" s="8">
        <f>Revenue_Build!AD301*Assumptions!$B$172</f>
        <v/>
      </c>
      <c r="AE163" s="8">
        <f>Revenue_Build!AE301*Assumptions!$B$172</f>
        <v/>
      </c>
      <c r="AF163" s="8">
        <f>Revenue_Build!AF301*Assumptions!$B$172</f>
        <v/>
      </c>
      <c r="AG163" s="8">
        <f>Revenue_Build!AG301*Assumptions!$B$172</f>
        <v/>
      </c>
      <c r="AH163" s="8">
        <f>Revenue_Build!AH301*Assumptions!$B$172</f>
        <v/>
      </c>
      <c r="AI163" s="8">
        <f>Revenue_Build!AI301*Assumptions!$B$172</f>
        <v/>
      </c>
      <c r="AJ163" s="8">
        <f>Revenue_Build!AJ301*Assumptions!$B$172</f>
        <v/>
      </c>
      <c r="AK163" s="8">
        <f>Revenue_Build!AK301*Assumptions!$B$172</f>
        <v/>
      </c>
      <c r="AL163" s="8">
        <f>Revenue_Build!AL301*Assumptions!$B$172</f>
        <v/>
      </c>
      <c r="AM163" s="8">
        <f>Revenue_Build!AM301*Assumptions!$B$172</f>
        <v/>
      </c>
      <c r="AN163" s="8">
        <f>Revenue_Build!AN301*Assumptions!$B$172</f>
        <v/>
      </c>
      <c r="AO163" s="8">
        <f>Revenue_Build!AO301*Assumptions!$B$172</f>
        <v/>
      </c>
      <c r="AP163" s="8">
        <f>Revenue_Build!AP301*Assumptions!$B$172</f>
        <v/>
      </c>
      <c r="AQ163" s="8">
        <f>Revenue_Build!AQ301*Assumptions!$B$172</f>
        <v/>
      </c>
      <c r="AR163" s="8">
        <f>Revenue_Build!AR301*Assumptions!$B$172</f>
        <v/>
      </c>
      <c r="AS163" s="8">
        <f>Revenue_Build!AS301*Assumptions!$B$172</f>
        <v/>
      </c>
      <c r="AT163" s="8">
        <f>Revenue_Build!AT301*Assumptions!$B$172</f>
        <v/>
      </c>
      <c r="AU163" s="8">
        <f>Revenue_Build!AU301*Assumptions!$B$172</f>
        <v/>
      </c>
      <c r="AV163" s="8">
        <f>Revenue_Build!AV301*Assumptions!$B$172</f>
        <v/>
      </c>
      <c r="AW163" s="8">
        <f>Revenue_Build!AW301*Assumptions!$B$172</f>
        <v/>
      </c>
      <c r="AX163" s="8">
        <f>Revenue_Build!AX301*Assumptions!$B$172</f>
        <v/>
      </c>
      <c r="AY163" s="8">
        <f>Revenue_Build!AY301*Assumptions!$B$172</f>
        <v/>
      </c>
      <c r="AZ163" s="8">
        <f>Revenue_Build!AZ301*Assumptions!$B$172</f>
        <v/>
      </c>
      <c r="BA163" s="8">
        <f>Revenue_Build!BA301*Assumptions!$B$172</f>
        <v/>
      </c>
      <c r="BB163" s="8">
        <f>Revenue_Build!BB301*Assumptions!$B$172</f>
        <v/>
      </c>
      <c r="BC163" s="8">
        <f>Revenue_Build!BC301*Assumptions!$B$172</f>
        <v/>
      </c>
      <c r="BD163" s="8">
        <f>Revenue_Build!BD301*Assumptions!$B$172</f>
        <v/>
      </c>
      <c r="BE163" s="8">
        <f>Revenue_Build!BE301*Assumptions!$B$172</f>
        <v/>
      </c>
      <c r="BF163" s="8">
        <f>Revenue_Build!BF301*Assumptions!$B$172</f>
        <v/>
      </c>
      <c r="BG163" s="8">
        <f>Revenue_Build!BG301*Assumptions!$B$172</f>
        <v/>
      </c>
      <c r="BH163" s="8">
        <f>Revenue_Build!BH301*Assumptions!$B$172</f>
        <v/>
      </c>
      <c r="BI163" s="8">
        <f>Revenue_Build!BI301*Assumptions!$B$172</f>
        <v/>
      </c>
      <c r="BJ163" s="8">
        <f>Revenue_Build!BJ301*Assumptions!$B$172</f>
        <v/>
      </c>
    </row>
    <row r="164">
      <c r="A164" s="4" t="inlineStr">
        <is>
          <t>Customer success team (payroll)</t>
        </is>
      </c>
      <c r="B164" s="17" t="inlineStr">
        <is>
          <t>R</t>
        </is>
      </c>
      <c r="C164" s="8">
        <f>C148</f>
        <v/>
      </c>
      <c r="D164" s="8">
        <f>D148</f>
        <v/>
      </c>
      <c r="E164" s="8">
        <f>E148</f>
        <v/>
      </c>
      <c r="F164" s="8">
        <f>F148</f>
        <v/>
      </c>
      <c r="G164" s="8">
        <f>G148</f>
        <v/>
      </c>
      <c r="H164" s="8">
        <f>H148</f>
        <v/>
      </c>
      <c r="I164" s="8">
        <f>I148</f>
        <v/>
      </c>
      <c r="J164" s="8">
        <f>J148</f>
        <v/>
      </c>
      <c r="K164" s="8">
        <f>K148</f>
        <v/>
      </c>
      <c r="L164" s="8">
        <f>L148</f>
        <v/>
      </c>
      <c r="M164" s="8">
        <f>M148</f>
        <v/>
      </c>
      <c r="N164" s="8">
        <f>N148</f>
        <v/>
      </c>
      <c r="O164" s="8">
        <f>O148</f>
        <v/>
      </c>
      <c r="P164" s="8">
        <f>P148</f>
        <v/>
      </c>
      <c r="Q164" s="8">
        <f>Q148</f>
        <v/>
      </c>
      <c r="R164" s="8">
        <f>R148</f>
        <v/>
      </c>
      <c r="S164" s="8">
        <f>S148</f>
        <v/>
      </c>
      <c r="T164" s="8">
        <f>T148</f>
        <v/>
      </c>
      <c r="U164" s="8">
        <f>U148</f>
        <v/>
      </c>
      <c r="V164" s="8">
        <f>V148</f>
        <v/>
      </c>
      <c r="W164" s="8">
        <f>W148</f>
        <v/>
      </c>
      <c r="X164" s="8">
        <f>X148</f>
        <v/>
      </c>
      <c r="Y164" s="8">
        <f>Y148</f>
        <v/>
      </c>
      <c r="Z164" s="8">
        <f>Z148</f>
        <v/>
      </c>
      <c r="AA164" s="8">
        <f>AA148</f>
        <v/>
      </c>
      <c r="AB164" s="8">
        <f>AB148</f>
        <v/>
      </c>
      <c r="AC164" s="8">
        <f>AC148</f>
        <v/>
      </c>
      <c r="AD164" s="8">
        <f>AD148</f>
        <v/>
      </c>
      <c r="AE164" s="8">
        <f>AE148</f>
        <v/>
      </c>
      <c r="AF164" s="8">
        <f>AF148</f>
        <v/>
      </c>
      <c r="AG164" s="8">
        <f>AG148</f>
        <v/>
      </c>
      <c r="AH164" s="8">
        <f>AH148</f>
        <v/>
      </c>
      <c r="AI164" s="8">
        <f>AI148</f>
        <v/>
      </c>
      <c r="AJ164" s="8">
        <f>AJ148</f>
        <v/>
      </c>
      <c r="AK164" s="8">
        <f>AK148</f>
        <v/>
      </c>
      <c r="AL164" s="8">
        <f>AL148</f>
        <v/>
      </c>
      <c r="AM164" s="8">
        <f>AM148</f>
        <v/>
      </c>
      <c r="AN164" s="8">
        <f>AN148</f>
        <v/>
      </c>
      <c r="AO164" s="8">
        <f>AO148</f>
        <v/>
      </c>
      <c r="AP164" s="8">
        <f>AP148</f>
        <v/>
      </c>
      <c r="AQ164" s="8">
        <f>AQ148</f>
        <v/>
      </c>
      <c r="AR164" s="8">
        <f>AR148</f>
        <v/>
      </c>
      <c r="AS164" s="8">
        <f>AS148</f>
        <v/>
      </c>
      <c r="AT164" s="8">
        <f>AT148</f>
        <v/>
      </c>
      <c r="AU164" s="8">
        <f>AU148</f>
        <v/>
      </c>
      <c r="AV164" s="8">
        <f>AV148</f>
        <v/>
      </c>
      <c r="AW164" s="8">
        <f>AW148</f>
        <v/>
      </c>
      <c r="AX164" s="8">
        <f>AX148</f>
        <v/>
      </c>
      <c r="AY164" s="8">
        <f>AY148</f>
        <v/>
      </c>
      <c r="AZ164" s="8">
        <f>AZ148</f>
        <v/>
      </c>
      <c r="BA164" s="8">
        <f>BA148</f>
        <v/>
      </c>
      <c r="BB164" s="8">
        <f>BB148</f>
        <v/>
      </c>
      <c r="BC164" s="8">
        <f>BC148</f>
        <v/>
      </c>
      <c r="BD164" s="8">
        <f>BD148</f>
        <v/>
      </c>
      <c r="BE164" s="8">
        <f>BE148</f>
        <v/>
      </c>
      <c r="BF164" s="8">
        <f>BF148</f>
        <v/>
      </c>
      <c r="BG164" s="8">
        <f>BG148</f>
        <v/>
      </c>
      <c r="BH164" s="8">
        <f>BH148</f>
        <v/>
      </c>
      <c r="BI164" s="8">
        <f>BI148</f>
        <v/>
      </c>
      <c r="BJ164" s="8">
        <f>BJ148</f>
        <v/>
      </c>
    </row>
    <row r="165">
      <c r="A165" s="3" t="inlineStr">
        <is>
          <t>Total COGS</t>
        </is>
      </c>
      <c r="B165" s="17" t="inlineStr">
        <is>
          <t>R</t>
        </is>
      </c>
      <c r="C165" s="42">
        <f>C157+C158+C159+C162+C163+C164</f>
        <v/>
      </c>
      <c r="D165" s="42">
        <f>D157+D158+D159+D162+D163+D164</f>
        <v/>
      </c>
      <c r="E165" s="42">
        <f>E157+E158+E159+E162+E163+E164</f>
        <v/>
      </c>
      <c r="F165" s="42">
        <f>F157+F158+F159+F162+F163+F164</f>
        <v/>
      </c>
      <c r="G165" s="42">
        <f>G157+G158+G159+G162+G163+G164</f>
        <v/>
      </c>
      <c r="H165" s="42">
        <f>H157+H158+H159+H162+H163+H164</f>
        <v/>
      </c>
      <c r="I165" s="42">
        <f>I157+I158+I159+I162+I163+I164</f>
        <v/>
      </c>
      <c r="J165" s="42">
        <f>J157+J158+J159+J162+J163+J164</f>
        <v/>
      </c>
      <c r="K165" s="42">
        <f>K157+K158+K159+K162+K163+K164</f>
        <v/>
      </c>
      <c r="L165" s="42">
        <f>L157+L158+L159+L162+L163+L164</f>
        <v/>
      </c>
      <c r="M165" s="42">
        <f>M157+M158+M159+M162+M163+M164</f>
        <v/>
      </c>
      <c r="N165" s="42">
        <f>N157+N158+N159+N162+N163+N164</f>
        <v/>
      </c>
      <c r="O165" s="42">
        <f>O157+O158+O159+O162+O163+O164</f>
        <v/>
      </c>
      <c r="P165" s="42">
        <f>P157+P158+P159+P162+P163+P164</f>
        <v/>
      </c>
      <c r="Q165" s="42">
        <f>Q157+Q158+Q159+Q162+Q163+Q164</f>
        <v/>
      </c>
      <c r="R165" s="42">
        <f>R157+R158+R159+R162+R163+R164</f>
        <v/>
      </c>
      <c r="S165" s="42">
        <f>S157+S158+S159+S162+S163+S164</f>
        <v/>
      </c>
      <c r="T165" s="42">
        <f>T157+T158+T159+T162+T163+T164</f>
        <v/>
      </c>
      <c r="U165" s="42">
        <f>U157+U158+U159+U162+U163+U164</f>
        <v/>
      </c>
      <c r="V165" s="42">
        <f>V157+V158+V159+V162+V163+V164</f>
        <v/>
      </c>
      <c r="W165" s="42">
        <f>W157+W158+W159+W162+W163+W164</f>
        <v/>
      </c>
      <c r="X165" s="42">
        <f>X157+X158+X159+X162+X163+X164</f>
        <v/>
      </c>
      <c r="Y165" s="42">
        <f>Y157+Y158+Y159+Y162+Y163+Y164</f>
        <v/>
      </c>
      <c r="Z165" s="42">
        <f>Z157+Z158+Z159+Z162+Z163+Z164</f>
        <v/>
      </c>
      <c r="AA165" s="42">
        <f>AA157+AA158+AA159+AA162+AA163+AA164</f>
        <v/>
      </c>
      <c r="AB165" s="42">
        <f>AB157+AB158+AB159+AB162+AB163+AB164</f>
        <v/>
      </c>
      <c r="AC165" s="42">
        <f>AC157+AC158+AC159+AC162+AC163+AC164</f>
        <v/>
      </c>
      <c r="AD165" s="42">
        <f>AD157+AD158+AD159+AD162+AD163+AD164</f>
        <v/>
      </c>
      <c r="AE165" s="42">
        <f>AE157+AE158+AE159+AE162+AE163+AE164</f>
        <v/>
      </c>
      <c r="AF165" s="42">
        <f>AF157+AF158+AF159+AF162+AF163+AF164</f>
        <v/>
      </c>
      <c r="AG165" s="42">
        <f>AG157+AG158+AG159+AG162+AG163+AG164</f>
        <v/>
      </c>
      <c r="AH165" s="42">
        <f>AH157+AH158+AH159+AH162+AH163+AH164</f>
        <v/>
      </c>
      <c r="AI165" s="42">
        <f>AI157+AI158+AI159+AI162+AI163+AI164</f>
        <v/>
      </c>
      <c r="AJ165" s="42">
        <f>AJ157+AJ158+AJ159+AJ162+AJ163+AJ164</f>
        <v/>
      </c>
      <c r="AK165" s="42">
        <f>AK157+AK158+AK159+AK162+AK163+AK164</f>
        <v/>
      </c>
      <c r="AL165" s="42">
        <f>AL157+AL158+AL159+AL162+AL163+AL164</f>
        <v/>
      </c>
      <c r="AM165" s="42">
        <f>AM157+AM158+AM159+AM162+AM163+AM164</f>
        <v/>
      </c>
      <c r="AN165" s="42">
        <f>AN157+AN158+AN159+AN162+AN163+AN164</f>
        <v/>
      </c>
      <c r="AO165" s="42">
        <f>AO157+AO158+AO159+AO162+AO163+AO164</f>
        <v/>
      </c>
      <c r="AP165" s="42">
        <f>AP157+AP158+AP159+AP162+AP163+AP164</f>
        <v/>
      </c>
      <c r="AQ165" s="42">
        <f>AQ157+AQ158+AQ159+AQ162+AQ163+AQ164</f>
        <v/>
      </c>
      <c r="AR165" s="42">
        <f>AR157+AR158+AR159+AR162+AR163+AR164</f>
        <v/>
      </c>
      <c r="AS165" s="42">
        <f>AS157+AS158+AS159+AS162+AS163+AS164</f>
        <v/>
      </c>
      <c r="AT165" s="42">
        <f>AT157+AT158+AT159+AT162+AT163+AT164</f>
        <v/>
      </c>
      <c r="AU165" s="42">
        <f>AU157+AU158+AU159+AU162+AU163+AU164</f>
        <v/>
      </c>
      <c r="AV165" s="42">
        <f>AV157+AV158+AV159+AV162+AV163+AV164</f>
        <v/>
      </c>
      <c r="AW165" s="42">
        <f>AW157+AW158+AW159+AW162+AW163+AW164</f>
        <v/>
      </c>
      <c r="AX165" s="42">
        <f>AX157+AX158+AX159+AX162+AX163+AX164</f>
        <v/>
      </c>
      <c r="AY165" s="42">
        <f>AY157+AY158+AY159+AY162+AY163+AY164</f>
        <v/>
      </c>
      <c r="AZ165" s="42">
        <f>AZ157+AZ158+AZ159+AZ162+AZ163+AZ164</f>
        <v/>
      </c>
      <c r="BA165" s="42">
        <f>BA157+BA158+BA159+BA162+BA163+BA164</f>
        <v/>
      </c>
      <c r="BB165" s="42">
        <f>BB157+BB158+BB159+BB162+BB163+BB164</f>
        <v/>
      </c>
      <c r="BC165" s="42">
        <f>BC157+BC158+BC159+BC162+BC163+BC164</f>
        <v/>
      </c>
      <c r="BD165" s="42">
        <f>BD157+BD158+BD159+BD162+BD163+BD164</f>
        <v/>
      </c>
      <c r="BE165" s="42">
        <f>BE157+BE158+BE159+BE162+BE163+BE164</f>
        <v/>
      </c>
      <c r="BF165" s="42">
        <f>BF157+BF158+BF159+BF162+BF163+BF164</f>
        <v/>
      </c>
      <c r="BG165" s="42">
        <f>BG157+BG158+BG159+BG162+BG163+BG164</f>
        <v/>
      </c>
      <c r="BH165" s="42">
        <f>BH157+BH158+BH159+BH162+BH163+BH164</f>
        <v/>
      </c>
      <c r="BI165" s="42">
        <f>BI157+BI158+BI159+BI162+BI163+BI164</f>
        <v/>
      </c>
      <c r="BJ165" s="42">
        <f>BJ157+BJ158+BJ159+BJ162+BJ163+BJ164</f>
        <v/>
      </c>
    </row>
    <row r="166"/>
    <row r="167">
      <c r="A167" s="19" t="inlineStr">
        <is>
          <t>Operating expenses: marketing &amp; sales programmes (capped / scaled with MRR; zero before seed except the pilot)</t>
        </is>
      </c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9" t="n"/>
      <c r="AA167" s="19" t="n"/>
      <c r="AB167" s="19" t="n"/>
      <c r="AC167" s="19" t="n"/>
      <c r="AD167" s="19" t="n"/>
      <c r="AE167" s="19" t="n"/>
      <c r="AF167" s="19" t="n"/>
      <c r="AG167" s="19" t="n"/>
      <c r="AH167" s="19" t="n"/>
      <c r="AI167" s="19" t="n"/>
      <c r="AJ167" s="19" t="n"/>
      <c r="AK167" s="19" t="n"/>
      <c r="AL167" s="19" t="n"/>
      <c r="AM167" s="19" t="n"/>
      <c r="AN167" s="19" t="n"/>
      <c r="AO167" s="19" t="n"/>
      <c r="AP167" s="19" t="n"/>
      <c r="AQ167" s="19" t="n"/>
      <c r="AR167" s="19" t="n"/>
      <c r="AS167" s="19" t="n"/>
      <c r="AT167" s="19" t="n"/>
      <c r="AU167" s="19" t="n"/>
      <c r="AV167" s="19" t="n"/>
      <c r="AW167" s="19" t="n"/>
      <c r="AX167" s="19" t="n"/>
      <c r="AY167" s="19" t="n"/>
      <c r="AZ167" s="19" t="n"/>
      <c r="BA167" s="19" t="n"/>
      <c r="BB167" s="19" t="n"/>
      <c r="BC167" s="19" t="n"/>
      <c r="BD167" s="19" t="n"/>
      <c r="BE167" s="19" t="n"/>
      <c r="BF167" s="19" t="n"/>
      <c r="BG167" s="19" t="n"/>
      <c r="BH167" s="19" t="n"/>
      <c r="BI167" s="19" t="n"/>
      <c r="BJ167" s="19" t="n"/>
    </row>
    <row r="168">
      <c r="A168" s="4" t="inlineStr">
        <is>
          <t>Paid acquisition (after cap)</t>
        </is>
      </c>
      <c r="B168" s="17" t="inlineStr">
        <is>
          <t>R</t>
        </is>
      </c>
      <c r="C168" s="8">
        <f>Revenue_Build!C110</f>
        <v/>
      </c>
      <c r="D168" s="8">
        <f>Revenue_Build!D110</f>
        <v/>
      </c>
      <c r="E168" s="8">
        <f>Revenue_Build!E110</f>
        <v/>
      </c>
      <c r="F168" s="8">
        <f>Revenue_Build!F110</f>
        <v/>
      </c>
      <c r="G168" s="8">
        <f>Revenue_Build!G110</f>
        <v/>
      </c>
      <c r="H168" s="8">
        <f>Revenue_Build!H110</f>
        <v/>
      </c>
      <c r="I168" s="8">
        <f>Revenue_Build!I110</f>
        <v/>
      </c>
      <c r="J168" s="8">
        <f>Revenue_Build!J110</f>
        <v/>
      </c>
      <c r="K168" s="8">
        <f>Revenue_Build!K110</f>
        <v/>
      </c>
      <c r="L168" s="8">
        <f>Revenue_Build!L110</f>
        <v/>
      </c>
      <c r="M168" s="8">
        <f>Revenue_Build!M110</f>
        <v/>
      </c>
      <c r="N168" s="8">
        <f>Revenue_Build!N110</f>
        <v/>
      </c>
      <c r="O168" s="8">
        <f>Revenue_Build!O110</f>
        <v/>
      </c>
      <c r="P168" s="8">
        <f>Revenue_Build!P110</f>
        <v/>
      </c>
      <c r="Q168" s="8">
        <f>Revenue_Build!Q110</f>
        <v/>
      </c>
      <c r="R168" s="8">
        <f>Revenue_Build!R110</f>
        <v/>
      </c>
      <c r="S168" s="8">
        <f>Revenue_Build!S110</f>
        <v/>
      </c>
      <c r="T168" s="8">
        <f>Revenue_Build!T110</f>
        <v/>
      </c>
      <c r="U168" s="8">
        <f>Revenue_Build!U110</f>
        <v/>
      </c>
      <c r="V168" s="8">
        <f>Revenue_Build!V110</f>
        <v/>
      </c>
      <c r="W168" s="8">
        <f>Revenue_Build!W110</f>
        <v/>
      </c>
      <c r="X168" s="8">
        <f>Revenue_Build!X110</f>
        <v/>
      </c>
      <c r="Y168" s="8">
        <f>Revenue_Build!Y110</f>
        <v/>
      </c>
      <c r="Z168" s="8">
        <f>Revenue_Build!Z110</f>
        <v/>
      </c>
      <c r="AA168" s="8">
        <f>Revenue_Build!AA110</f>
        <v/>
      </c>
      <c r="AB168" s="8">
        <f>Revenue_Build!AB110</f>
        <v/>
      </c>
      <c r="AC168" s="8">
        <f>Revenue_Build!AC110</f>
        <v/>
      </c>
      <c r="AD168" s="8">
        <f>Revenue_Build!AD110</f>
        <v/>
      </c>
      <c r="AE168" s="8">
        <f>Revenue_Build!AE110</f>
        <v/>
      </c>
      <c r="AF168" s="8">
        <f>Revenue_Build!AF110</f>
        <v/>
      </c>
      <c r="AG168" s="8">
        <f>Revenue_Build!AG110</f>
        <v/>
      </c>
      <c r="AH168" s="8">
        <f>Revenue_Build!AH110</f>
        <v/>
      </c>
      <c r="AI168" s="8">
        <f>Revenue_Build!AI110</f>
        <v/>
      </c>
      <c r="AJ168" s="8">
        <f>Revenue_Build!AJ110</f>
        <v/>
      </c>
      <c r="AK168" s="8">
        <f>Revenue_Build!AK110</f>
        <v/>
      </c>
      <c r="AL168" s="8">
        <f>Revenue_Build!AL110</f>
        <v/>
      </c>
      <c r="AM168" s="8">
        <f>Revenue_Build!AM110</f>
        <v/>
      </c>
      <c r="AN168" s="8">
        <f>Revenue_Build!AN110</f>
        <v/>
      </c>
      <c r="AO168" s="8">
        <f>Revenue_Build!AO110</f>
        <v/>
      </c>
      <c r="AP168" s="8">
        <f>Revenue_Build!AP110</f>
        <v/>
      </c>
      <c r="AQ168" s="8">
        <f>Revenue_Build!AQ110</f>
        <v/>
      </c>
      <c r="AR168" s="8">
        <f>Revenue_Build!AR110</f>
        <v/>
      </c>
      <c r="AS168" s="8">
        <f>Revenue_Build!AS110</f>
        <v/>
      </c>
      <c r="AT168" s="8">
        <f>Revenue_Build!AT110</f>
        <v/>
      </c>
      <c r="AU168" s="8">
        <f>Revenue_Build!AU110</f>
        <v/>
      </c>
      <c r="AV168" s="8">
        <f>Revenue_Build!AV110</f>
        <v/>
      </c>
      <c r="AW168" s="8">
        <f>Revenue_Build!AW110</f>
        <v/>
      </c>
      <c r="AX168" s="8">
        <f>Revenue_Build!AX110</f>
        <v/>
      </c>
      <c r="AY168" s="8">
        <f>Revenue_Build!AY110</f>
        <v/>
      </c>
      <c r="AZ168" s="8">
        <f>Revenue_Build!AZ110</f>
        <v/>
      </c>
      <c r="BA168" s="8">
        <f>Revenue_Build!BA110</f>
        <v/>
      </c>
      <c r="BB168" s="8">
        <f>Revenue_Build!BB110</f>
        <v/>
      </c>
      <c r="BC168" s="8">
        <f>Revenue_Build!BC110</f>
        <v/>
      </c>
      <c r="BD168" s="8">
        <f>Revenue_Build!BD110</f>
        <v/>
      </c>
      <c r="BE168" s="8">
        <f>Revenue_Build!BE110</f>
        <v/>
      </c>
      <c r="BF168" s="8">
        <f>Revenue_Build!BF110</f>
        <v/>
      </c>
      <c r="BG168" s="8">
        <f>Revenue_Build!BG110</f>
        <v/>
      </c>
      <c r="BH168" s="8">
        <f>Revenue_Build!BH110</f>
        <v/>
      </c>
      <c r="BI168" s="8">
        <f>Revenue_Build!BI110</f>
        <v/>
      </c>
      <c r="BJ168" s="8">
        <f>Revenue_Build!BJ110</f>
        <v/>
      </c>
    </row>
    <row r="169">
      <c r="A169" s="4" t="inlineStr">
        <is>
          <t>Brand, content &amp; community = MIN(ceiling, floor + % of MRR)</t>
        </is>
      </c>
      <c r="B169" s="17" t="inlineStr">
        <is>
          <t>R</t>
        </is>
      </c>
      <c r="C169" s="8">
        <f>Revenue_Build!C8*MIN(CHOOSE(C$5,Assumptions!$B$180,Assumptions!$B$181,Assumptions!$B$182,Assumptions!$B$183,Assumptions!$B$184),Assumptions!$B$185+Assumptions!$B$186*Revenue_Build!C10)</f>
        <v/>
      </c>
      <c r="D169" s="8">
        <f>Revenue_Build!D8*MIN(CHOOSE(D$5,Assumptions!$B$180,Assumptions!$B$181,Assumptions!$B$182,Assumptions!$B$183,Assumptions!$B$184),Assumptions!$B$185+Assumptions!$B$186*Revenue_Build!D10)</f>
        <v/>
      </c>
      <c r="E169" s="8">
        <f>Revenue_Build!E8*MIN(CHOOSE(E$5,Assumptions!$B$180,Assumptions!$B$181,Assumptions!$B$182,Assumptions!$B$183,Assumptions!$B$184),Assumptions!$B$185+Assumptions!$B$186*Revenue_Build!E10)</f>
        <v/>
      </c>
      <c r="F169" s="8">
        <f>Revenue_Build!F8*MIN(CHOOSE(F$5,Assumptions!$B$180,Assumptions!$B$181,Assumptions!$B$182,Assumptions!$B$183,Assumptions!$B$184),Assumptions!$B$185+Assumptions!$B$186*Revenue_Build!F10)</f>
        <v/>
      </c>
      <c r="G169" s="8">
        <f>Revenue_Build!G8*MIN(CHOOSE(G$5,Assumptions!$B$180,Assumptions!$B$181,Assumptions!$B$182,Assumptions!$B$183,Assumptions!$B$184),Assumptions!$B$185+Assumptions!$B$186*Revenue_Build!G10)</f>
        <v/>
      </c>
      <c r="H169" s="8">
        <f>Revenue_Build!H8*MIN(CHOOSE(H$5,Assumptions!$B$180,Assumptions!$B$181,Assumptions!$B$182,Assumptions!$B$183,Assumptions!$B$184),Assumptions!$B$185+Assumptions!$B$186*Revenue_Build!H10)</f>
        <v/>
      </c>
      <c r="I169" s="8">
        <f>Revenue_Build!I8*MIN(CHOOSE(I$5,Assumptions!$B$180,Assumptions!$B$181,Assumptions!$B$182,Assumptions!$B$183,Assumptions!$B$184),Assumptions!$B$185+Assumptions!$B$186*Revenue_Build!I10)</f>
        <v/>
      </c>
      <c r="J169" s="8">
        <f>Revenue_Build!J8*MIN(CHOOSE(J$5,Assumptions!$B$180,Assumptions!$B$181,Assumptions!$B$182,Assumptions!$B$183,Assumptions!$B$184),Assumptions!$B$185+Assumptions!$B$186*Revenue_Build!J10)</f>
        <v/>
      </c>
      <c r="K169" s="8">
        <f>Revenue_Build!K8*MIN(CHOOSE(K$5,Assumptions!$B$180,Assumptions!$B$181,Assumptions!$B$182,Assumptions!$B$183,Assumptions!$B$184),Assumptions!$B$185+Assumptions!$B$186*Revenue_Build!K10)</f>
        <v/>
      </c>
      <c r="L169" s="8">
        <f>Revenue_Build!L8*MIN(CHOOSE(L$5,Assumptions!$B$180,Assumptions!$B$181,Assumptions!$B$182,Assumptions!$B$183,Assumptions!$B$184),Assumptions!$B$185+Assumptions!$B$186*Revenue_Build!L10)</f>
        <v/>
      </c>
      <c r="M169" s="8">
        <f>Revenue_Build!M8*MIN(CHOOSE(M$5,Assumptions!$B$180,Assumptions!$B$181,Assumptions!$B$182,Assumptions!$B$183,Assumptions!$B$184),Assumptions!$B$185+Assumptions!$B$186*Revenue_Build!M10)</f>
        <v/>
      </c>
      <c r="N169" s="8">
        <f>Revenue_Build!N8*MIN(CHOOSE(N$5,Assumptions!$B$180,Assumptions!$B$181,Assumptions!$B$182,Assumptions!$B$183,Assumptions!$B$184),Assumptions!$B$185+Assumptions!$B$186*Revenue_Build!N10)</f>
        <v/>
      </c>
      <c r="O169" s="8">
        <f>Revenue_Build!O8*MIN(CHOOSE(O$5,Assumptions!$B$180,Assumptions!$B$181,Assumptions!$B$182,Assumptions!$B$183,Assumptions!$B$184),Assumptions!$B$185+Assumptions!$B$186*Revenue_Build!O10)</f>
        <v/>
      </c>
      <c r="P169" s="8">
        <f>Revenue_Build!P8*MIN(CHOOSE(P$5,Assumptions!$B$180,Assumptions!$B$181,Assumptions!$B$182,Assumptions!$B$183,Assumptions!$B$184),Assumptions!$B$185+Assumptions!$B$186*Revenue_Build!P10)</f>
        <v/>
      </c>
      <c r="Q169" s="8">
        <f>Revenue_Build!Q8*MIN(CHOOSE(Q$5,Assumptions!$B$180,Assumptions!$B$181,Assumptions!$B$182,Assumptions!$B$183,Assumptions!$B$184),Assumptions!$B$185+Assumptions!$B$186*Revenue_Build!Q10)</f>
        <v/>
      </c>
      <c r="R169" s="8">
        <f>Revenue_Build!R8*MIN(CHOOSE(R$5,Assumptions!$B$180,Assumptions!$B$181,Assumptions!$B$182,Assumptions!$B$183,Assumptions!$B$184),Assumptions!$B$185+Assumptions!$B$186*Revenue_Build!R10)</f>
        <v/>
      </c>
      <c r="S169" s="8">
        <f>Revenue_Build!S8*MIN(CHOOSE(S$5,Assumptions!$B$180,Assumptions!$B$181,Assumptions!$B$182,Assumptions!$B$183,Assumptions!$B$184),Assumptions!$B$185+Assumptions!$B$186*Revenue_Build!S10)</f>
        <v/>
      </c>
      <c r="T169" s="8">
        <f>Revenue_Build!T8*MIN(CHOOSE(T$5,Assumptions!$B$180,Assumptions!$B$181,Assumptions!$B$182,Assumptions!$B$183,Assumptions!$B$184),Assumptions!$B$185+Assumptions!$B$186*Revenue_Build!T10)</f>
        <v/>
      </c>
      <c r="U169" s="8">
        <f>Revenue_Build!U8*MIN(CHOOSE(U$5,Assumptions!$B$180,Assumptions!$B$181,Assumptions!$B$182,Assumptions!$B$183,Assumptions!$B$184),Assumptions!$B$185+Assumptions!$B$186*Revenue_Build!U10)</f>
        <v/>
      </c>
      <c r="V169" s="8">
        <f>Revenue_Build!V8*MIN(CHOOSE(V$5,Assumptions!$B$180,Assumptions!$B$181,Assumptions!$B$182,Assumptions!$B$183,Assumptions!$B$184),Assumptions!$B$185+Assumptions!$B$186*Revenue_Build!V10)</f>
        <v/>
      </c>
      <c r="W169" s="8">
        <f>Revenue_Build!W8*MIN(CHOOSE(W$5,Assumptions!$B$180,Assumptions!$B$181,Assumptions!$B$182,Assumptions!$B$183,Assumptions!$B$184),Assumptions!$B$185+Assumptions!$B$186*Revenue_Build!W10)</f>
        <v/>
      </c>
      <c r="X169" s="8">
        <f>Revenue_Build!X8*MIN(CHOOSE(X$5,Assumptions!$B$180,Assumptions!$B$181,Assumptions!$B$182,Assumptions!$B$183,Assumptions!$B$184),Assumptions!$B$185+Assumptions!$B$186*Revenue_Build!X10)</f>
        <v/>
      </c>
      <c r="Y169" s="8">
        <f>Revenue_Build!Y8*MIN(CHOOSE(Y$5,Assumptions!$B$180,Assumptions!$B$181,Assumptions!$B$182,Assumptions!$B$183,Assumptions!$B$184),Assumptions!$B$185+Assumptions!$B$186*Revenue_Build!Y10)</f>
        <v/>
      </c>
      <c r="Z169" s="8">
        <f>Revenue_Build!Z8*MIN(CHOOSE(Z$5,Assumptions!$B$180,Assumptions!$B$181,Assumptions!$B$182,Assumptions!$B$183,Assumptions!$B$184),Assumptions!$B$185+Assumptions!$B$186*Revenue_Build!Z10)</f>
        <v/>
      </c>
      <c r="AA169" s="8">
        <f>Revenue_Build!AA8*MIN(CHOOSE(AA$5,Assumptions!$B$180,Assumptions!$B$181,Assumptions!$B$182,Assumptions!$B$183,Assumptions!$B$184),Assumptions!$B$185+Assumptions!$B$186*Revenue_Build!AA10)</f>
        <v/>
      </c>
      <c r="AB169" s="8">
        <f>Revenue_Build!AB8*MIN(CHOOSE(AB$5,Assumptions!$B$180,Assumptions!$B$181,Assumptions!$B$182,Assumptions!$B$183,Assumptions!$B$184),Assumptions!$B$185+Assumptions!$B$186*Revenue_Build!AB10)</f>
        <v/>
      </c>
      <c r="AC169" s="8">
        <f>Revenue_Build!AC8*MIN(CHOOSE(AC$5,Assumptions!$B$180,Assumptions!$B$181,Assumptions!$B$182,Assumptions!$B$183,Assumptions!$B$184),Assumptions!$B$185+Assumptions!$B$186*Revenue_Build!AC10)</f>
        <v/>
      </c>
      <c r="AD169" s="8">
        <f>Revenue_Build!AD8*MIN(CHOOSE(AD$5,Assumptions!$B$180,Assumptions!$B$181,Assumptions!$B$182,Assumptions!$B$183,Assumptions!$B$184),Assumptions!$B$185+Assumptions!$B$186*Revenue_Build!AD10)</f>
        <v/>
      </c>
      <c r="AE169" s="8">
        <f>Revenue_Build!AE8*MIN(CHOOSE(AE$5,Assumptions!$B$180,Assumptions!$B$181,Assumptions!$B$182,Assumptions!$B$183,Assumptions!$B$184),Assumptions!$B$185+Assumptions!$B$186*Revenue_Build!AE10)</f>
        <v/>
      </c>
      <c r="AF169" s="8">
        <f>Revenue_Build!AF8*MIN(CHOOSE(AF$5,Assumptions!$B$180,Assumptions!$B$181,Assumptions!$B$182,Assumptions!$B$183,Assumptions!$B$184),Assumptions!$B$185+Assumptions!$B$186*Revenue_Build!AF10)</f>
        <v/>
      </c>
      <c r="AG169" s="8">
        <f>Revenue_Build!AG8*MIN(CHOOSE(AG$5,Assumptions!$B$180,Assumptions!$B$181,Assumptions!$B$182,Assumptions!$B$183,Assumptions!$B$184),Assumptions!$B$185+Assumptions!$B$186*Revenue_Build!AG10)</f>
        <v/>
      </c>
      <c r="AH169" s="8">
        <f>Revenue_Build!AH8*MIN(CHOOSE(AH$5,Assumptions!$B$180,Assumptions!$B$181,Assumptions!$B$182,Assumptions!$B$183,Assumptions!$B$184),Assumptions!$B$185+Assumptions!$B$186*Revenue_Build!AH10)</f>
        <v/>
      </c>
      <c r="AI169" s="8">
        <f>Revenue_Build!AI8*MIN(CHOOSE(AI$5,Assumptions!$B$180,Assumptions!$B$181,Assumptions!$B$182,Assumptions!$B$183,Assumptions!$B$184),Assumptions!$B$185+Assumptions!$B$186*Revenue_Build!AI10)</f>
        <v/>
      </c>
      <c r="AJ169" s="8">
        <f>Revenue_Build!AJ8*MIN(CHOOSE(AJ$5,Assumptions!$B$180,Assumptions!$B$181,Assumptions!$B$182,Assumptions!$B$183,Assumptions!$B$184),Assumptions!$B$185+Assumptions!$B$186*Revenue_Build!AJ10)</f>
        <v/>
      </c>
      <c r="AK169" s="8">
        <f>Revenue_Build!AK8*MIN(CHOOSE(AK$5,Assumptions!$B$180,Assumptions!$B$181,Assumptions!$B$182,Assumptions!$B$183,Assumptions!$B$184),Assumptions!$B$185+Assumptions!$B$186*Revenue_Build!AK10)</f>
        <v/>
      </c>
      <c r="AL169" s="8">
        <f>Revenue_Build!AL8*MIN(CHOOSE(AL$5,Assumptions!$B$180,Assumptions!$B$181,Assumptions!$B$182,Assumptions!$B$183,Assumptions!$B$184),Assumptions!$B$185+Assumptions!$B$186*Revenue_Build!AL10)</f>
        <v/>
      </c>
      <c r="AM169" s="8">
        <f>Revenue_Build!AM8*MIN(CHOOSE(AM$5,Assumptions!$B$180,Assumptions!$B$181,Assumptions!$B$182,Assumptions!$B$183,Assumptions!$B$184),Assumptions!$B$185+Assumptions!$B$186*Revenue_Build!AM10)</f>
        <v/>
      </c>
      <c r="AN169" s="8">
        <f>Revenue_Build!AN8*MIN(CHOOSE(AN$5,Assumptions!$B$180,Assumptions!$B$181,Assumptions!$B$182,Assumptions!$B$183,Assumptions!$B$184),Assumptions!$B$185+Assumptions!$B$186*Revenue_Build!AN10)</f>
        <v/>
      </c>
      <c r="AO169" s="8">
        <f>Revenue_Build!AO8*MIN(CHOOSE(AO$5,Assumptions!$B$180,Assumptions!$B$181,Assumptions!$B$182,Assumptions!$B$183,Assumptions!$B$184),Assumptions!$B$185+Assumptions!$B$186*Revenue_Build!AO10)</f>
        <v/>
      </c>
      <c r="AP169" s="8">
        <f>Revenue_Build!AP8*MIN(CHOOSE(AP$5,Assumptions!$B$180,Assumptions!$B$181,Assumptions!$B$182,Assumptions!$B$183,Assumptions!$B$184),Assumptions!$B$185+Assumptions!$B$186*Revenue_Build!AP10)</f>
        <v/>
      </c>
      <c r="AQ169" s="8">
        <f>Revenue_Build!AQ8*MIN(CHOOSE(AQ$5,Assumptions!$B$180,Assumptions!$B$181,Assumptions!$B$182,Assumptions!$B$183,Assumptions!$B$184),Assumptions!$B$185+Assumptions!$B$186*Revenue_Build!AQ10)</f>
        <v/>
      </c>
      <c r="AR169" s="8">
        <f>Revenue_Build!AR8*MIN(CHOOSE(AR$5,Assumptions!$B$180,Assumptions!$B$181,Assumptions!$B$182,Assumptions!$B$183,Assumptions!$B$184),Assumptions!$B$185+Assumptions!$B$186*Revenue_Build!AR10)</f>
        <v/>
      </c>
      <c r="AS169" s="8">
        <f>Revenue_Build!AS8*MIN(CHOOSE(AS$5,Assumptions!$B$180,Assumptions!$B$181,Assumptions!$B$182,Assumptions!$B$183,Assumptions!$B$184),Assumptions!$B$185+Assumptions!$B$186*Revenue_Build!AS10)</f>
        <v/>
      </c>
      <c r="AT169" s="8">
        <f>Revenue_Build!AT8*MIN(CHOOSE(AT$5,Assumptions!$B$180,Assumptions!$B$181,Assumptions!$B$182,Assumptions!$B$183,Assumptions!$B$184),Assumptions!$B$185+Assumptions!$B$186*Revenue_Build!AT10)</f>
        <v/>
      </c>
      <c r="AU169" s="8">
        <f>Revenue_Build!AU8*MIN(CHOOSE(AU$5,Assumptions!$B$180,Assumptions!$B$181,Assumptions!$B$182,Assumptions!$B$183,Assumptions!$B$184),Assumptions!$B$185+Assumptions!$B$186*Revenue_Build!AU10)</f>
        <v/>
      </c>
      <c r="AV169" s="8">
        <f>Revenue_Build!AV8*MIN(CHOOSE(AV$5,Assumptions!$B$180,Assumptions!$B$181,Assumptions!$B$182,Assumptions!$B$183,Assumptions!$B$184),Assumptions!$B$185+Assumptions!$B$186*Revenue_Build!AV10)</f>
        <v/>
      </c>
      <c r="AW169" s="8">
        <f>Revenue_Build!AW8*MIN(CHOOSE(AW$5,Assumptions!$B$180,Assumptions!$B$181,Assumptions!$B$182,Assumptions!$B$183,Assumptions!$B$184),Assumptions!$B$185+Assumptions!$B$186*Revenue_Build!AW10)</f>
        <v/>
      </c>
      <c r="AX169" s="8">
        <f>Revenue_Build!AX8*MIN(CHOOSE(AX$5,Assumptions!$B$180,Assumptions!$B$181,Assumptions!$B$182,Assumptions!$B$183,Assumptions!$B$184),Assumptions!$B$185+Assumptions!$B$186*Revenue_Build!AX10)</f>
        <v/>
      </c>
      <c r="AY169" s="8">
        <f>Revenue_Build!AY8*MIN(CHOOSE(AY$5,Assumptions!$B$180,Assumptions!$B$181,Assumptions!$B$182,Assumptions!$B$183,Assumptions!$B$184),Assumptions!$B$185+Assumptions!$B$186*Revenue_Build!AY10)</f>
        <v/>
      </c>
      <c r="AZ169" s="8">
        <f>Revenue_Build!AZ8*MIN(CHOOSE(AZ$5,Assumptions!$B$180,Assumptions!$B$181,Assumptions!$B$182,Assumptions!$B$183,Assumptions!$B$184),Assumptions!$B$185+Assumptions!$B$186*Revenue_Build!AZ10)</f>
        <v/>
      </c>
      <c r="BA169" s="8">
        <f>Revenue_Build!BA8*MIN(CHOOSE(BA$5,Assumptions!$B$180,Assumptions!$B$181,Assumptions!$B$182,Assumptions!$B$183,Assumptions!$B$184),Assumptions!$B$185+Assumptions!$B$186*Revenue_Build!BA10)</f>
        <v/>
      </c>
      <c r="BB169" s="8">
        <f>Revenue_Build!BB8*MIN(CHOOSE(BB$5,Assumptions!$B$180,Assumptions!$B$181,Assumptions!$B$182,Assumptions!$B$183,Assumptions!$B$184),Assumptions!$B$185+Assumptions!$B$186*Revenue_Build!BB10)</f>
        <v/>
      </c>
      <c r="BC169" s="8">
        <f>Revenue_Build!BC8*MIN(CHOOSE(BC$5,Assumptions!$B$180,Assumptions!$B$181,Assumptions!$B$182,Assumptions!$B$183,Assumptions!$B$184),Assumptions!$B$185+Assumptions!$B$186*Revenue_Build!BC10)</f>
        <v/>
      </c>
      <c r="BD169" s="8">
        <f>Revenue_Build!BD8*MIN(CHOOSE(BD$5,Assumptions!$B$180,Assumptions!$B$181,Assumptions!$B$182,Assumptions!$B$183,Assumptions!$B$184),Assumptions!$B$185+Assumptions!$B$186*Revenue_Build!BD10)</f>
        <v/>
      </c>
      <c r="BE169" s="8">
        <f>Revenue_Build!BE8*MIN(CHOOSE(BE$5,Assumptions!$B$180,Assumptions!$B$181,Assumptions!$B$182,Assumptions!$B$183,Assumptions!$B$184),Assumptions!$B$185+Assumptions!$B$186*Revenue_Build!BE10)</f>
        <v/>
      </c>
      <c r="BF169" s="8">
        <f>Revenue_Build!BF8*MIN(CHOOSE(BF$5,Assumptions!$B$180,Assumptions!$B$181,Assumptions!$B$182,Assumptions!$B$183,Assumptions!$B$184),Assumptions!$B$185+Assumptions!$B$186*Revenue_Build!BF10)</f>
        <v/>
      </c>
      <c r="BG169" s="8">
        <f>Revenue_Build!BG8*MIN(CHOOSE(BG$5,Assumptions!$B$180,Assumptions!$B$181,Assumptions!$B$182,Assumptions!$B$183,Assumptions!$B$184),Assumptions!$B$185+Assumptions!$B$186*Revenue_Build!BG10)</f>
        <v/>
      </c>
      <c r="BH169" s="8">
        <f>Revenue_Build!BH8*MIN(CHOOSE(BH$5,Assumptions!$B$180,Assumptions!$B$181,Assumptions!$B$182,Assumptions!$B$183,Assumptions!$B$184),Assumptions!$B$185+Assumptions!$B$186*Revenue_Build!BH10)</f>
        <v/>
      </c>
      <c r="BI169" s="8">
        <f>Revenue_Build!BI8*MIN(CHOOSE(BI$5,Assumptions!$B$180,Assumptions!$B$181,Assumptions!$B$182,Assumptions!$B$183,Assumptions!$B$184),Assumptions!$B$185+Assumptions!$B$186*Revenue_Build!BI10)</f>
        <v/>
      </c>
      <c r="BJ169" s="8">
        <f>Revenue_Build!BJ8*MIN(CHOOSE(BJ$5,Assumptions!$B$180,Assumptions!$B$181,Assumptions!$B$182,Assumptions!$B$183,Assumptions!$B$184),Assumptions!$B$185+Assumptions!$B$186*Revenue_Build!BJ10)</f>
        <v/>
      </c>
    </row>
    <row r="170">
      <c r="A170" s="4" t="inlineStr">
        <is>
          <t>Wave-1 launch marketing (NG/KE/GH, spread over 3 months)</t>
        </is>
      </c>
      <c r="B170" s="17" t="inlineStr">
        <is>
          <t>R</t>
        </is>
      </c>
      <c r="C170" s="8">
        <f>Assumptions!$B$74*(Revenue_Build!C15-0)/3+Assumptions!$B$84*(Revenue_Build!C17-0)/3+Assumptions!$B$94*(Revenue_Build!C19-0)/3</f>
        <v/>
      </c>
      <c r="D170" s="8">
        <f>Assumptions!$B$74*(Revenue_Build!D15-0)/3+Assumptions!$B$84*(Revenue_Build!D17-0)/3+Assumptions!$B$94*(Revenue_Build!D19-0)/3</f>
        <v/>
      </c>
      <c r="E170" s="8">
        <f>Assumptions!$B$74*(Revenue_Build!E15-0)/3+Assumptions!$B$84*(Revenue_Build!E17-0)/3+Assumptions!$B$94*(Revenue_Build!E19-0)/3</f>
        <v/>
      </c>
      <c r="F170" s="8">
        <f>Assumptions!$B$74*(Revenue_Build!F15-Revenue_Build!C15)/3+Assumptions!$B$84*(Revenue_Build!F17-Revenue_Build!C17)/3+Assumptions!$B$94*(Revenue_Build!F19-Revenue_Build!C19)/3</f>
        <v/>
      </c>
      <c r="G170" s="8">
        <f>Assumptions!$B$74*(Revenue_Build!G15-Revenue_Build!D15)/3+Assumptions!$B$84*(Revenue_Build!G17-Revenue_Build!D17)/3+Assumptions!$B$94*(Revenue_Build!G19-Revenue_Build!D19)/3</f>
        <v/>
      </c>
      <c r="H170" s="8">
        <f>Assumptions!$B$74*(Revenue_Build!H15-Revenue_Build!E15)/3+Assumptions!$B$84*(Revenue_Build!H17-Revenue_Build!E17)/3+Assumptions!$B$94*(Revenue_Build!H19-Revenue_Build!E19)/3</f>
        <v/>
      </c>
      <c r="I170" s="8">
        <f>Assumptions!$B$74*(Revenue_Build!I15-Revenue_Build!F15)/3+Assumptions!$B$84*(Revenue_Build!I17-Revenue_Build!F17)/3+Assumptions!$B$94*(Revenue_Build!I19-Revenue_Build!F19)/3</f>
        <v/>
      </c>
      <c r="J170" s="8">
        <f>Assumptions!$B$74*(Revenue_Build!J15-Revenue_Build!G15)/3+Assumptions!$B$84*(Revenue_Build!J17-Revenue_Build!G17)/3+Assumptions!$B$94*(Revenue_Build!J19-Revenue_Build!G19)/3</f>
        <v/>
      </c>
      <c r="K170" s="8">
        <f>Assumptions!$B$74*(Revenue_Build!K15-Revenue_Build!H15)/3+Assumptions!$B$84*(Revenue_Build!K17-Revenue_Build!H17)/3+Assumptions!$B$94*(Revenue_Build!K19-Revenue_Build!H19)/3</f>
        <v/>
      </c>
      <c r="L170" s="8">
        <f>Assumptions!$B$74*(Revenue_Build!L15-Revenue_Build!I15)/3+Assumptions!$B$84*(Revenue_Build!L17-Revenue_Build!I17)/3+Assumptions!$B$94*(Revenue_Build!L19-Revenue_Build!I19)/3</f>
        <v/>
      </c>
      <c r="M170" s="8">
        <f>Assumptions!$B$74*(Revenue_Build!M15-Revenue_Build!J15)/3+Assumptions!$B$84*(Revenue_Build!M17-Revenue_Build!J17)/3+Assumptions!$B$94*(Revenue_Build!M19-Revenue_Build!J19)/3</f>
        <v/>
      </c>
      <c r="N170" s="8">
        <f>Assumptions!$B$74*(Revenue_Build!N15-Revenue_Build!K15)/3+Assumptions!$B$84*(Revenue_Build!N17-Revenue_Build!K17)/3+Assumptions!$B$94*(Revenue_Build!N19-Revenue_Build!K19)/3</f>
        <v/>
      </c>
      <c r="O170" s="8">
        <f>Assumptions!$B$74*(Revenue_Build!O15-Revenue_Build!L15)/3+Assumptions!$B$84*(Revenue_Build!O17-Revenue_Build!L17)/3+Assumptions!$B$94*(Revenue_Build!O19-Revenue_Build!L19)/3</f>
        <v/>
      </c>
      <c r="P170" s="8">
        <f>Assumptions!$B$74*(Revenue_Build!P15-Revenue_Build!M15)/3+Assumptions!$B$84*(Revenue_Build!P17-Revenue_Build!M17)/3+Assumptions!$B$94*(Revenue_Build!P19-Revenue_Build!M19)/3</f>
        <v/>
      </c>
      <c r="Q170" s="8">
        <f>Assumptions!$B$74*(Revenue_Build!Q15-Revenue_Build!N15)/3+Assumptions!$B$84*(Revenue_Build!Q17-Revenue_Build!N17)/3+Assumptions!$B$94*(Revenue_Build!Q19-Revenue_Build!N19)/3</f>
        <v/>
      </c>
      <c r="R170" s="8">
        <f>Assumptions!$B$74*(Revenue_Build!R15-Revenue_Build!O15)/3+Assumptions!$B$84*(Revenue_Build!R17-Revenue_Build!O17)/3+Assumptions!$B$94*(Revenue_Build!R19-Revenue_Build!O19)/3</f>
        <v/>
      </c>
      <c r="S170" s="8">
        <f>Assumptions!$B$74*(Revenue_Build!S15-Revenue_Build!P15)/3+Assumptions!$B$84*(Revenue_Build!S17-Revenue_Build!P17)/3+Assumptions!$B$94*(Revenue_Build!S19-Revenue_Build!P19)/3</f>
        <v/>
      </c>
      <c r="T170" s="8">
        <f>Assumptions!$B$74*(Revenue_Build!T15-Revenue_Build!Q15)/3+Assumptions!$B$84*(Revenue_Build!T17-Revenue_Build!Q17)/3+Assumptions!$B$94*(Revenue_Build!T19-Revenue_Build!Q19)/3</f>
        <v/>
      </c>
      <c r="U170" s="8">
        <f>Assumptions!$B$74*(Revenue_Build!U15-Revenue_Build!R15)/3+Assumptions!$B$84*(Revenue_Build!U17-Revenue_Build!R17)/3+Assumptions!$B$94*(Revenue_Build!U19-Revenue_Build!R19)/3</f>
        <v/>
      </c>
      <c r="V170" s="8">
        <f>Assumptions!$B$74*(Revenue_Build!V15-Revenue_Build!S15)/3+Assumptions!$B$84*(Revenue_Build!V17-Revenue_Build!S17)/3+Assumptions!$B$94*(Revenue_Build!V19-Revenue_Build!S19)/3</f>
        <v/>
      </c>
      <c r="W170" s="8">
        <f>Assumptions!$B$74*(Revenue_Build!W15-Revenue_Build!T15)/3+Assumptions!$B$84*(Revenue_Build!W17-Revenue_Build!T17)/3+Assumptions!$B$94*(Revenue_Build!W19-Revenue_Build!T19)/3</f>
        <v/>
      </c>
      <c r="X170" s="8">
        <f>Assumptions!$B$74*(Revenue_Build!X15-Revenue_Build!U15)/3+Assumptions!$B$84*(Revenue_Build!X17-Revenue_Build!U17)/3+Assumptions!$B$94*(Revenue_Build!X19-Revenue_Build!U19)/3</f>
        <v/>
      </c>
      <c r="Y170" s="8">
        <f>Assumptions!$B$74*(Revenue_Build!Y15-Revenue_Build!V15)/3+Assumptions!$B$84*(Revenue_Build!Y17-Revenue_Build!V17)/3+Assumptions!$B$94*(Revenue_Build!Y19-Revenue_Build!V19)/3</f>
        <v/>
      </c>
      <c r="Z170" s="8">
        <f>Assumptions!$B$74*(Revenue_Build!Z15-Revenue_Build!W15)/3+Assumptions!$B$84*(Revenue_Build!Z17-Revenue_Build!W17)/3+Assumptions!$B$94*(Revenue_Build!Z19-Revenue_Build!W19)/3</f>
        <v/>
      </c>
      <c r="AA170" s="8">
        <f>Assumptions!$B$74*(Revenue_Build!AA15-Revenue_Build!X15)/3+Assumptions!$B$84*(Revenue_Build!AA17-Revenue_Build!X17)/3+Assumptions!$B$94*(Revenue_Build!AA19-Revenue_Build!X19)/3</f>
        <v/>
      </c>
      <c r="AB170" s="8">
        <f>Assumptions!$B$74*(Revenue_Build!AB15-Revenue_Build!Y15)/3+Assumptions!$B$84*(Revenue_Build!AB17-Revenue_Build!Y17)/3+Assumptions!$B$94*(Revenue_Build!AB19-Revenue_Build!Y19)/3</f>
        <v/>
      </c>
      <c r="AC170" s="8">
        <f>Assumptions!$B$74*(Revenue_Build!AC15-Revenue_Build!Z15)/3+Assumptions!$B$84*(Revenue_Build!AC17-Revenue_Build!Z17)/3+Assumptions!$B$94*(Revenue_Build!AC19-Revenue_Build!Z19)/3</f>
        <v/>
      </c>
      <c r="AD170" s="8">
        <f>Assumptions!$B$74*(Revenue_Build!AD15-Revenue_Build!AA15)/3+Assumptions!$B$84*(Revenue_Build!AD17-Revenue_Build!AA17)/3+Assumptions!$B$94*(Revenue_Build!AD19-Revenue_Build!AA19)/3</f>
        <v/>
      </c>
      <c r="AE170" s="8">
        <f>Assumptions!$B$74*(Revenue_Build!AE15-Revenue_Build!AB15)/3+Assumptions!$B$84*(Revenue_Build!AE17-Revenue_Build!AB17)/3+Assumptions!$B$94*(Revenue_Build!AE19-Revenue_Build!AB19)/3</f>
        <v/>
      </c>
      <c r="AF170" s="8">
        <f>Assumptions!$B$74*(Revenue_Build!AF15-Revenue_Build!AC15)/3+Assumptions!$B$84*(Revenue_Build!AF17-Revenue_Build!AC17)/3+Assumptions!$B$94*(Revenue_Build!AF19-Revenue_Build!AC19)/3</f>
        <v/>
      </c>
      <c r="AG170" s="8">
        <f>Assumptions!$B$74*(Revenue_Build!AG15-Revenue_Build!AD15)/3+Assumptions!$B$84*(Revenue_Build!AG17-Revenue_Build!AD17)/3+Assumptions!$B$94*(Revenue_Build!AG19-Revenue_Build!AD19)/3</f>
        <v/>
      </c>
      <c r="AH170" s="8">
        <f>Assumptions!$B$74*(Revenue_Build!AH15-Revenue_Build!AE15)/3+Assumptions!$B$84*(Revenue_Build!AH17-Revenue_Build!AE17)/3+Assumptions!$B$94*(Revenue_Build!AH19-Revenue_Build!AE19)/3</f>
        <v/>
      </c>
      <c r="AI170" s="8">
        <f>Assumptions!$B$74*(Revenue_Build!AI15-Revenue_Build!AF15)/3+Assumptions!$B$84*(Revenue_Build!AI17-Revenue_Build!AF17)/3+Assumptions!$B$94*(Revenue_Build!AI19-Revenue_Build!AF19)/3</f>
        <v/>
      </c>
      <c r="AJ170" s="8">
        <f>Assumptions!$B$74*(Revenue_Build!AJ15-Revenue_Build!AG15)/3+Assumptions!$B$84*(Revenue_Build!AJ17-Revenue_Build!AG17)/3+Assumptions!$B$94*(Revenue_Build!AJ19-Revenue_Build!AG19)/3</f>
        <v/>
      </c>
      <c r="AK170" s="8">
        <f>Assumptions!$B$74*(Revenue_Build!AK15-Revenue_Build!AH15)/3+Assumptions!$B$84*(Revenue_Build!AK17-Revenue_Build!AH17)/3+Assumptions!$B$94*(Revenue_Build!AK19-Revenue_Build!AH19)/3</f>
        <v/>
      </c>
      <c r="AL170" s="8">
        <f>Assumptions!$B$74*(Revenue_Build!AL15-Revenue_Build!AI15)/3+Assumptions!$B$84*(Revenue_Build!AL17-Revenue_Build!AI17)/3+Assumptions!$B$94*(Revenue_Build!AL19-Revenue_Build!AI19)/3</f>
        <v/>
      </c>
      <c r="AM170" s="8">
        <f>Assumptions!$B$74*(Revenue_Build!AM15-Revenue_Build!AJ15)/3+Assumptions!$B$84*(Revenue_Build!AM17-Revenue_Build!AJ17)/3+Assumptions!$B$94*(Revenue_Build!AM19-Revenue_Build!AJ19)/3</f>
        <v/>
      </c>
      <c r="AN170" s="8">
        <f>Assumptions!$B$74*(Revenue_Build!AN15-Revenue_Build!AK15)/3+Assumptions!$B$84*(Revenue_Build!AN17-Revenue_Build!AK17)/3+Assumptions!$B$94*(Revenue_Build!AN19-Revenue_Build!AK19)/3</f>
        <v/>
      </c>
      <c r="AO170" s="8">
        <f>Assumptions!$B$74*(Revenue_Build!AO15-Revenue_Build!AL15)/3+Assumptions!$B$84*(Revenue_Build!AO17-Revenue_Build!AL17)/3+Assumptions!$B$94*(Revenue_Build!AO19-Revenue_Build!AL19)/3</f>
        <v/>
      </c>
      <c r="AP170" s="8">
        <f>Assumptions!$B$74*(Revenue_Build!AP15-Revenue_Build!AM15)/3+Assumptions!$B$84*(Revenue_Build!AP17-Revenue_Build!AM17)/3+Assumptions!$B$94*(Revenue_Build!AP19-Revenue_Build!AM19)/3</f>
        <v/>
      </c>
      <c r="AQ170" s="8">
        <f>Assumptions!$B$74*(Revenue_Build!AQ15-Revenue_Build!AN15)/3+Assumptions!$B$84*(Revenue_Build!AQ17-Revenue_Build!AN17)/3+Assumptions!$B$94*(Revenue_Build!AQ19-Revenue_Build!AN19)/3</f>
        <v/>
      </c>
      <c r="AR170" s="8">
        <f>Assumptions!$B$74*(Revenue_Build!AR15-Revenue_Build!AO15)/3+Assumptions!$B$84*(Revenue_Build!AR17-Revenue_Build!AO17)/3+Assumptions!$B$94*(Revenue_Build!AR19-Revenue_Build!AO19)/3</f>
        <v/>
      </c>
      <c r="AS170" s="8">
        <f>Assumptions!$B$74*(Revenue_Build!AS15-Revenue_Build!AP15)/3+Assumptions!$B$84*(Revenue_Build!AS17-Revenue_Build!AP17)/3+Assumptions!$B$94*(Revenue_Build!AS19-Revenue_Build!AP19)/3</f>
        <v/>
      </c>
      <c r="AT170" s="8">
        <f>Assumptions!$B$74*(Revenue_Build!AT15-Revenue_Build!AQ15)/3+Assumptions!$B$84*(Revenue_Build!AT17-Revenue_Build!AQ17)/3+Assumptions!$B$94*(Revenue_Build!AT19-Revenue_Build!AQ19)/3</f>
        <v/>
      </c>
      <c r="AU170" s="8">
        <f>Assumptions!$B$74*(Revenue_Build!AU15-Revenue_Build!AR15)/3+Assumptions!$B$84*(Revenue_Build!AU17-Revenue_Build!AR17)/3+Assumptions!$B$94*(Revenue_Build!AU19-Revenue_Build!AR19)/3</f>
        <v/>
      </c>
      <c r="AV170" s="8">
        <f>Assumptions!$B$74*(Revenue_Build!AV15-Revenue_Build!AS15)/3+Assumptions!$B$84*(Revenue_Build!AV17-Revenue_Build!AS17)/3+Assumptions!$B$94*(Revenue_Build!AV19-Revenue_Build!AS19)/3</f>
        <v/>
      </c>
      <c r="AW170" s="8">
        <f>Assumptions!$B$74*(Revenue_Build!AW15-Revenue_Build!AT15)/3+Assumptions!$B$84*(Revenue_Build!AW17-Revenue_Build!AT17)/3+Assumptions!$B$94*(Revenue_Build!AW19-Revenue_Build!AT19)/3</f>
        <v/>
      </c>
      <c r="AX170" s="8">
        <f>Assumptions!$B$74*(Revenue_Build!AX15-Revenue_Build!AU15)/3+Assumptions!$B$84*(Revenue_Build!AX17-Revenue_Build!AU17)/3+Assumptions!$B$94*(Revenue_Build!AX19-Revenue_Build!AU19)/3</f>
        <v/>
      </c>
      <c r="AY170" s="8">
        <f>Assumptions!$B$74*(Revenue_Build!AY15-Revenue_Build!AV15)/3+Assumptions!$B$84*(Revenue_Build!AY17-Revenue_Build!AV17)/3+Assumptions!$B$94*(Revenue_Build!AY19-Revenue_Build!AV19)/3</f>
        <v/>
      </c>
      <c r="AZ170" s="8">
        <f>Assumptions!$B$74*(Revenue_Build!AZ15-Revenue_Build!AW15)/3+Assumptions!$B$84*(Revenue_Build!AZ17-Revenue_Build!AW17)/3+Assumptions!$B$94*(Revenue_Build!AZ19-Revenue_Build!AW19)/3</f>
        <v/>
      </c>
      <c r="BA170" s="8">
        <f>Assumptions!$B$74*(Revenue_Build!BA15-Revenue_Build!AX15)/3+Assumptions!$B$84*(Revenue_Build!BA17-Revenue_Build!AX17)/3+Assumptions!$B$94*(Revenue_Build!BA19-Revenue_Build!AX19)/3</f>
        <v/>
      </c>
      <c r="BB170" s="8">
        <f>Assumptions!$B$74*(Revenue_Build!BB15-Revenue_Build!AY15)/3+Assumptions!$B$84*(Revenue_Build!BB17-Revenue_Build!AY17)/3+Assumptions!$B$94*(Revenue_Build!BB19-Revenue_Build!AY19)/3</f>
        <v/>
      </c>
      <c r="BC170" s="8">
        <f>Assumptions!$B$74*(Revenue_Build!BC15-Revenue_Build!AZ15)/3+Assumptions!$B$84*(Revenue_Build!BC17-Revenue_Build!AZ17)/3+Assumptions!$B$94*(Revenue_Build!BC19-Revenue_Build!AZ19)/3</f>
        <v/>
      </c>
      <c r="BD170" s="8">
        <f>Assumptions!$B$74*(Revenue_Build!BD15-Revenue_Build!BA15)/3+Assumptions!$B$84*(Revenue_Build!BD17-Revenue_Build!BA17)/3+Assumptions!$B$94*(Revenue_Build!BD19-Revenue_Build!BA19)/3</f>
        <v/>
      </c>
      <c r="BE170" s="8">
        <f>Assumptions!$B$74*(Revenue_Build!BE15-Revenue_Build!BB15)/3+Assumptions!$B$84*(Revenue_Build!BE17-Revenue_Build!BB17)/3+Assumptions!$B$94*(Revenue_Build!BE19-Revenue_Build!BB19)/3</f>
        <v/>
      </c>
      <c r="BF170" s="8">
        <f>Assumptions!$B$74*(Revenue_Build!BF15-Revenue_Build!BC15)/3+Assumptions!$B$84*(Revenue_Build!BF17-Revenue_Build!BC17)/3+Assumptions!$B$94*(Revenue_Build!BF19-Revenue_Build!BC19)/3</f>
        <v/>
      </c>
      <c r="BG170" s="8">
        <f>Assumptions!$B$74*(Revenue_Build!BG15-Revenue_Build!BD15)/3+Assumptions!$B$84*(Revenue_Build!BG17-Revenue_Build!BD17)/3+Assumptions!$B$94*(Revenue_Build!BG19-Revenue_Build!BD19)/3</f>
        <v/>
      </c>
      <c r="BH170" s="8">
        <f>Assumptions!$B$74*(Revenue_Build!BH15-Revenue_Build!BE15)/3+Assumptions!$B$84*(Revenue_Build!BH17-Revenue_Build!BE17)/3+Assumptions!$B$94*(Revenue_Build!BH19-Revenue_Build!BE19)/3</f>
        <v/>
      </c>
      <c r="BI170" s="8">
        <f>Assumptions!$B$74*(Revenue_Build!BI15-Revenue_Build!BF15)/3+Assumptions!$B$84*(Revenue_Build!BI17-Revenue_Build!BF17)/3+Assumptions!$B$94*(Revenue_Build!BI19-Revenue_Build!BF19)/3</f>
        <v/>
      </c>
      <c r="BJ170" s="8">
        <f>Assumptions!$B$74*(Revenue_Build!BJ15-Revenue_Build!BG15)/3+Assumptions!$B$84*(Revenue_Build!BJ17-Revenue_Build!BG17)/3+Assumptions!$B$94*(Revenue_Build!BJ19-Revenue_Build!BG19)/3</f>
        <v/>
      </c>
    </row>
    <row r="171">
      <c r="A171" s="4" t="inlineStr">
        <is>
          <t>Rest of Africa &amp; BW/NA self-serve marketing</t>
        </is>
      </c>
      <c r="B171" s="17" t="inlineStr">
        <is>
          <t>R</t>
        </is>
      </c>
      <c r="C171" s="8">
        <f>Revenue_Build!C21*Assumptions!$B$112+Revenue_Build!C23*Assumptions!$B$113</f>
        <v/>
      </c>
      <c r="D171" s="8">
        <f>Revenue_Build!D21*Assumptions!$B$112+Revenue_Build!D23*Assumptions!$B$113</f>
        <v/>
      </c>
      <c r="E171" s="8">
        <f>Revenue_Build!E21*Assumptions!$B$112+Revenue_Build!E23*Assumptions!$B$113</f>
        <v/>
      </c>
      <c r="F171" s="8">
        <f>Revenue_Build!F21*Assumptions!$B$112+Revenue_Build!F23*Assumptions!$B$113</f>
        <v/>
      </c>
      <c r="G171" s="8">
        <f>Revenue_Build!G21*Assumptions!$B$112+Revenue_Build!G23*Assumptions!$B$113</f>
        <v/>
      </c>
      <c r="H171" s="8">
        <f>Revenue_Build!H21*Assumptions!$B$112+Revenue_Build!H23*Assumptions!$B$113</f>
        <v/>
      </c>
      <c r="I171" s="8">
        <f>Revenue_Build!I21*Assumptions!$B$112+Revenue_Build!I23*Assumptions!$B$113</f>
        <v/>
      </c>
      <c r="J171" s="8">
        <f>Revenue_Build!J21*Assumptions!$B$112+Revenue_Build!J23*Assumptions!$B$113</f>
        <v/>
      </c>
      <c r="K171" s="8">
        <f>Revenue_Build!K21*Assumptions!$B$112+Revenue_Build!K23*Assumptions!$B$113</f>
        <v/>
      </c>
      <c r="L171" s="8">
        <f>Revenue_Build!L21*Assumptions!$B$112+Revenue_Build!L23*Assumptions!$B$113</f>
        <v/>
      </c>
      <c r="M171" s="8">
        <f>Revenue_Build!M21*Assumptions!$B$112+Revenue_Build!M23*Assumptions!$B$113</f>
        <v/>
      </c>
      <c r="N171" s="8">
        <f>Revenue_Build!N21*Assumptions!$B$112+Revenue_Build!N23*Assumptions!$B$113</f>
        <v/>
      </c>
      <c r="O171" s="8">
        <f>Revenue_Build!O21*Assumptions!$B$112+Revenue_Build!O23*Assumptions!$B$113</f>
        <v/>
      </c>
      <c r="P171" s="8">
        <f>Revenue_Build!P21*Assumptions!$B$112+Revenue_Build!P23*Assumptions!$B$113</f>
        <v/>
      </c>
      <c r="Q171" s="8">
        <f>Revenue_Build!Q21*Assumptions!$B$112+Revenue_Build!Q23*Assumptions!$B$113</f>
        <v/>
      </c>
      <c r="R171" s="8">
        <f>Revenue_Build!R21*Assumptions!$B$112+Revenue_Build!R23*Assumptions!$B$113</f>
        <v/>
      </c>
      <c r="S171" s="8">
        <f>Revenue_Build!S21*Assumptions!$B$112+Revenue_Build!S23*Assumptions!$B$113</f>
        <v/>
      </c>
      <c r="T171" s="8">
        <f>Revenue_Build!T21*Assumptions!$B$112+Revenue_Build!T23*Assumptions!$B$113</f>
        <v/>
      </c>
      <c r="U171" s="8">
        <f>Revenue_Build!U21*Assumptions!$B$112+Revenue_Build!U23*Assumptions!$B$113</f>
        <v/>
      </c>
      <c r="V171" s="8">
        <f>Revenue_Build!V21*Assumptions!$B$112+Revenue_Build!V23*Assumptions!$B$113</f>
        <v/>
      </c>
      <c r="W171" s="8">
        <f>Revenue_Build!W21*Assumptions!$B$112+Revenue_Build!W23*Assumptions!$B$113</f>
        <v/>
      </c>
      <c r="X171" s="8">
        <f>Revenue_Build!X21*Assumptions!$B$112+Revenue_Build!X23*Assumptions!$B$113</f>
        <v/>
      </c>
      <c r="Y171" s="8">
        <f>Revenue_Build!Y21*Assumptions!$B$112+Revenue_Build!Y23*Assumptions!$B$113</f>
        <v/>
      </c>
      <c r="Z171" s="8">
        <f>Revenue_Build!Z21*Assumptions!$B$112+Revenue_Build!Z23*Assumptions!$B$113</f>
        <v/>
      </c>
      <c r="AA171" s="8">
        <f>Revenue_Build!AA21*Assumptions!$B$112+Revenue_Build!AA23*Assumptions!$B$113</f>
        <v/>
      </c>
      <c r="AB171" s="8">
        <f>Revenue_Build!AB21*Assumptions!$B$112+Revenue_Build!AB23*Assumptions!$B$113</f>
        <v/>
      </c>
      <c r="AC171" s="8">
        <f>Revenue_Build!AC21*Assumptions!$B$112+Revenue_Build!AC23*Assumptions!$B$113</f>
        <v/>
      </c>
      <c r="AD171" s="8">
        <f>Revenue_Build!AD21*Assumptions!$B$112+Revenue_Build!AD23*Assumptions!$B$113</f>
        <v/>
      </c>
      <c r="AE171" s="8">
        <f>Revenue_Build!AE21*Assumptions!$B$112+Revenue_Build!AE23*Assumptions!$B$113</f>
        <v/>
      </c>
      <c r="AF171" s="8">
        <f>Revenue_Build!AF21*Assumptions!$B$112+Revenue_Build!AF23*Assumptions!$B$113</f>
        <v/>
      </c>
      <c r="AG171" s="8">
        <f>Revenue_Build!AG21*Assumptions!$B$112+Revenue_Build!AG23*Assumptions!$B$113</f>
        <v/>
      </c>
      <c r="AH171" s="8">
        <f>Revenue_Build!AH21*Assumptions!$B$112+Revenue_Build!AH23*Assumptions!$B$113</f>
        <v/>
      </c>
      <c r="AI171" s="8">
        <f>Revenue_Build!AI21*Assumptions!$B$112+Revenue_Build!AI23*Assumptions!$B$113</f>
        <v/>
      </c>
      <c r="AJ171" s="8">
        <f>Revenue_Build!AJ21*Assumptions!$B$112+Revenue_Build!AJ23*Assumptions!$B$113</f>
        <v/>
      </c>
      <c r="AK171" s="8">
        <f>Revenue_Build!AK21*Assumptions!$B$112+Revenue_Build!AK23*Assumptions!$B$113</f>
        <v/>
      </c>
      <c r="AL171" s="8">
        <f>Revenue_Build!AL21*Assumptions!$B$112+Revenue_Build!AL23*Assumptions!$B$113</f>
        <v/>
      </c>
      <c r="AM171" s="8">
        <f>Revenue_Build!AM21*Assumptions!$B$112+Revenue_Build!AM23*Assumptions!$B$113</f>
        <v/>
      </c>
      <c r="AN171" s="8">
        <f>Revenue_Build!AN21*Assumptions!$B$112+Revenue_Build!AN23*Assumptions!$B$113</f>
        <v/>
      </c>
      <c r="AO171" s="8">
        <f>Revenue_Build!AO21*Assumptions!$B$112+Revenue_Build!AO23*Assumptions!$B$113</f>
        <v/>
      </c>
      <c r="AP171" s="8">
        <f>Revenue_Build!AP21*Assumptions!$B$112+Revenue_Build!AP23*Assumptions!$B$113</f>
        <v/>
      </c>
      <c r="AQ171" s="8">
        <f>Revenue_Build!AQ21*Assumptions!$B$112+Revenue_Build!AQ23*Assumptions!$B$113</f>
        <v/>
      </c>
      <c r="AR171" s="8">
        <f>Revenue_Build!AR21*Assumptions!$B$112+Revenue_Build!AR23*Assumptions!$B$113</f>
        <v/>
      </c>
      <c r="AS171" s="8">
        <f>Revenue_Build!AS21*Assumptions!$B$112+Revenue_Build!AS23*Assumptions!$B$113</f>
        <v/>
      </c>
      <c r="AT171" s="8">
        <f>Revenue_Build!AT21*Assumptions!$B$112+Revenue_Build!AT23*Assumptions!$B$113</f>
        <v/>
      </c>
      <c r="AU171" s="8">
        <f>Revenue_Build!AU21*Assumptions!$B$112+Revenue_Build!AU23*Assumptions!$B$113</f>
        <v/>
      </c>
      <c r="AV171" s="8">
        <f>Revenue_Build!AV21*Assumptions!$B$112+Revenue_Build!AV23*Assumptions!$B$113</f>
        <v/>
      </c>
      <c r="AW171" s="8">
        <f>Revenue_Build!AW21*Assumptions!$B$112+Revenue_Build!AW23*Assumptions!$B$113</f>
        <v/>
      </c>
      <c r="AX171" s="8">
        <f>Revenue_Build!AX21*Assumptions!$B$112+Revenue_Build!AX23*Assumptions!$B$113</f>
        <v/>
      </c>
      <c r="AY171" s="8">
        <f>Revenue_Build!AY21*Assumptions!$B$112+Revenue_Build!AY23*Assumptions!$B$113</f>
        <v/>
      </c>
      <c r="AZ171" s="8">
        <f>Revenue_Build!AZ21*Assumptions!$B$112+Revenue_Build!AZ23*Assumptions!$B$113</f>
        <v/>
      </c>
      <c r="BA171" s="8">
        <f>Revenue_Build!BA21*Assumptions!$B$112+Revenue_Build!BA23*Assumptions!$B$113</f>
        <v/>
      </c>
      <c r="BB171" s="8">
        <f>Revenue_Build!BB21*Assumptions!$B$112+Revenue_Build!BB23*Assumptions!$B$113</f>
        <v/>
      </c>
      <c r="BC171" s="8">
        <f>Revenue_Build!BC21*Assumptions!$B$112+Revenue_Build!BC23*Assumptions!$B$113</f>
        <v/>
      </c>
      <c r="BD171" s="8">
        <f>Revenue_Build!BD21*Assumptions!$B$112+Revenue_Build!BD23*Assumptions!$B$113</f>
        <v/>
      </c>
      <c r="BE171" s="8">
        <f>Revenue_Build!BE21*Assumptions!$B$112+Revenue_Build!BE23*Assumptions!$B$113</f>
        <v/>
      </c>
      <c r="BF171" s="8">
        <f>Revenue_Build!BF21*Assumptions!$B$112+Revenue_Build!BF23*Assumptions!$B$113</f>
        <v/>
      </c>
      <c r="BG171" s="8">
        <f>Revenue_Build!BG21*Assumptions!$B$112+Revenue_Build!BG23*Assumptions!$B$113</f>
        <v/>
      </c>
      <c r="BH171" s="8">
        <f>Revenue_Build!BH21*Assumptions!$B$112+Revenue_Build!BH23*Assumptions!$B$113</f>
        <v/>
      </c>
      <c r="BI171" s="8">
        <f>Revenue_Build!BI21*Assumptions!$B$112+Revenue_Build!BI23*Assumptions!$B$113</f>
        <v/>
      </c>
      <c r="BJ171" s="8">
        <f>Revenue_Build!BJ21*Assumptions!$B$112+Revenue_Build!BJ23*Assumptions!$B$113</f>
        <v/>
      </c>
    </row>
    <row r="172">
      <c r="A172" s="4" t="inlineStr">
        <is>
          <t>Pilot programme</t>
        </is>
      </c>
      <c r="B172" s="17" t="inlineStr">
        <is>
          <t>R</t>
        </is>
      </c>
      <c r="C172" s="8">
        <f>Revenue_Build!C9*Assumptions!$B$29</f>
        <v/>
      </c>
      <c r="D172" s="8">
        <f>Revenue_Build!D9*Assumptions!$B$29</f>
        <v/>
      </c>
      <c r="E172" s="8">
        <f>Revenue_Build!E9*Assumptions!$B$29</f>
        <v/>
      </c>
      <c r="F172" s="8">
        <f>Revenue_Build!F9*Assumptions!$B$29</f>
        <v/>
      </c>
      <c r="G172" s="8">
        <f>Revenue_Build!G9*Assumptions!$B$29</f>
        <v/>
      </c>
      <c r="H172" s="8">
        <f>Revenue_Build!H9*Assumptions!$B$29</f>
        <v/>
      </c>
      <c r="I172" s="8">
        <f>Revenue_Build!I9*Assumptions!$B$29</f>
        <v/>
      </c>
      <c r="J172" s="8">
        <f>Revenue_Build!J9*Assumptions!$B$29</f>
        <v/>
      </c>
      <c r="K172" s="8">
        <f>Revenue_Build!K9*Assumptions!$B$29</f>
        <v/>
      </c>
      <c r="L172" s="8">
        <f>Revenue_Build!L9*Assumptions!$B$29</f>
        <v/>
      </c>
      <c r="M172" s="8">
        <f>Revenue_Build!M9*Assumptions!$B$29</f>
        <v/>
      </c>
      <c r="N172" s="8">
        <f>Revenue_Build!N9*Assumptions!$B$29</f>
        <v/>
      </c>
      <c r="O172" s="8">
        <f>Revenue_Build!O9*Assumptions!$B$29</f>
        <v/>
      </c>
      <c r="P172" s="8">
        <f>Revenue_Build!P9*Assumptions!$B$29</f>
        <v/>
      </c>
      <c r="Q172" s="8">
        <f>Revenue_Build!Q9*Assumptions!$B$29</f>
        <v/>
      </c>
      <c r="R172" s="8">
        <f>Revenue_Build!R9*Assumptions!$B$29</f>
        <v/>
      </c>
      <c r="S172" s="8">
        <f>Revenue_Build!S9*Assumptions!$B$29</f>
        <v/>
      </c>
      <c r="T172" s="8">
        <f>Revenue_Build!T9*Assumptions!$B$29</f>
        <v/>
      </c>
      <c r="U172" s="8">
        <f>Revenue_Build!U9*Assumptions!$B$29</f>
        <v/>
      </c>
      <c r="V172" s="8">
        <f>Revenue_Build!V9*Assumptions!$B$29</f>
        <v/>
      </c>
      <c r="W172" s="8">
        <f>Revenue_Build!W9*Assumptions!$B$29</f>
        <v/>
      </c>
      <c r="X172" s="8">
        <f>Revenue_Build!X9*Assumptions!$B$29</f>
        <v/>
      </c>
      <c r="Y172" s="8">
        <f>Revenue_Build!Y9*Assumptions!$B$29</f>
        <v/>
      </c>
      <c r="Z172" s="8">
        <f>Revenue_Build!Z9*Assumptions!$B$29</f>
        <v/>
      </c>
      <c r="AA172" s="8">
        <f>Revenue_Build!AA9*Assumptions!$B$29</f>
        <v/>
      </c>
      <c r="AB172" s="8">
        <f>Revenue_Build!AB9*Assumptions!$B$29</f>
        <v/>
      </c>
      <c r="AC172" s="8">
        <f>Revenue_Build!AC9*Assumptions!$B$29</f>
        <v/>
      </c>
      <c r="AD172" s="8">
        <f>Revenue_Build!AD9*Assumptions!$B$29</f>
        <v/>
      </c>
      <c r="AE172" s="8">
        <f>Revenue_Build!AE9*Assumptions!$B$29</f>
        <v/>
      </c>
      <c r="AF172" s="8">
        <f>Revenue_Build!AF9*Assumptions!$B$29</f>
        <v/>
      </c>
      <c r="AG172" s="8">
        <f>Revenue_Build!AG9*Assumptions!$B$29</f>
        <v/>
      </c>
      <c r="AH172" s="8">
        <f>Revenue_Build!AH9*Assumptions!$B$29</f>
        <v/>
      </c>
      <c r="AI172" s="8">
        <f>Revenue_Build!AI9*Assumptions!$B$29</f>
        <v/>
      </c>
      <c r="AJ172" s="8">
        <f>Revenue_Build!AJ9*Assumptions!$B$29</f>
        <v/>
      </c>
      <c r="AK172" s="8">
        <f>Revenue_Build!AK9*Assumptions!$B$29</f>
        <v/>
      </c>
      <c r="AL172" s="8">
        <f>Revenue_Build!AL9*Assumptions!$B$29</f>
        <v/>
      </c>
      <c r="AM172" s="8">
        <f>Revenue_Build!AM9*Assumptions!$B$29</f>
        <v/>
      </c>
      <c r="AN172" s="8">
        <f>Revenue_Build!AN9*Assumptions!$B$29</f>
        <v/>
      </c>
      <c r="AO172" s="8">
        <f>Revenue_Build!AO9*Assumptions!$B$29</f>
        <v/>
      </c>
      <c r="AP172" s="8">
        <f>Revenue_Build!AP9*Assumptions!$B$29</f>
        <v/>
      </c>
      <c r="AQ172" s="8">
        <f>Revenue_Build!AQ9*Assumptions!$B$29</f>
        <v/>
      </c>
      <c r="AR172" s="8">
        <f>Revenue_Build!AR9*Assumptions!$B$29</f>
        <v/>
      </c>
      <c r="AS172" s="8">
        <f>Revenue_Build!AS9*Assumptions!$B$29</f>
        <v/>
      </c>
      <c r="AT172" s="8">
        <f>Revenue_Build!AT9*Assumptions!$B$29</f>
        <v/>
      </c>
      <c r="AU172" s="8">
        <f>Revenue_Build!AU9*Assumptions!$B$29</f>
        <v/>
      </c>
      <c r="AV172" s="8">
        <f>Revenue_Build!AV9*Assumptions!$B$29</f>
        <v/>
      </c>
      <c r="AW172" s="8">
        <f>Revenue_Build!AW9*Assumptions!$B$29</f>
        <v/>
      </c>
      <c r="AX172" s="8">
        <f>Revenue_Build!AX9*Assumptions!$B$29</f>
        <v/>
      </c>
      <c r="AY172" s="8">
        <f>Revenue_Build!AY9*Assumptions!$B$29</f>
        <v/>
      </c>
      <c r="AZ172" s="8">
        <f>Revenue_Build!AZ9*Assumptions!$B$29</f>
        <v/>
      </c>
      <c r="BA172" s="8">
        <f>Revenue_Build!BA9*Assumptions!$B$29</f>
        <v/>
      </c>
      <c r="BB172" s="8">
        <f>Revenue_Build!BB9*Assumptions!$B$29</f>
        <v/>
      </c>
      <c r="BC172" s="8">
        <f>Revenue_Build!BC9*Assumptions!$B$29</f>
        <v/>
      </c>
      <c r="BD172" s="8">
        <f>Revenue_Build!BD9*Assumptions!$B$29</f>
        <v/>
      </c>
      <c r="BE172" s="8">
        <f>Revenue_Build!BE9*Assumptions!$B$29</f>
        <v/>
      </c>
      <c r="BF172" s="8">
        <f>Revenue_Build!BF9*Assumptions!$B$29</f>
        <v/>
      </c>
      <c r="BG172" s="8">
        <f>Revenue_Build!BG9*Assumptions!$B$29</f>
        <v/>
      </c>
      <c r="BH172" s="8">
        <f>Revenue_Build!BH9*Assumptions!$B$29</f>
        <v/>
      </c>
      <c r="BI172" s="8">
        <f>Revenue_Build!BI9*Assumptions!$B$29</f>
        <v/>
      </c>
      <c r="BJ172" s="8">
        <f>Revenue_Build!BJ9*Assumptions!$B$29</f>
        <v/>
      </c>
    </row>
    <row r="173">
      <c r="A173" s="4" t="inlineStr">
        <is>
          <t>Partner programme</t>
        </is>
      </c>
      <c r="B173" s="17" t="inlineStr">
        <is>
          <t>R</t>
        </is>
      </c>
      <c r="C173" s="8">
        <f>Revenue_Build!C8*((Revenue_Build!C126+Revenue_Build!C127+Revenue_Build!C128+Revenue_Build!C129)*Assumptions!$B$187+IF(C$3&gt;=Assumptions!$B$189,Assumptions!$B$188,0))</f>
        <v/>
      </c>
      <c r="D173" s="8">
        <f>Revenue_Build!D8*((Revenue_Build!D126+Revenue_Build!D127+Revenue_Build!D128+Revenue_Build!D129)*Assumptions!$B$187+IF(D$3&gt;=Assumptions!$B$189,Assumptions!$B$188,0))</f>
        <v/>
      </c>
      <c r="E173" s="8">
        <f>Revenue_Build!E8*((Revenue_Build!E126+Revenue_Build!E127+Revenue_Build!E128+Revenue_Build!E129)*Assumptions!$B$187+IF(E$3&gt;=Assumptions!$B$189,Assumptions!$B$188,0))</f>
        <v/>
      </c>
      <c r="F173" s="8">
        <f>Revenue_Build!F8*((Revenue_Build!F126+Revenue_Build!F127+Revenue_Build!F128+Revenue_Build!F129)*Assumptions!$B$187+IF(F$3&gt;=Assumptions!$B$189,Assumptions!$B$188,0))</f>
        <v/>
      </c>
      <c r="G173" s="8">
        <f>Revenue_Build!G8*((Revenue_Build!G126+Revenue_Build!G127+Revenue_Build!G128+Revenue_Build!G129)*Assumptions!$B$187+IF(G$3&gt;=Assumptions!$B$189,Assumptions!$B$188,0))</f>
        <v/>
      </c>
      <c r="H173" s="8">
        <f>Revenue_Build!H8*((Revenue_Build!H126+Revenue_Build!H127+Revenue_Build!H128+Revenue_Build!H129)*Assumptions!$B$187+IF(H$3&gt;=Assumptions!$B$189,Assumptions!$B$188,0))</f>
        <v/>
      </c>
      <c r="I173" s="8">
        <f>Revenue_Build!I8*((Revenue_Build!I126+Revenue_Build!I127+Revenue_Build!I128+Revenue_Build!I129)*Assumptions!$B$187+IF(I$3&gt;=Assumptions!$B$189,Assumptions!$B$188,0))</f>
        <v/>
      </c>
      <c r="J173" s="8">
        <f>Revenue_Build!J8*((Revenue_Build!J126+Revenue_Build!J127+Revenue_Build!J128+Revenue_Build!J129)*Assumptions!$B$187+IF(J$3&gt;=Assumptions!$B$189,Assumptions!$B$188,0))</f>
        <v/>
      </c>
      <c r="K173" s="8">
        <f>Revenue_Build!K8*((Revenue_Build!K126+Revenue_Build!K127+Revenue_Build!K128+Revenue_Build!K129)*Assumptions!$B$187+IF(K$3&gt;=Assumptions!$B$189,Assumptions!$B$188,0))</f>
        <v/>
      </c>
      <c r="L173" s="8">
        <f>Revenue_Build!L8*((Revenue_Build!L126+Revenue_Build!L127+Revenue_Build!L128+Revenue_Build!L129)*Assumptions!$B$187+IF(L$3&gt;=Assumptions!$B$189,Assumptions!$B$188,0))</f>
        <v/>
      </c>
      <c r="M173" s="8">
        <f>Revenue_Build!M8*((Revenue_Build!M126+Revenue_Build!M127+Revenue_Build!M128+Revenue_Build!M129)*Assumptions!$B$187+IF(M$3&gt;=Assumptions!$B$189,Assumptions!$B$188,0))</f>
        <v/>
      </c>
      <c r="N173" s="8">
        <f>Revenue_Build!N8*((Revenue_Build!N126+Revenue_Build!N127+Revenue_Build!N128+Revenue_Build!N129)*Assumptions!$B$187+IF(N$3&gt;=Assumptions!$B$189,Assumptions!$B$188,0))</f>
        <v/>
      </c>
      <c r="O173" s="8">
        <f>Revenue_Build!O8*((Revenue_Build!O126+Revenue_Build!O127+Revenue_Build!O128+Revenue_Build!O129)*Assumptions!$B$187+IF(O$3&gt;=Assumptions!$B$189,Assumptions!$B$188,0))</f>
        <v/>
      </c>
      <c r="P173" s="8">
        <f>Revenue_Build!P8*((Revenue_Build!P126+Revenue_Build!P127+Revenue_Build!P128+Revenue_Build!P129)*Assumptions!$B$187+IF(P$3&gt;=Assumptions!$B$189,Assumptions!$B$188,0))</f>
        <v/>
      </c>
      <c r="Q173" s="8">
        <f>Revenue_Build!Q8*((Revenue_Build!Q126+Revenue_Build!Q127+Revenue_Build!Q128+Revenue_Build!Q129)*Assumptions!$B$187+IF(Q$3&gt;=Assumptions!$B$189,Assumptions!$B$188,0))</f>
        <v/>
      </c>
      <c r="R173" s="8">
        <f>Revenue_Build!R8*((Revenue_Build!R126+Revenue_Build!R127+Revenue_Build!R128+Revenue_Build!R129)*Assumptions!$B$187+IF(R$3&gt;=Assumptions!$B$189,Assumptions!$B$188,0))</f>
        <v/>
      </c>
      <c r="S173" s="8">
        <f>Revenue_Build!S8*((Revenue_Build!S126+Revenue_Build!S127+Revenue_Build!S128+Revenue_Build!S129)*Assumptions!$B$187+IF(S$3&gt;=Assumptions!$B$189,Assumptions!$B$188,0))</f>
        <v/>
      </c>
      <c r="T173" s="8">
        <f>Revenue_Build!T8*((Revenue_Build!T126+Revenue_Build!T127+Revenue_Build!T128+Revenue_Build!T129)*Assumptions!$B$187+IF(T$3&gt;=Assumptions!$B$189,Assumptions!$B$188,0))</f>
        <v/>
      </c>
      <c r="U173" s="8">
        <f>Revenue_Build!U8*((Revenue_Build!U126+Revenue_Build!U127+Revenue_Build!U128+Revenue_Build!U129)*Assumptions!$B$187+IF(U$3&gt;=Assumptions!$B$189,Assumptions!$B$188,0))</f>
        <v/>
      </c>
      <c r="V173" s="8">
        <f>Revenue_Build!V8*((Revenue_Build!V126+Revenue_Build!V127+Revenue_Build!V128+Revenue_Build!V129)*Assumptions!$B$187+IF(V$3&gt;=Assumptions!$B$189,Assumptions!$B$188,0))</f>
        <v/>
      </c>
      <c r="W173" s="8">
        <f>Revenue_Build!W8*((Revenue_Build!W126+Revenue_Build!W127+Revenue_Build!W128+Revenue_Build!W129)*Assumptions!$B$187+IF(W$3&gt;=Assumptions!$B$189,Assumptions!$B$188,0))</f>
        <v/>
      </c>
      <c r="X173" s="8">
        <f>Revenue_Build!X8*((Revenue_Build!X126+Revenue_Build!X127+Revenue_Build!X128+Revenue_Build!X129)*Assumptions!$B$187+IF(X$3&gt;=Assumptions!$B$189,Assumptions!$B$188,0))</f>
        <v/>
      </c>
      <c r="Y173" s="8">
        <f>Revenue_Build!Y8*((Revenue_Build!Y126+Revenue_Build!Y127+Revenue_Build!Y128+Revenue_Build!Y129)*Assumptions!$B$187+IF(Y$3&gt;=Assumptions!$B$189,Assumptions!$B$188,0))</f>
        <v/>
      </c>
      <c r="Z173" s="8">
        <f>Revenue_Build!Z8*((Revenue_Build!Z126+Revenue_Build!Z127+Revenue_Build!Z128+Revenue_Build!Z129)*Assumptions!$B$187+IF(Z$3&gt;=Assumptions!$B$189,Assumptions!$B$188,0))</f>
        <v/>
      </c>
      <c r="AA173" s="8">
        <f>Revenue_Build!AA8*((Revenue_Build!AA126+Revenue_Build!AA127+Revenue_Build!AA128+Revenue_Build!AA129)*Assumptions!$B$187+IF(AA$3&gt;=Assumptions!$B$189,Assumptions!$B$188,0))</f>
        <v/>
      </c>
      <c r="AB173" s="8">
        <f>Revenue_Build!AB8*((Revenue_Build!AB126+Revenue_Build!AB127+Revenue_Build!AB128+Revenue_Build!AB129)*Assumptions!$B$187+IF(AB$3&gt;=Assumptions!$B$189,Assumptions!$B$188,0))</f>
        <v/>
      </c>
      <c r="AC173" s="8">
        <f>Revenue_Build!AC8*((Revenue_Build!AC126+Revenue_Build!AC127+Revenue_Build!AC128+Revenue_Build!AC129)*Assumptions!$B$187+IF(AC$3&gt;=Assumptions!$B$189,Assumptions!$B$188,0))</f>
        <v/>
      </c>
      <c r="AD173" s="8">
        <f>Revenue_Build!AD8*((Revenue_Build!AD126+Revenue_Build!AD127+Revenue_Build!AD128+Revenue_Build!AD129)*Assumptions!$B$187+IF(AD$3&gt;=Assumptions!$B$189,Assumptions!$B$188,0))</f>
        <v/>
      </c>
      <c r="AE173" s="8">
        <f>Revenue_Build!AE8*((Revenue_Build!AE126+Revenue_Build!AE127+Revenue_Build!AE128+Revenue_Build!AE129)*Assumptions!$B$187+IF(AE$3&gt;=Assumptions!$B$189,Assumptions!$B$188,0))</f>
        <v/>
      </c>
      <c r="AF173" s="8">
        <f>Revenue_Build!AF8*((Revenue_Build!AF126+Revenue_Build!AF127+Revenue_Build!AF128+Revenue_Build!AF129)*Assumptions!$B$187+IF(AF$3&gt;=Assumptions!$B$189,Assumptions!$B$188,0))</f>
        <v/>
      </c>
      <c r="AG173" s="8">
        <f>Revenue_Build!AG8*((Revenue_Build!AG126+Revenue_Build!AG127+Revenue_Build!AG128+Revenue_Build!AG129)*Assumptions!$B$187+IF(AG$3&gt;=Assumptions!$B$189,Assumptions!$B$188,0))</f>
        <v/>
      </c>
      <c r="AH173" s="8">
        <f>Revenue_Build!AH8*((Revenue_Build!AH126+Revenue_Build!AH127+Revenue_Build!AH128+Revenue_Build!AH129)*Assumptions!$B$187+IF(AH$3&gt;=Assumptions!$B$189,Assumptions!$B$188,0))</f>
        <v/>
      </c>
      <c r="AI173" s="8">
        <f>Revenue_Build!AI8*((Revenue_Build!AI126+Revenue_Build!AI127+Revenue_Build!AI128+Revenue_Build!AI129)*Assumptions!$B$187+IF(AI$3&gt;=Assumptions!$B$189,Assumptions!$B$188,0))</f>
        <v/>
      </c>
      <c r="AJ173" s="8">
        <f>Revenue_Build!AJ8*((Revenue_Build!AJ126+Revenue_Build!AJ127+Revenue_Build!AJ128+Revenue_Build!AJ129)*Assumptions!$B$187+IF(AJ$3&gt;=Assumptions!$B$189,Assumptions!$B$188,0))</f>
        <v/>
      </c>
      <c r="AK173" s="8">
        <f>Revenue_Build!AK8*((Revenue_Build!AK126+Revenue_Build!AK127+Revenue_Build!AK128+Revenue_Build!AK129)*Assumptions!$B$187+IF(AK$3&gt;=Assumptions!$B$189,Assumptions!$B$188,0))</f>
        <v/>
      </c>
      <c r="AL173" s="8">
        <f>Revenue_Build!AL8*((Revenue_Build!AL126+Revenue_Build!AL127+Revenue_Build!AL128+Revenue_Build!AL129)*Assumptions!$B$187+IF(AL$3&gt;=Assumptions!$B$189,Assumptions!$B$188,0))</f>
        <v/>
      </c>
      <c r="AM173" s="8">
        <f>Revenue_Build!AM8*((Revenue_Build!AM126+Revenue_Build!AM127+Revenue_Build!AM128+Revenue_Build!AM129)*Assumptions!$B$187+IF(AM$3&gt;=Assumptions!$B$189,Assumptions!$B$188,0))</f>
        <v/>
      </c>
      <c r="AN173" s="8">
        <f>Revenue_Build!AN8*((Revenue_Build!AN126+Revenue_Build!AN127+Revenue_Build!AN128+Revenue_Build!AN129)*Assumptions!$B$187+IF(AN$3&gt;=Assumptions!$B$189,Assumptions!$B$188,0))</f>
        <v/>
      </c>
      <c r="AO173" s="8">
        <f>Revenue_Build!AO8*((Revenue_Build!AO126+Revenue_Build!AO127+Revenue_Build!AO128+Revenue_Build!AO129)*Assumptions!$B$187+IF(AO$3&gt;=Assumptions!$B$189,Assumptions!$B$188,0))</f>
        <v/>
      </c>
      <c r="AP173" s="8">
        <f>Revenue_Build!AP8*((Revenue_Build!AP126+Revenue_Build!AP127+Revenue_Build!AP128+Revenue_Build!AP129)*Assumptions!$B$187+IF(AP$3&gt;=Assumptions!$B$189,Assumptions!$B$188,0))</f>
        <v/>
      </c>
      <c r="AQ173" s="8">
        <f>Revenue_Build!AQ8*((Revenue_Build!AQ126+Revenue_Build!AQ127+Revenue_Build!AQ128+Revenue_Build!AQ129)*Assumptions!$B$187+IF(AQ$3&gt;=Assumptions!$B$189,Assumptions!$B$188,0))</f>
        <v/>
      </c>
      <c r="AR173" s="8">
        <f>Revenue_Build!AR8*((Revenue_Build!AR126+Revenue_Build!AR127+Revenue_Build!AR128+Revenue_Build!AR129)*Assumptions!$B$187+IF(AR$3&gt;=Assumptions!$B$189,Assumptions!$B$188,0))</f>
        <v/>
      </c>
      <c r="AS173" s="8">
        <f>Revenue_Build!AS8*((Revenue_Build!AS126+Revenue_Build!AS127+Revenue_Build!AS128+Revenue_Build!AS129)*Assumptions!$B$187+IF(AS$3&gt;=Assumptions!$B$189,Assumptions!$B$188,0))</f>
        <v/>
      </c>
      <c r="AT173" s="8">
        <f>Revenue_Build!AT8*((Revenue_Build!AT126+Revenue_Build!AT127+Revenue_Build!AT128+Revenue_Build!AT129)*Assumptions!$B$187+IF(AT$3&gt;=Assumptions!$B$189,Assumptions!$B$188,0))</f>
        <v/>
      </c>
      <c r="AU173" s="8">
        <f>Revenue_Build!AU8*((Revenue_Build!AU126+Revenue_Build!AU127+Revenue_Build!AU128+Revenue_Build!AU129)*Assumptions!$B$187+IF(AU$3&gt;=Assumptions!$B$189,Assumptions!$B$188,0))</f>
        <v/>
      </c>
      <c r="AV173" s="8">
        <f>Revenue_Build!AV8*((Revenue_Build!AV126+Revenue_Build!AV127+Revenue_Build!AV128+Revenue_Build!AV129)*Assumptions!$B$187+IF(AV$3&gt;=Assumptions!$B$189,Assumptions!$B$188,0))</f>
        <v/>
      </c>
      <c r="AW173" s="8">
        <f>Revenue_Build!AW8*((Revenue_Build!AW126+Revenue_Build!AW127+Revenue_Build!AW128+Revenue_Build!AW129)*Assumptions!$B$187+IF(AW$3&gt;=Assumptions!$B$189,Assumptions!$B$188,0))</f>
        <v/>
      </c>
      <c r="AX173" s="8">
        <f>Revenue_Build!AX8*((Revenue_Build!AX126+Revenue_Build!AX127+Revenue_Build!AX128+Revenue_Build!AX129)*Assumptions!$B$187+IF(AX$3&gt;=Assumptions!$B$189,Assumptions!$B$188,0))</f>
        <v/>
      </c>
      <c r="AY173" s="8">
        <f>Revenue_Build!AY8*((Revenue_Build!AY126+Revenue_Build!AY127+Revenue_Build!AY128+Revenue_Build!AY129)*Assumptions!$B$187+IF(AY$3&gt;=Assumptions!$B$189,Assumptions!$B$188,0))</f>
        <v/>
      </c>
      <c r="AZ173" s="8">
        <f>Revenue_Build!AZ8*((Revenue_Build!AZ126+Revenue_Build!AZ127+Revenue_Build!AZ128+Revenue_Build!AZ129)*Assumptions!$B$187+IF(AZ$3&gt;=Assumptions!$B$189,Assumptions!$B$188,0))</f>
        <v/>
      </c>
      <c r="BA173" s="8">
        <f>Revenue_Build!BA8*((Revenue_Build!BA126+Revenue_Build!BA127+Revenue_Build!BA128+Revenue_Build!BA129)*Assumptions!$B$187+IF(BA$3&gt;=Assumptions!$B$189,Assumptions!$B$188,0))</f>
        <v/>
      </c>
      <c r="BB173" s="8">
        <f>Revenue_Build!BB8*((Revenue_Build!BB126+Revenue_Build!BB127+Revenue_Build!BB128+Revenue_Build!BB129)*Assumptions!$B$187+IF(BB$3&gt;=Assumptions!$B$189,Assumptions!$B$188,0))</f>
        <v/>
      </c>
      <c r="BC173" s="8">
        <f>Revenue_Build!BC8*((Revenue_Build!BC126+Revenue_Build!BC127+Revenue_Build!BC128+Revenue_Build!BC129)*Assumptions!$B$187+IF(BC$3&gt;=Assumptions!$B$189,Assumptions!$B$188,0))</f>
        <v/>
      </c>
      <c r="BD173" s="8">
        <f>Revenue_Build!BD8*((Revenue_Build!BD126+Revenue_Build!BD127+Revenue_Build!BD128+Revenue_Build!BD129)*Assumptions!$B$187+IF(BD$3&gt;=Assumptions!$B$189,Assumptions!$B$188,0))</f>
        <v/>
      </c>
      <c r="BE173" s="8">
        <f>Revenue_Build!BE8*((Revenue_Build!BE126+Revenue_Build!BE127+Revenue_Build!BE128+Revenue_Build!BE129)*Assumptions!$B$187+IF(BE$3&gt;=Assumptions!$B$189,Assumptions!$B$188,0))</f>
        <v/>
      </c>
      <c r="BF173" s="8">
        <f>Revenue_Build!BF8*((Revenue_Build!BF126+Revenue_Build!BF127+Revenue_Build!BF128+Revenue_Build!BF129)*Assumptions!$B$187+IF(BF$3&gt;=Assumptions!$B$189,Assumptions!$B$188,0))</f>
        <v/>
      </c>
      <c r="BG173" s="8">
        <f>Revenue_Build!BG8*((Revenue_Build!BG126+Revenue_Build!BG127+Revenue_Build!BG128+Revenue_Build!BG129)*Assumptions!$B$187+IF(BG$3&gt;=Assumptions!$B$189,Assumptions!$B$188,0))</f>
        <v/>
      </c>
      <c r="BH173" s="8">
        <f>Revenue_Build!BH8*((Revenue_Build!BH126+Revenue_Build!BH127+Revenue_Build!BH128+Revenue_Build!BH129)*Assumptions!$B$187+IF(BH$3&gt;=Assumptions!$B$189,Assumptions!$B$188,0))</f>
        <v/>
      </c>
      <c r="BI173" s="8">
        <f>Revenue_Build!BI8*((Revenue_Build!BI126+Revenue_Build!BI127+Revenue_Build!BI128+Revenue_Build!BI129)*Assumptions!$B$187+IF(BI$3&gt;=Assumptions!$B$189,Assumptions!$B$188,0))</f>
        <v/>
      </c>
      <c r="BJ173" s="8">
        <f>Revenue_Build!BJ8*((Revenue_Build!BJ126+Revenue_Build!BJ127+Revenue_Build!BJ128+Revenue_Build!BJ129)*Assumptions!$B$187+IF(BJ$3&gt;=Assumptions!$B$189,Assumptions!$B$188,0))</f>
        <v/>
      </c>
    </row>
    <row r="174">
      <c r="A174" s="4" t="inlineStr">
        <is>
          <t>Inbound enterprise handling</t>
        </is>
      </c>
      <c r="B174" s="17" t="inlineStr">
        <is>
          <t>R</t>
        </is>
      </c>
      <c r="C174" s="8">
        <f>Revenue_Build!C130*Assumptions!$B$190</f>
        <v/>
      </c>
      <c r="D174" s="8">
        <f>Revenue_Build!D130*Assumptions!$B$190</f>
        <v/>
      </c>
      <c r="E174" s="8">
        <f>Revenue_Build!E130*Assumptions!$B$190</f>
        <v/>
      </c>
      <c r="F174" s="8">
        <f>Revenue_Build!F130*Assumptions!$B$190</f>
        <v/>
      </c>
      <c r="G174" s="8">
        <f>Revenue_Build!G130*Assumptions!$B$190</f>
        <v/>
      </c>
      <c r="H174" s="8">
        <f>Revenue_Build!H130*Assumptions!$B$190</f>
        <v/>
      </c>
      <c r="I174" s="8">
        <f>Revenue_Build!I130*Assumptions!$B$190</f>
        <v/>
      </c>
      <c r="J174" s="8">
        <f>Revenue_Build!J130*Assumptions!$B$190</f>
        <v/>
      </c>
      <c r="K174" s="8">
        <f>Revenue_Build!K130*Assumptions!$B$190</f>
        <v/>
      </c>
      <c r="L174" s="8">
        <f>Revenue_Build!L130*Assumptions!$B$190</f>
        <v/>
      </c>
      <c r="M174" s="8">
        <f>Revenue_Build!M130*Assumptions!$B$190</f>
        <v/>
      </c>
      <c r="N174" s="8">
        <f>Revenue_Build!N130*Assumptions!$B$190</f>
        <v/>
      </c>
      <c r="O174" s="8">
        <f>Revenue_Build!O130*Assumptions!$B$190</f>
        <v/>
      </c>
      <c r="P174" s="8">
        <f>Revenue_Build!P130*Assumptions!$B$190</f>
        <v/>
      </c>
      <c r="Q174" s="8">
        <f>Revenue_Build!Q130*Assumptions!$B$190</f>
        <v/>
      </c>
      <c r="R174" s="8">
        <f>Revenue_Build!R130*Assumptions!$B$190</f>
        <v/>
      </c>
      <c r="S174" s="8">
        <f>Revenue_Build!S130*Assumptions!$B$190</f>
        <v/>
      </c>
      <c r="T174" s="8">
        <f>Revenue_Build!T130*Assumptions!$B$190</f>
        <v/>
      </c>
      <c r="U174" s="8">
        <f>Revenue_Build!U130*Assumptions!$B$190</f>
        <v/>
      </c>
      <c r="V174" s="8">
        <f>Revenue_Build!V130*Assumptions!$B$190</f>
        <v/>
      </c>
      <c r="W174" s="8">
        <f>Revenue_Build!W130*Assumptions!$B$190</f>
        <v/>
      </c>
      <c r="X174" s="8">
        <f>Revenue_Build!X130*Assumptions!$B$190</f>
        <v/>
      </c>
      <c r="Y174" s="8">
        <f>Revenue_Build!Y130*Assumptions!$B$190</f>
        <v/>
      </c>
      <c r="Z174" s="8">
        <f>Revenue_Build!Z130*Assumptions!$B$190</f>
        <v/>
      </c>
      <c r="AA174" s="8">
        <f>Revenue_Build!AA130*Assumptions!$B$190</f>
        <v/>
      </c>
      <c r="AB174" s="8">
        <f>Revenue_Build!AB130*Assumptions!$B$190</f>
        <v/>
      </c>
      <c r="AC174" s="8">
        <f>Revenue_Build!AC130*Assumptions!$B$190</f>
        <v/>
      </c>
      <c r="AD174" s="8">
        <f>Revenue_Build!AD130*Assumptions!$B$190</f>
        <v/>
      </c>
      <c r="AE174" s="8">
        <f>Revenue_Build!AE130*Assumptions!$B$190</f>
        <v/>
      </c>
      <c r="AF174" s="8">
        <f>Revenue_Build!AF130*Assumptions!$B$190</f>
        <v/>
      </c>
      <c r="AG174" s="8">
        <f>Revenue_Build!AG130*Assumptions!$B$190</f>
        <v/>
      </c>
      <c r="AH174" s="8">
        <f>Revenue_Build!AH130*Assumptions!$B$190</f>
        <v/>
      </c>
      <c r="AI174" s="8">
        <f>Revenue_Build!AI130*Assumptions!$B$190</f>
        <v/>
      </c>
      <c r="AJ174" s="8">
        <f>Revenue_Build!AJ130*Assumptions!$B$190</f>
        <v/>
      </c>
      <c r="AK174" s="8">
        <f>Revenue_Build!AK130*Assumptions!$B$190</f>
        <v/>
      </c>
      <c r="AL174" s="8">
        <f>Revenue_Build!AL130*Assumptions!$B$190</f>
        <v/>
      </c>
      <c r="AM174" s="8">
        <f>Revenue_Build!AM130*Assumptions!$B$190</f>
        <v/>
      </c>
      <c r="AN174" s="8">
        <f>Revenue_Build!AN130*Assumptions!$B$190</f>
        <v/>
      </c>
      <c r="AO174" s="8">
        <f>Revenue_Build!AO130*Assumptions!$B$190</f>
        <v/>
      </c>
      <c r="AP174" s="8">
        <f>Revenue_Build!AP130*Assumptions!$B$190</f>
        <v/>
      </c>
      <c r="AQ174" s="8">
        <f>Revenue_Build!AQ130*Assumptions!$B$190</f>
        <v/>
      </c>
      <c r="AR174" s="8">
        <f>Revenue_Build!AR130*Assumptions!$B$190</f>
        <v/>
      </c>
      <c r="AS174" s="8">
        <f>Revenue_Build!AS130*Assumptions!$B$190</f>
        <v/>
      </c>
      <c r="AT174" s="8">
        <f>Revenue_Build!AT130*Assumptions!$B$190</f>
        <v/>
      </c>
      <c r="AU174" s="8">
        <f>Revenue_Build!AU130*Assumptions!$B$190</f>
        <v/>
      </c>
      <c r="AV174" s="8">
        <f>Revenue_Build!AV130*Assumptions!$B$190</f>
        <v/>
      </c>
      <c r="AW174" s="8">
        <f>Revenue_Build!AW130*Assumptions!$B$190</f>
        <v/>
      </c>
      <c r="AX174" s="8">
        <f>Revenue_Build!AX130*Assumptions!$B$190</f>
        <v/>
      </c>
      <c r="AY174" s="8">
        <f>Revenue_Build!AY130*Assumptions!$B$190</f>
        <v/>
      </c>
      <c r="AZ174" s="8">
        <f>Revenue_Build!AZ130*Assumptions!$B$190</f>
        <v/>
      </c>
      <c r="BA174" s="8">
        <f>Revenue_Build!BA130*Assumptions!$B$190</f>
        <v/>
      </c>
      <c r="BB174" s="8">
        <f>Revenue_Build!BB130*Assumptions!$B$190</f>
        <v/>
      </c>
      <c r="BC174" s="8">
        <f>Revenue_Build!BC130*Assumptions!$B$190</f>
        <v/>
      </c>
      <c r="BD174" s="8">
        <f>Revenue_Build!BD130*Assumptions!$B$190</f>
        <v/>
      </c>
      <c r="BE174" s="8">
        <f>Revenue_Build!BE130*Assumptions!$B$190</f>
        <v/>
      </c>
      <c r="BF174" s="8">
        <f>Revenue_Build!BF130*Assumptions!$B$190</f>
        <v/>
      </c>
      <c r="BG174" s="8">
        <f>Revenue_Build!BG130*Assumptions!$B$190</f>
        <v/>
      </c>
      <c r="BH174" s="8">
        <f>Revenue_Build!BH130*Assumptions!$B$190</f>
        <v/>
      </c>
      <c r="BI174" s="8">
        <f>Revenue_Build!BI130*Assumptions!$B$190</f>
        <v/>
      </c>
      <c r="BJ174" s="8">
        <f>Revenue_Build!BJ130*Assumptions!$B$190</f>
        <v/>
      </c>
    </row>
    <row r="175">
      <c r="A175" s="3" t="inlineStr">
        <is>
          <t>Total marketing &amp; sales programmes</t>
        </is>
      </c>
      <c r="B175" s="17" t="inlineStr">
        <is>
          <t>R</t>
        </is>
      </c>
      <c r="C175" s="42">
        <f>C168+C169+C170+C171+C172+C173+C174</f>
        <v/>
      </c>
      <c r="D175" s="42">
        <f>D168+D169+D170+D171+D172+D173+D174</f>
        <v/>
      </c>
      <c r="E175" s="42">
        <f>E168+E169+E170+E171+E172+E173+E174</f>
        <v/>
      </c>
      <c r="F175" s="42">
        <f>F168+F169+F170+F171+F172+F173+F174</f>
        <v/>
      </c>
      <c r="G175" s="42">
        <f>G168+G169+G170+G171+G172+G173+G174</f>
        <v/>
      </c>
      <c r="H175" s="42">
        <f>H168+H169+H170+H171+H172+H173+H174</f>
        <v/>
      </c>
      <c r="I175" s="42">
        <f>I168+I169+I170+I171+I172+I173+I174</f>
        <v/>
      </c>
      <c r="J175" s="42">
        <f>J168+J169+J170+J171+J172+J173+J174</f>
        <v/>
      </c>
      <c r="K175" s="42">
        <f>K168+K169+K170+K171+K172+K173+K174</f>
        <v/>
      </c>
      <c r="L175" s="42">
        <f>L168+L169+L170+L171+L172+L173+L174</f>
        <v/>
      </c>
      <c r="M175" s="42">
        <f>M168+M169+M170+M171+M172+M173+M174</f>
        <v/>
      </c>
      <c r="N175" s="42">
        <f>N168+N169+N170+N171+N172+N173+N174</f>
        <v/>
      </c>
      <c r="O175" s="42">
        <f>O168+O169+O170+O171+O172+O173+O174</f>
        <v/>
      </c>
      <c r="P175" s="42">
        <f>P168+P169+P170+P171+P172+P173+P174</f>
        <v/>
      </c>
      <c r="Q175" s="42">
        <f>Q168+Q169+Q170+Q171+Q172+Q173+Q174</f>
        <v/>
      </c>
      <c r="R175" s="42">
        <f>R168+R169+R170+R171+R172+R173+R174</f>
        <v/>
      </c>
      <c r="S175" s="42">
        <f>S168+S169+S170+S171+S172+S173+S174</f>
        <v/>
      </c>
      <c r="T175" s="42">
        <f>T168+T169+T170+T171+T172+T173+T174</f>
        <v/>
      </c>
      <c r="U175" s="42">
        <f>U168+U169+U170+U171+U172+U173+U174</f>
        <v/>
      </c>
      <c r="V175" s="42">
        <f>V168+V169+V170+V171+V172+V173+V174</f>
        <v/>
      </c>
      <c r="W175" s="42">
        <f>W168+W169+W170+W171+W172+W173+W174</f>
        <v/>
      </c>
      <c r="X175" s="42">
        <f>X168+X169+X170+X171+X172+X173+X174</f>
        <v/>
      </c>
      <c r="Y175" s="42">
        <f>Y168+Y169+Y170+Y171+Y172+Y173+Y174</f>
        <v/>
      </c>
      <c r="Z175" s="42">
        <f>Z168+Z169+Z170+Z171+Z172+Z173+Z174</f>
        <v/>
      </c>
      <c r="AA175" s="42">
        <f>AA168+AA169+AA170+AA171+AA172+AA173+AA174</f>
        <v/>
      </c>
      <c r="AB175" s="42">
        <f>AB168+AB169+AB170+AB171+AB172+AB173+AB174</f>
        <v/>
      </c>
      <c r="AC175" s="42">
        <f>AC168+AC169+AC170+AC171+AC172+AC173+AC174</f>
        <v/>
      </c>
      <c r="AD175" s="42">
        <f>AD168+AD169+AD170+AD171+AD172+AD173+AD174</f>
        <v/>
      </c>
      <c r="AE175" s="42">
        <f>AE168+AE169+AE170+AE171+AE172+AE173+AE174</f>
        <v/>
      </c>
      <c r="AF175" s="42">
        <f>AF168+AF169+AF170+AF171+AF172+AF173+AF174</f>
        <v/>
      </c>
      <c r="AG175" s="42">
        <f>AG168+AG169+AG170+AG171+AG172+AG173+AG174</f>
        <v/>
      </c>
      <c r="AH175" s="42">
        <f>AH168+AH169+AH170+AH171+AH172+AH173+AH174</f>
        <v/>
      </c>
      <c r="AI175" s="42">
        <f>AI168+AI169+AI170+AI171+AI172+AI173+AI174</f>
        <v/>
      </c>
      <c r="AJ175" s="42">
        <f>AJ168+AJ169+AJ170+AJ171+AJ172+AJ173+AJ174</f>
        <v/>
      </c>
      <c r="AK175" s="42">
        <f>AK168+AK169+AK170+AK171+AK172+AK173+AK174</f>
        <v/>
      </c>
      <c r="AL175" s="42">
        <f>AL168+AL169+AL170+AL171+AL172+AL173+AL174</f>
        <v/>
      </c>
      <c r="AM175" s="42">
        <f>AM168+AM169+AM170+AM171+AM172+AM173+AM174</f>
        <v/>
      </c>
      <c r="AN175" s="42">
        <f>AN168+AN169+AN170+AN171+AN172+AN173+AN174</f>
        <v/>
      </c>
      <c r="AO175" s="42">
        <f>AO168+AO169+AO170+AO171+AO172+AO173+AO174</f>
        <v/>
      </c>
      <c r="AP175" s="42">
        <f>AP168+AP169+AP170+AP171+AP172+AP173+AP174</f>
        <v/>
      </c>
      <c r="AQ175" s="42">
        <f>AQ168+AQ169+AQ170+AQ171+AQ172+AQ173+AQ174</f>
        <v/>
      </c>
      <c r="AR175" s="42">
        <f>AR168+AR169+AR170+AR171+AR172+AR173+AR174</f>
        <v/>
      </c>
      <c r="AS175" s="42">
        <f>AS168+AS169+AS170+AS171+AS172+AS173+AS174</f>
        <v/>
      </c>
      <c r="AT175" s="42">
        <f>AT168+AT169+AT170+AT171+AT172+AT173+AT174</f>
        <v/>
      </c>
      <c r="AU175" s="42">
        <f>AU168+AU169+AU170+AU171+AU172+AU173+AU174</f>
        <v/>
      </c>
      <c r="AV175" s="42">
        <f>AV168+AV169+AV170+AV171+AV172+AV173+AV174</f>
        <v/>
      </c>
      <c r="AW175" s="42">
        <f>AW168+AW169+AW170+AW171+AW172+AW173+AW174</f>
        <v/>
      </c>
      <c r="AX175" s="42">
        <f>AX168+AX169+AX170+AX171+AX172+AX173+AX174</f>
        <v/>
      </c>
      <c r="AY175" s="42">
        <f>AY168+AY169+AY170+AY171+AY172+AY173+AY174</f>
        <v/>
      </c>
      <c r="AZ175" s="42">
        <f>AZ168+AZ169+AZ170+AZ171+AZ172+AZ173+AZ174</f>
        <v/>
      </c>
      <c r="BA175" s="42">
        <f>BA168+BA169+BA170+BA171+BA172+BA173+BA174</f>
        <v/>
      </c>
      <c r="BB175" s="42">
        <f>BB168+BB169+BB170+BB171+BB172+BB173+BB174</f>
        <v/>
      </c>
      <c r="BC175" s="42">
        <f>BC168+BC169+BC170+BC171+BC172+BC173+BC174</f>
        <v/>
      </c>
      <c r="BD175" s="42">
        <f>BD168+BD169+BD170+BD171+BD172+BD173+BD174</f>
        <v/>
      </c>
      <c r="BE175" s="42">
        <f>BE168+BE169+BE170+BE171+BE172+BE173+BE174</f>
        <v/>
      </c>
      <c r="BF175" s="42">
        <f>BF168+BF169+BF170+BF171+BF172+BF173+BF174</f>
        <v/>
      </c>
      <c r="BG175" s="42">
        <f>BG168+BG169+BG170+BG171+BG172+BG173+BG174</f>
        <v/>
      </c>
      <c r="BH175" s="42">
        <f>BH168+BH169+BH170+BH171+BH172+BH173+BH174</f>
        <v/>
      </c>
      <c r="BI175" s="42">
        <f>BI168+BI169+BI170+BI171+BI172+BI173+BI174</f>
        <v/>
      </c>
      <c r="BJ175" s="42">
        <f>BJ168+BJ169+BJ170+BJ171+BJ172+BJ173+BJ174</f>
        <v/>
      </c>
    </row>
    <row r="176"/>
    <row r="177">
      <c r="A177" s="19" t="inlineStr">
        <is>
          <t>Operating expenses: G&amp;A, legal &amp; compliance, tools, travel</t>
        </is>
      </c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/>
      <c r="W177" s="19" t="n"/>
      <c r="X177" s="19" t="n"/>
      <c r="Y177" s="19" t="n"/>
      <c r="Z177" s="19" t="n"/>
      <c r="AA177" s="19" t="n"/>
      <c r="AB177" s="19" t="n"/>
      <c r="AC177" s="19" t="n"/>
      <c r="AD177" s="19" t="n"/>
      <c r="AE177" s="19" t="n"/>
      <c r="AF177" s="19" t="n"/>
      <c r="AG177" s="19" t="n"/>
      <c r="AH177" s="19" t="n"/>
      <c r="AI177" s="19" t="n"/>
      <c r="AJ177" s="19" t="n"/>
      <c r="AK177" s="19" t="n"/>
      <c r="AL177" s="19" t="n"/>
      <c r="AM177" s="19" t="n"/>
      <c r="AN177" s="19" t="n"/>
      <c r="AO177" s="19" t="n"/>
      <c r="AP177" s="19" t="n"/>
      <c r="AQ177" s="19" t="n"/>
      <c r="AR177" s="19" t="n"/>
      <c r="AS177" s="19" t="n"/>
      <c r="AT177" s="19" t="n"/>
      <c r="AU177" s="19" t="n"/>
      <c r="AV177" s="19" t="n"/>
      <c r="AW177" s="19" t="n"/>
      <c r="AX177" s="19" t="n"/>
      <c r="AY177" s="19" t="n"/>
      <c r="AZ177" s="19" t="n"/>
      <c r="BA177" s="19" t="n"/>
      <c r="BB177" s="19" t="n"/>
      <c r="BC177" s="19" t="n"/>
      <c r="BD177" s="19" t="n"/>
      <c r="BE177" s="19" t="n"/>
      <c r="BF177" s="19" t="n"/>
      <c r="BG177" s="19" t="n"/>
      <c r="BH177" s="19" t="n"/>
      <c r="BI177" s="19" t="n"/>
      <c r="BJ177" s="19" t="n"/>
    </row>
    <row r="178">
      <c r="A178" s="4" t="inlineStr">
        <is>
          <t>Office / co-working (from seed)</t>
        </is>
      </c>
      <c r="B178" s="17" t="inlineStr">
        <is>
          <t>R</t>
        </is>
      </c>
      <c r="C178" s="8">
        <f>Revenue_Build!C8*C75*Assumptions!$B$191</f>
        <v/>
      </c>
      <c r="D178" s="8">
        <f>Revenue_Build!D8*D75*Assumptions!$B$191</f>
        <v/>
      </c>
      <c r="E178" s="8">
        <f>Revenue_Build!E8*E75*Assumptions!$B$191</f>
        <v/>
      </c>
      <c r="F178" s="8">
        <f>Revenue_Build!F8*F75*Assumptions!$B$191</f>
        <v/>
      </c>
      <c r="G178" s="8">
        <f>Revenue_Build!G8*G75*Assumptions!$B$191</f>
        <v/>
      </c>
      <c r="H178" s="8">
        <f>Revenue_Build!H8*H75*Assumptions!$B$191</f>
        <v/>
      </c>
      <c r="I178" s="8">
        <f>Revenue_Build!I8*I75*Assumptions!$B$191</f>
        <v/>
      </c>
      <c r="J178" s="8">
        <f>Revenue_Build!J8*J75*Assumptions!$B$191</f>
        <v/>
      </c>
      <c r="K178" s="8">
        <f>Revenue_Build!K8*K75*Assumptions!$B$191</f>
        <v/>
      </c>
      <c r="L178" s="8">
        <f>Revenue_Build!L8*L75*Assumptions!$B$191</f>
        <v/>
      </c>
      <c r="M178" s="8">
        <f>Revenue_Build!M8*M75*Assumptions!$B$191</f>
        <v/>
      </c>
      <c r="N178" s="8">
        <f>Revenue_Build!N8*N75*Assumptions!$B$191</f>
        <v/>
      </c>
      <c r="O178" s="8">
        <f>Revenue_Build!O8*O75*Assumptions!$B$191</f>
        <v/>
      </c>
      <c r="P178" s="8">
        <f>Revenue_Build!P8*P75*Assumptions!$B$191</f>
        <v/>
      </c>
      <c r="Q178" s="8">
        <f>Revenue_Build!Q8*Q75*Assumptions!$B$191</f>
        <v/>
      </c>
      <c r="R178" s="8">
        <f>Revenue_Build!R8*R75*Assumptions!$B$191</f>
        <v/>
      </c>
      <c r="S178" s="8">
        <f>Revenue_Build!S8*S75*Assumptions!$B$191</f>
        <v/>
      </c>
      <c r="T178" s="8">
        <f>Revenue_Build!T8*T75*Assumptions!$B$191</f>
        <v/>
      </c>
      <c r="U178" s="8">
        <f>Revenue_Build!U8*U75*Assumptions!$B$191</f>
        <v/>
      </c>
      <c r="V178" s="8">
        <f>Revenue_Build!V8*V75*Assumptions!$B$191</f>
        <v/>
      </c>
      <c r="W178" s="8">
        <f>Revenue_Build!W8*W75*Assumptions!$B$191</f>
        <v/>
      </c>
      <c r="X178" s="8">
        <f>Revenue_Build!X8*X75*Assumptions!$B$191</f>
        <v/>
      </c>
      <c r="Y178" s="8">
        <f>Revenue_Build!Y8*Y75*Assumptions!$B$191</f>
        <v/>
      </c>
      <c r="Z178" s="8">
        <f>Revenue_Build!Z8*Z75*Assumptions!$B$191</f>
        <v/>
      </c>
      <c r="AA178" s="8">
        <f>Revenue_Build!AA8*AA75*Assumptions!$B$191</f>
        <v/>
      </c>
      <c r="AB178" s="8">
        <f>Revenue_Build!AB8*AB75*Assumptions!$B$191</f>
        <v/>
      </c>
      <c r="AC178" s="8">
        <f>Revenue_Build!AC8*AC75*Assumptions!$B$191</f>
        <v/>
      </c>
      <c r="AD178" s="8">
        <f>Revenue_Build!AD8*AD75*Assumptions!$B$191</f>
        <v/>
      </c>
      <c r="AE178" s="8">
        <f>Revenue_Build!AE8*AE75*Assumptions!$B$191</f>
        <v/>
      </c>
      <c r="AF178" s="8">
        <f>Revenue_Build!AF8*AF75*Assumptions!$B$191</f>
        <v/>
      </c>
      <c r="AG178" s="8">
        <f>Revenue_Build!AG8*AG75*Assumptions!$B$191</f>
        <v/>
      </c>
      <c r="AH178" s="8">
        <f>Revenue_Build!AH8*AH75*Assumptions!$B$191</f>
        <v/>
      </c>
      <c r="AI178" s="8">
        <f>Revenue_Build!AI8*AI75*Assumptions!$B$191</f>
        <v/>
      </c>
      <c r="AJ178" s="8">
        <f>Revenue_Build!AJ8*AJ75*Assumptions!$B$191</f>
        <v/>
      </c>
      <c r="AK178" s="8">
        <f>Revenue_Build!AK8*AK75*Assumptions!$B$191</f>
        <v/>
      </c>
      <c r="AL178" s="8">
        <f>Revenue_Build!AL8*AL75*Assumptions!$B$191</f>
        <v/>
      </c>
      <c r="AM178" s="8">
        <f>Revenue_Build!AM8*AM75*Assumptions!$B$191</f>
        <v/>
      </c>
      <c r="AN178" s="8">
        <f>Revenue_Build!AN8*AN75*Assumptions!$B$191</f>
        <v/>
      </c>
      <c r="AO178" s="8">
        <f>Revenue_Build!AO8*AO75*Assumptions!$B$191</f>
        <v/>
      </c>
      <c r="AP178" s="8">
        <f>Revenue_Build!AP8*AP75*Assumptions!$B$191</f>
        <v/>
      </c>
      <c r="AQ178" s="8">
        <f>Revenue_Build!AQ8*AQ75*Assumptions!$B$191</f>
        <v/>
      </c>
      <c r="AR178" s="8">
        <f>Revenue_Build!AR8*AR75*Assumptions!$B$191</f>
        <v/>
      </c>
      <c r="AS178" s="8">
        <f>Revenue_Build!AS8*AS75*Assumptions!$B$191</f>
        <v/>
      </c>
      <c r="AT178" s="8">
        <f>Revenue_Build!AT8*AT75*Assumptions!$B$191</f>
        <v/>
      </c>
      <c r="AU178" s="8">
        <f>Revenue_Build!AU8*AU75*Assumptions!$B$191</f>
        <v/>
      </c>
      <c r="AV178" s="8">
        <f>Revenue_Build!AV8*AV75*Assumptions!$B$191</f>
        <v/>
      </c>
      <c r="AW178" s="8">
        <f>Revenue_Build!AW8*AW75*Assumptions!$B$191</f>
        <v/>
      </c>
      <c r="AX178" s="8">
        <f>Revenue_Build!AX8*AX75*Assumptions!$B$191</f>
        <v/>
      </c>
      <c r="AY178" s="8">
        <f>Revenue_Build!AY8*AY75*Assumptions!$B$191</f>
        <v/>
      </c>
      <c r="AZ178" s="8">
        <f>Revenue_Build!AZ8*AZ75*Assumptions!$B$191</f>
        <v/>
      </c>
      <c r="BA178" s="8">
        <f>Revenue_Build!BA8*BA75*Assumptions!$B$191</f>
        <v/>
      </c>
      <c r="BB178" s="8">
        <f>Revenue_Build!BB8*BB75*Assumptions!$B$191</f>
        <v/>
      </c>
      <c r="BC178" s="8">
        <f>Revenue_Build!BC8*BC75*Assumptions!$B$191</f>
        <v/>
      </c>
      <c r="BD178" s="8">
        <f>Revenue_Build!BD8*BD75*Assumptions!$B$191</f>
        <v/>
      </c>
      <c r="BE178" s="8">
        <f>Revenue_Build!BE8*BE75*Assumptions!$B$191</f>
        <v/>
      </c>
      <c r="BF178" s="8">
        <f>Revenue_Build!BF8*BF75*Assumptions!$B$191</f>
        <v/>
      </c>
      <c r="BG178" s="8">
        <f>Revenue_Build!BG8*BG75*Assumptions!$B$191</f>
        <v/>
      </c>
      <c r="BH178" s="8">
        <f>Revenue_Build!BH8*BH75*Assumptions!$B$191</f>
        <v/>
      </c>
      <c r="BI178" s="8">
        <f>Revenue_Build!BI8*BI75*Assumptions!$B$191</f>
        <v/>
      </c>
      <c r="BJ178" s="8">
        <f>Revenue_Build!BJ8*BJ75*Assumptions!$B$191</f>
        <v/>
      </c>
    </row>
    <row r="179">
      <c r="A179" s="4" t="inlineStr">
        <is>
          <t>Fixed G&amp;A (lean overheads before seed)</t>
        </is>
      </c>
      <c r="B179" s="17" t="inlineStr">
        <is>
          <t>R</t>
        </is>
      </c>
      <c r="C179" s="8">
        <f>IF(Revenue_Build!C8=1,CHOOSE(C$5,Assumptions!$B$192,Assumptions!$B$193,Assumptions!$B$194,Assumptions!$B$195,Assumptions!$B$196),Assumptions!$B$31)</f>
        <v/>
      </c>
      <c r="D179" s="8">
        <f>IF(Revenue_Build!D8=1,CHOOSE(D$5,Assumptions!$B$192,Assumptions!$B$193,Assumptions!$B$194,Assumptions!$B$195,Assumptions!$B$196),Assumptions!$B$31)</f>
        <v/>
      </c>
      <c r="E179" s="8">
        <f>IF(Revenue_Build!E8=1,CHOOSE(E$5,Assumptions!$B$192,Assumptions!$B$193,Assumptions!$B$194,Assumptions!$B$195,Assumptions!$B$196),Assumptions!$B$31)</f>
        <v/>
      </c>
      <c r="F179" s="8">
        <f>IF(Revenue_Build!F8=1,CHOOSE(F$5,Assumptions!$B$192,Assumptions!$B$193,Assumptions!$B$194,Assumptions!$B$195,Assumptions!$B$196),Assumptions!$B$31)</f>
        <v/>
      </c>
      <c r="G179" s="8">
        <f>IF(Revenue_Build!G8=1,CHOOSE(G$5,Assumptions!$B$192,Assumptions!$B$193,Assumptions!$B$194,Assumptions!$B$195,Assumptions!$B$196),Assumptions!$B$31)</f>
        <v/>
      </c>
      <c r="H179" s="8">
        <f>IF(Revenue_Build!H8=1,CHOOSE(H$5,Assumptions!$B$192,Assumptions!$B$193,Assumptions!$B$194,Assumptions!$B$195,Assumptions!$B$196),Assumptions!$B$31)</f>
        <v/>
      </c>
      <c r="I179" s="8">
        <f>IF(Revenue_Build!I8=1,CHOOSE(I$5,Assumptions!$B$192,Assumptions!$B$193,Assumptions!$B$194,Assumptions!$B$195,Assumptions!$B$196),Assumptions!$B$31)</f>
        <v/>
      </c>
      <c r="J179" s="8">
        <f>IF(Revenue_Build!J8=1,CHOOSE(J$5,Assumptions!$B$192,Assumptions!$B$193,Assumptions!$B$194,Assumptions!$B$195,Assumptions!$B$196),Assumptions!$B$31)</f>
        <v/>
      </c>
      <c r="K179" s="8">
        <f>IF(Revenue_Build!K8=1,CHOOSE(K$5,Assumptions!$B$192,Assumptions!$B$193,Assumptions!$B$194,Assumptions!$B$195,Assumptions!$B$196),Assumptions!$B$31)</f>
        <v/>
      </c>
      <c r="L179" s="8">
        <f>IF(Revenue_Build!L8=1,CHOOSE(L$5,Assumptions!$B$192,Assumptions!$B$193,Assumptions!$B$194,Assumptions!$B$195,Assumptions!$B$196),Assumptions!$B$31)</f>
        <v/>
      </c>
      <c r="M179" s="8">
        <f>IF(Revenue_Build!M8=1,CHOOSE(M$5,Assumptions!$B$192,Assumptions!$B$193,Assumptions!$B$194,Assumptions!$B$195,Assumptions!$B$196),Assumptions!$B$31)</f>
        <v/>
      </c>
      <c r="N179" s="8">
        <f>IF(Revenue_Build!N8=1,CHOOSE(N$5,Assumptions!$B$192,Assumptions!$B$193,Assumptions!$B$194,Assumptions!$B$195,Assumptions!$B$196),Assumptions!$B$31)</f>
        <v/>
      </c>
      <c r="O179" s="8">
        <f>IF(Revenue_Build!O8=1,CHOOSE(O$5,Assumptions!$B$192,Assumptions!$B$193,Assumptions!$B$194,Assumptions!$B$195,Assumptions!$B$196),Assumptions!$B$31)</f>
        <v/>
      </c>
      <c r="P179" s="8">
        <f>IF(Revenue_Build!P8=1,CHOOSE(P$5,Assumptions!$B$192,Assumptions!$B$193,Assumptions!$B$194,Assumptions!$B$195,Assumptions!$B$196),Assumptions!$B$31)</f>
        <v/>
      </c>
      <c r="Q179" s="8">
        <f>IF(Revenue_Build!Q8=1,CHOOSE(Q$5,Assumptions!$B$192,Assumptions!$B$193,Assumptions!$B$194,Assumptions!$B$195,Assumptions!$B$196),Assumptions!$B$31)</f>
        <v/>
      </c>
      <c r="R179" s="8">
        <f>IF(Revenue_Build!R8=1,CHOOSE(R$5,Assumptions!$B$192,Assumptions!$B$193,Assumptions!$B$194,Assumptions!$B$195,Assumptions!$B$196),Assumptions!$B$31)</f>
        <v/>
      </c>
      <c r="S179" s="8">
        <f>IF(Revenue_Build!S8=1,CHOOSE(S$5,Assumptions!$B$192,Assumptions!$B$193,Assumptions!$B$194,Assumptions!$B$195,Assumptions!$B$196),Assumptions!$B$31)</f>
        <v/>
      </c>
      <c r="T179" s="8">
        <f>IF(Revenue_Build!T8=1,CHOOSE(T$5,Assumptions!$B$192,Assumptions!$B$193,Assumptions!$B$194,Assumptions!$B$195,Assumptions!$B$196),Assumptions!$B$31)</f>
        <v/>
      </c>
      <c r="U179" s="8">
        <f>IF(Revenue_Build!U8=1,CHOOSE(U$5,Assumptions!$B$192,Assumptions!$B$193,Assumptions!$B$194,Assumptions!$B$195,Assumptions!$B$196),Assumptions!$B$31)</f>
        <v/>
      </c>
      <c r="V179" s="8">
        <f>IF(Revenue_Build!V8=1,CHOOSE(V$5,Assumptions!$B$192,Assumptions!$B$193,Assumptions!$B$194,Assumptions!$B$195,Assumptions!$B$196),Assumptions!$B$31)</f>
        <v/>
      </c>
      <c r="W179" s="8">
        <f>IF(Revenue_Build!W8=1,CHOOSE(W$5,Assumptions!$B$192,Assumptions!$B$193,Assumptions!$B$194,Assumptions!$B$195,Assumptions!$B$196),Assumptions!$B$31)</f>
        <v/>
      </c>
      <c r="X179" s="8">
        <f>IF(Revenue_Build!X8=1,CHOOSE(X$5,Assumptions!$B$192,Assumptions!$B$193,Assumptions!$B$194,Assumptions!$B$195,Assumptions!$B$196),Assumptions!$B$31)</f>
        <v/>
      </c>
      <c r="Y179" s="8">
        <f>IF(Revenue_Build!Y8=1,CHOOSE(Y$5,Assumptions!$B$192,Assumptions!$B$193,Assumptions!$B$194,Assumptions!$B$195,Assumptions!$B$196),Assumptions!$B$31)</f>
        <v/>
      </c>
      <c r="Z179" s="8">
        <f>IF(Revenue_Build!Z8=1,CHOOSE(Z$5,Assumptions!$B$192,Assumptions!$B$193,Assumptions!$B$194,Assumptions!$B$195,Assumptions!$B$196),Assumptions!$B$31)</f>
        <v/>
      </c>
      <c r="AA179" s="8">
        <f>IF(Revenue_Build!AA8=1,CHOOSE(AA$5,Assumptions!$B$192,Assumptions!$B$193,Assumptions!$B$194,Assumptions!$B$195,Assumptions!$B$196),Assumptions!$B$31)</f>
        <v/>
      </c>
      <c r="AB179" s="8">
        <f>IF(Revenue_Build!AB8=1,CHOOSE(AB$5,Assumptions!$B$192,Assumptions!$B$193,Assumptions!$B$194,Assumptions!$B$195,Assumptions!$B$196),Assumptions!$B$31)</f>
        <v/>
      </c>
      <c r="AC179" s="8">
        <f>IF(Revenue_Build!AC8=1,CHOOSE(AC$5,Assumptions!$B$192,Assumptions!$B$193,Assumptions!$B$194,Assumptions!$B$195,Assumptions!$B$196),Assumptions!$B$31)</f>
        <v/>
      </c>
      <c r="AD179" s="8">
        <f>IF(Revenue_Build!AD8=1,CHOOSE(AD$5,Assumptions!$B$192,Assumptions!$B$193,Assumptions!$B$194,Assumptions!$B$195,Assumptions!$B$196),Assumptions!$B$31)</f>
        <v/>
      </c>
      <c r="AE179" s="8">
        <f>IF(Revenue_Build!AE8=1,CHOOSE(AE$5,Assumptions!$B$192,Assumptions!$B$193,Assumptions!$B$194,Assumptions!$B$195,Assumptions!$B$196),Assumptions!$B$31)</f>
        <v/>
      </c>
      <c r="AF179" s="8">
        <f>IF(Revenue_Build!AF8=1,CHOOSE(AF$5,Assumptions!$B$192,Assumptions!$B$193,Assumptions!$B$194,Assumptions!$B$195,Assumptions!$B$196),Assumptions!$B$31)</f>
        <v/>
      </c>
      <c r="AG179" s="8">
        <f>IF(Revenue_Build!AG8=1,CHOOSE(AG$5,Assumptions!$B$192,Assumptions!$B$193,Assumptions!$B$194,Assumptions!$B$195,Assumptions!$B$196),Assumptions!$B$31)</f>
        <v/>
      </c>
      <c r="AH179" s="8">
        <f>IF(Revenue_Build!AH8=1,CHOOSE(AH$5,Assumptions!$B$192,Assumptions!$B$193,Assumptions!$B$194,Assumptions!$B$195,Assumptions!$B$196),Assumptions!$B$31)</f>
        <v/>
      </c>
      <c r="AI179" s="8">
        <f>IF(Revenue_Build!AI8=1,CHOOSE(AI$5,Assumptions!$B$192,Assumptions!$B$193,Assumptions!$B$194,Assumptions!$B$195,Assumptions!$B$196),Assumptions!$B$31)</f>
        <v/>
      </c>
      <c r="AJ179" s="8">
        <f>IF(Revenue_Build!AJ8=1,CHOOSE(AJ$5,Assumptions!$B$192,Assumptions!$B$193,Assumptions!$B$194,Assumptions!$B$195,Assumptions!$B$196),Assumptions!$B$31)</f>
        <v/>
      </c>
      <c r="AK179" s="8">
        <f>IF(Revenue_Build!AK8=1,CHOOSE(AK$5,Assumptions!$B$192,Assumptions!$B$193,Assumptions!$B$194,Assumptions!$B$195,Assumptions!$B$196),Assumptions!$B$31)</f>
        <v/>
      </c>
      <c r="AL179" s="8">
        <f>IF(Revenue_Build!AL8=1,CHOOSE(AL$5,Assumptions!$B$192,Assumptions!$B$193,Assumptions!$B$194,Assumptions!$B$195,Assumptions!$B$196),Assumptions!$B$31)</f>
        <v/>
      </c>
      <c r="AM179" s="8">
        <f>IF(Revenue_Build!AM8=1,CHOOSE(AM$5,Assumptions!$B$192,Assumptions!$B$193,Assumptions!$B$194,Assumptions!$B$195,Assumptions!$B$196),Assumptions!$B$31)</f>
        <v/>
      </c>
      <c r="AN179" s="8">
        <f>IF(Revenue_Build!AN8=1,CHOOSE(AN$5,Assumptions!$B$192,Assumptions!$B$193,Assumptions!$B$194,Assumptions!$B$195,Assumptions!$B$196),Assumptions!$B$31)</f>
        <v/>
      </c>
      <c r="AO179" s="8">
        <f>IF(Revenue_Build!AO8=1,CHOOSE(AO$5,Assumptions!$B$192,Assumptions!$B$193,Assumptions!$B$194,Assumptions!$B$195,Assumptions!$B$196),Assumptions!$B$31)</f>
        <v/>
      </c>
      <c r="AP179" s="8">
        <f>IF(Revenue_Build!AP8=1,CHOOSE(AP$5,Assumptions!$B$192,Assumptions!$B$193,Assumptions!$B$194,Assumptions!$B$195,Assumptions!$B$196),Assumptions!$B$31)</f>
        <v/>
      </c>
      <c r="AQ179" s="8">
        <f>IF(Revenue_Build!AQ8=1,CHOOSE(AQ$5,Assumptions!$B$192,Assumptions!$B$193,Assumptions!$B$194,Assumptions!$B$195,Assumptions!$B$196),Assumptions!$B$31)</f>
        <v/>
      </c>
      <c r="AR179" s="8">
        <f>IF(Revenue_Build!AR8=1,CHOOSE(AR$5,Assumptions!$B$192,Assumptions!$B$193,Assumptions!$B$194,Assumptions!$B$195,Assumptions!$B$196),Assumptions!$B$31)</f>
        <v/>
      </c>
      <c r="AS179" s="8">
        <f>IF(Revenue_Build!AS8=1,CHOOSE(AS$5,Assumptions!$B$192,Assumptions!$B$193,Assumptions!$B$194,Assumptions!$B$195,Assumptions!$B$196),Assumptions!$B$31)</f>
        <v/>
      </c>
      <c r="AT179" s="8">
        <f>IF(Revenue_Build!AT8=1,CHOOSE(AT$5,Assumptions!$B$192,Assumptions!$B$193,Assumptions!$B$194,Assumptions!$B$195,Assumptions!$B$196),Assumptions!$B$31)</f>
        <v/>
      </c>
      <c r="AU179" s="8">
        <f>IF(Revenue_Build!AU8=1,CHOOSE(AU$5,Assumptions!$B$192,Assumptions!$B$193,Assumptions!$B$194,Assumptions!$B$195,Assumptions!$B$196),Assumptions!$B$31)</f>
        <v/>
      </c>
      <c r="AV179" s="8">
        <f>IF(Revenue_Build!AV8=1,CHOOSE(AV$5,Assumptions!$B$192,Assumptions!$B$193,Assumptions!$B$194,Assumptions!$B$195,Assumptions!$B$196),Assumptions!$B$31)</f>
        <v/>
      </c>
      <c r="AW179" s="8">
        <f>IF(Revenue_Build!AW8=1,CHOOSE(AW$5,Assumptions!$B$192,Assumptions!$B$193,Assumptions!$B$194,Assumptions!$B$195,Assumptions!$B$196),Assumptions!$B$31)</f>
        <v/>
      </c>
      <c r="AX179" s="8">
        <f>IF(Revenue_Build!AX8=1,CHOOSE(AX$5,Assumptions!$B$192,Assumptions!$B$193,Assumptions!$B$194,Assumptions!$B$195,Assumptions!$B$196),Assumptions!$B$31)</f>
        <v/>
      </c>
      <c r="AY179" s="8">
        <f>IF(Revenue_Build!AY8=1,CHOOSE(AY$5,Assumptions!$B$192,Assumptions!$B$193,Assumptions!$B$194,Assumptions!$B$195,Assumptions!$B$196),Assumptions!$B$31)</f>
        <v/>
      </c>
      <c r="AZ179" s="8">
        <f>IF(Revenue_Build!AZ8=1,CHOOSE(AZ$5,Assumptions!$B$192,Assumptions!$B$193,Assumptions!$B$194,Assumptions!$B$195,Assumptions!$B$196),Assumptions!$B$31)</f>
        <v/>
      </c>
      <c r="BA179" s="8">
        <f>IF(Revenue_Build!BA8=1,CHOOSE(BA$5,Assumptions!$B$192,Assumptions!$B$193,Assumptions!$B$194,Assumptions!$B$195,Assumptions!$B$196),Assumptions!$B$31)</f>
        <v/>
      </c>
      <c r="BB179" s="8">
        <f>IF(Revenue_Build!BB8=1,CHOOSE(BB$5,Assumptions!$B$192,Assumptions!$B$193,Assumptions!$B$194,Assumptions!$B$195,Assumptions!$B$196),Assumptions!$B$31)</f>
        <v/>
      </c>
      <c r="BC179" s="8">
        <f>IF(Revenue_Build!BC8=1,CHOOSE(BC$5,Assumptions!$B$192,Assumptions!$B$193,Assumptions!$B$194,Assumptions!$B$195,Assumptions!$B$196),Assumptions!$B$31)</f>
        <v/>
      </c>
      <c r="BD179" s="8">
        <f>IF(Revenue_Build!BD8=1,CHOOSE(BD$5,Assumptions!$B$192,Assumptions!$B$193,Assumptions!$B$194,Assumptions!$B$195,Assumptions!$B$196),Assumptions!$B$31)</f>
        <v/>
      </c>
      <c r="BE179" s="8">
        <f>IF(Revenue_Build!BE8=1,CHOOSE(BE$5,Assumptions!$B$192,Assumptions!$B$193,Assumptions!$B$194,Assumptions!$B$195,Assumptions!$B$196),Assumptions!$B$31)</f>
        <v/>
      </c>
      <c r="BF179" s="8">
        <f>IF(Revenue_Build!BF8=1,CHOOSE(BF$5,Assumptions!$B$192,Assumptions!$B$193,Assumptions!$B$194,Assumptions!$B$195,Assumptions!$B$196),Assumptions!$B$31)</f>
        <v/>
      </c>
      <c r="BG179" s="8">
        <f>IF(Revenue_Build!BG8=1,CHOOSE(BG$5,Assumptions!$B$192,Assumptions!$B$193,Assumptions!$B$194,Assumptions!$B$195,Assumptions!$B$196),Assumptions!$B$31)</f>
        <v/>
      </c>
      <c r="BH179" s="8">
        <f>IF(Revenue_Build!BH8=1,CHOOSE(BH$5,Assumptions!$B$192,Assumptions!$B$193,Assumptions!$B$194,Assumptions!$B$195,Assumptions!$B$196),Assumptions!$B$31)</f>
        <v/>
      </c>
      <c r="BI179" s="8">
        <f>IF(Revenue_Build!BI8=1,CHOOSE(BI$5,Assumptions!$B$192,Assumptions!$B$193,Assumptions!$B$194,Assumptions!$B$195,Assumptions!$B$196),Assumptions!$B$31)</f>
        <v/>
      </c>
      <c r="BJ179" s="8">
        <f>IF(Revenue_Build!BJ8=1,CHOOSE(BJ$5,Assumptions!$B$192,Assumptions!$B$193,Assumptions!$B$194,Assumptions!$B$195,Assumptions!$B$196),Assumptions!$B$31)</f>
        <v/>
      </c>
    </row>
    <row r="180">
      <c r="A180" s="4" t="inlineStr">
        <is>
          <t>Equipment for new hires</t>
        </is>
      </c>
      <c r="B180" s="17" t="inlineStr">
        <is>
          <t>R</t>
        </is>
      </c>
      <c r="C180" s="8">
        <f>C76*Assumptions!$B$197</f>
        <v/>
      </c>
      <c r="D180" s="8">
        <f>D76*Assumptions!$B$197</f>
        <v/>
      </c>
      <c r="E180" s="8">
        <f>E76*Assumptions!$B$197</f>
        <v/>
      </c>
      <c r="F180" s="8">
        <f>F76*Assumptions!$B$197</f>
        <v/>
      </c>
      <c r="G180" s="8">
        <f>G76*Assumptions!$B$197</f>
        <v/>
      </c>
      <c r="H180" s="8">
        <f>H76*Assumptions!$B$197</f>
        <v/>
      </c>
      <c r="I180" s="8">
        <f>I76*Assumptions!$B$197</f>
        <v/>
      </c>
      <c r="J180" s="8">
        <f>J76*Assumptions!$B$197</f>
        <v/>
      </c>
      <c r="K180" s="8">
        <f>K76*Assumptions!$B$197</f>
        <v/>
      </c>
      <c r="L180" s="8">
        <f>L76*Assumptions!$B$197</f>
        <v/>
      </c>
      <c r="M180" s="8">
        <f>M76*Assumptions!$B$197</f>
        <v/>
      </c>
      <c r="N180" s="8">
        <f>N76*Assumptions!$B$197</f>
        <v/>
      </c>
      <c r="O180" s="8">
        <f>O76*Assumptions!$B$197</f>
        <v/>
      </c>
      <c r="P180" s="8">
        <f>P76*Assumptions!$B$197</f>
        <v/>
      </c>
      <c r="Q180" s="8">
        <f>Q76*Assumptions!$B$197</f>
        <v/>
      </c>
      <c r="R180" s="8">
        <f>R76*Assumptions!$B$197</f>
        <v/>
      </c>
      <c r="S180" s="8">
        <f>S76*Assumptions!$B$197</f>
        <v/>
      </c>
      <c r="T180" s="8">
        <f>T76*Assumptions!$B$197</f>
        <v/>
      </c>
      <c r="U180" s="8">
        <f>U76*Assumptions!$B$197</f>
        <v/>
      </c>
      <c r="V180" s="8">
        <f>V76*Assumptions!$B$197</f>
        <v/>
      </c>
      <c r="W180" s="8">
        <f>W76*Assumptions!$B$197</f>
        <v/>
      </c>
      <c r="X180" s="8">
        <f>X76*Assumptions!$B$197</f>
        <v/>
      </c>
      <c r="Y180" s="8">
        <f>Y76*Assumptions!$B$197</f>
        <v/>
      </c>
      <c r="Z180" s="8">
        <f>Z76*Assumptions!$B$197</f>
        <v/>
      </c>
      <c r="AA180" s="8">
        <f>AA76*Assumptions!$B$197</f>
        <v/>
      </c>
      <c r="AB180" s="8">
        <f>AB76*Assumptions!$B$197</f>
        <v/>
      </c>
      <c r="AC180" s="8">
        <f>AC76*Assumptions!$B$197</f>
        <v/>
      </c>
      <c r="AD180" s="8">
        <f>AD76*Assumptions!$B$197</f>
        <v/>
      </c>
      <c r="AE180" s="8">
        <f>AE76*Assumptions!$B$197</f>
        <v/>
      </c>
      <c r="AF180" s="8">
        <f>AF76*Assumptions!$B$197</f>
        <v/>
      </c>
      <c r="AG180" s="8">
        <f>AG76*Assumptions!$B$197</f>
        <v/>
      </c>
      <c r="AH180" s="8">
        <f>AH76*Assumptions!$B$197</f>
        <v/>
      </c>
      <c r="AI180" s="8">
        <f>AI76*Assumptions!$B$197</f>
        <v/>
      </c>
      <c r="AJ180" s="8">
        <f>AJ76*Assumptions!$B$197</f>
        <v/>
      </c>
      <c r="AK180" s="8">
        <f>AK76*Assumptions!$B$197</f>
        <v/>
      </c>
      <c r="AL180" s="8">
        <f>AL76*Assumptions!$B$197</f>
        <v/>
      </c>
      <c r="AM180" s="8">
        <f>AM76*Assumptions!$B$197</f>
        <v/>
      </c>
      <c r="AN180" s="8">
        <f>AN76*Assumptions!$B$197</f>
        <v/>
      </c>
      <c r="AO180" s="8">
        <f>AO76*Assumptions!$B$197</f>
        <v/>
      </c>
      <c r="AP180" s="8">
        <f>AP76*Assumptions!$B$197</f>
        <v/>
      </c>
      <c r="AQ180" s="8">
        <f>AQ76*Assumptions!$B$197</f>
        <v/>
      </c>
      <c r="AR180" s="8">
        <f>AR76*Assumptions!$B$197</f>
        <v/>
      </c>
      <c r="AS180" s="8">
        <f>AS76*Assumptions!$B$197</f>
        <v/>
      </c>
      <c r="AT180" s="8">
        <f>AT76*Assumptions!$B$197</f>
        <v/>
      </c>
      <c r="AU180" s="8">
        <f>AU76*Assumptions!$B$197</f>
        <v/>
      </c>
      <c r="AV180" s="8">
        <f>AV76*Assumptions!$B$197</f>
        <v/>
      </c>
      <c r="AW180" s="8">
        <f>AW76*Assumptions!$B$197</f>
        <v/>
      </c>
      <c r="AX180" s="8">
        <f>AX76*Assumptions!$B$197</f>
        <v/>
      </c>
      <c r="AY180" s="8">
        <f>AY76*Assumptions!$B$197</f>
        <v/>
      </c>
      <c r="AZ180" s="8">
        <f>AZ76*Assumptions!$B$197</f>
        <v/>
      </c>
      <c r="BA180" s="8">
        <f>BA76*Assumptions!$B$197</f>
        <v/>
      </c>
      <c r="BB180" s="8">
        <f>BB76*Assumptions!$B$197</f>
        <v/>
      </c>
      <c r="BC180" s="8">
        <f>BC76*Assumptions!$B$197</f>
        <v/>
      </c>
      <c r="BD180" s="8">
        <f>BD76*Assumptions!$B$197</f>
        <v/>
      </c>
      <c r="BE180" s="8">
        <f>BE76*Assumptions!$B$197</f>
        <v/>
      </c>
      <c r="BF180" s="8">
        <f>BF76*Assumptions!$B$197</f>
        <v/>
      </c>
      <c r="BG180" s="8">
        <f>BG76*Assumptions!$B$197</f>
        <v/>
      </c>
      <c r="BH180" s="8">
        <f>BH76*Assumptions!$B$197</f>
        <v/>
      </c>
      <c r="BI180" s="8">
        <f>BI76*Assumptions!$B$197</f>
        <v/>
      </c>
      <c r="BJ180" s="8">
        <f>BJ76*Assumptions!$B$197</f>
        <v/>
      </c>
    </row>
    <row r="181">
      <c r="A181" s="3" t="inlineStr">
        <is>
          <t>Total G&amp;A (non-payroll)</t>
        </is>
      </c>
      <c r="B181" s="17" t="inlineStr">
        <is>
          <t>R</t>
        </is>
      </c>
      <c r="C181" s="42">
        <f>C178+C179+C180</f>
        <v/>
      </c>
      <c r="D181" s="42">
        <f>D178+D179+D180</f>
        <v/>
      </c>
      <c r="E181" s="42">
        <f>E178+E179+E180</f>
        <v/>
      </c>
      <c r="F181" s="42">
        <f>F178+F179+F180</f>
        <v/>
      </c>
      <c r="G181" s="42">
        <f>G178+G179+G180</f>
        <v/>
      </c>
      <c r="H181" s="42">
        <f>H178+H179+H180</f>
        <v/>
      </c>
      <c r="I181" s="42">
        <f>I178+I179+I180</f>
        <v/>
      </c>
      <c r="J181" s="42">
        <f>J178+J179+J180</f>
        <v/>
      </c>
      <c r="K181" s="42">
        <f>K178+K179+K180</f>
        <v/>
      </c>
      <c r="L181" s="42">
        <f>L178+L179+L180</f>
        <v/>
      </c>
      <c r="M181" s="42">
        <f>M178+M179+M180</f>
        <v/>
      </c>
      <c r="N181" s="42">
        <f>N178+N179+N180</f>
        <v/>
      </c>
      <c r="O181" s="42">
        <f>O178+O179+O180</f>
        <v/>
      </c>
      <c r="P181" s="42">
        <f>P178+P179+P180</f>
        <v/>
      </c>
      <c r="Q181" s="42">
        <f>Q178+Q179+Q180</f>
        <v/>
      </c>
      <c r="R181" s="42">
        <f>R178+R179+R180</f>
        <v/>
      </c>
      <c r="S181" s="42">
        <f>S178+S179+S180</f>
        <v/>
      </c>
      <c r="T181" s="42">
        <f>T178+T179+T180</f>
        <v/>
      </c>
      <c r="U181" s="42">
        <f>U178+U179+U180</f>
        <v/>
      </c>
      <c r="V181" s="42">
        <f>V178+V179+V180</f>
        <v/>
      </c>
      <c r="W181" s="42">
        <f>W178+W179+W180</f>
        <v/>
      </c>
      <c r="X181" s="42">
        <f>X178+X179+X180</f>
        <v/>
      </c>
      <c r="Y181" s="42">
        <f>Y178+Y179+Y180</f>
        <v/>
      </c>
      <c r="Z181" s="42">
        <f>Z178+Z179+Z180</f>
        <v/>
      </c>
      <c r="AA181" s="42">
        <f>AA178+AA179+AA180</f>
        <v/>
      </c>
      <c r="AB181" s="42">
        <f>AB178+AB179+AB180</f>
        <v/>
      </c>
      <c r="AC181" s="42">
        <f>AC178+AC179+AC180</f>
        <v/>
      </c>
      <c r="AD181" s="42">
        <f>AD178+AD179+AD180</f>
        <v/>
      </c>
      <c r="AE181" s="42">
        <f>AE178+AE179+AE180</f>
        <v/>
      </c>
      <c r="AF181" s="42">
        <f>AF178+AF179+AF180</f>
        <v/>
      </c>
      <c r="AG181" s="42">
        <f>AG178+AG179+AG180</f>
        <v/>
      </c>
      <c r="AH181" s="42">
        <f>AH178+AH179+AH180</f>
        <v/>
      </c>
      <c r="AI181" s="42">
        <f>AI178+AI179+AI180</f>
        <v/>
      </c>
      <c r="AJ181" s="42">
        <f>AJ178+AJ179+AJ180</f>
        <v/>
      </c>
      <c r="AK181" s="42">
        <f>AK178+AK179+AK180</f>
        <v/>
      </c>
      <c r="AL181" s="42">
        <f>AL178+AL179+AL180</f>
        <v/>
      </c>
      <c r="AM181" s="42">
        <f>AM178+AM179+AM180</f>
        <v/>
      </c>
      <c r="AN181" s="42">
        <f>AN178+AN179+AN180</f>
        <v/>
      </c>
      <c r="AO181" s="42">
        <f>AO178+AO179+AO180</f>
        <v/>
      </c>
      <c r="AP181" s="42">
        <f>AP178+AP179+AP180</f>
        <v/>
      </c>
      <c r="AQ181" s="42">
        <f>AQ178+AQ179+AQ180</f>
        <v/>
      </c>
      <c r="AR181" s="42">
        <f>AR178+AR179+AR180</f>
        <v/>
      </c>
      <c r="AS181" s="42">
        <f>AS178+AS179+AS180</f>
        <v/>
      </c>
      <c r="AT181" s="42">
        <f>AT178+AT179+AT180</f>
        <v/>
      </c>
      <c r="AU181" s="42">
        <f>AU178+AU179+AU180</f>
        <v/>
      </c>
      <c r="AV181" s="42">
        <f>AV178+AV179+AV180</f>
        <v/>
      </c>
      <c r="AW181" s="42">
        <f>AW178+AW179+AW180</f>
        <v/>
      </c>
      <c r="AX181" s="42">
        <f>AX178+AX179+AX180</f>
        <v/>
      </c>
      <c r="AY181" s="42">
        <f>AY178+AY179+AY180</f>
        <v/>
      </c>
      <c r="AZ181" s="42">
        <f>AZ178+AZ179+AZ180</f>
        <v/>
      </c>
      <c r="BA181" s="42">
        <f>BA178+BA179+BA180</f>
        <v/>
      </c>
      <c r="BB181" s="42">
        <f>BB178+BB179+BB180</f>
        <v/>
      </c>
      <c r="BC181" s="42">
        <f>BC178+BC179+BC180</f>
        <v/>
      </c>
      <c r="BD181" s="42">
        <f>BD178+BD179+BD180</f>
        <v/>
      </c>
      <c r="BE181" s="42">
        <f>BE178+BE179+BE180</f>
        <v/>
      </c>
      <c r="BF181" s="42">
        <f>BF178+BF179+BF180</f>
        <v/>
      </c>
      <c r="BG181" s="42">
        <f>BG178+BG179+BG180</f>
        <v/>
      </c>
      <c r="BH181" s="42">
        <f>BH178+BH179+BH180</f>
        <v/>
      </c>
      <c r="BI181" s="42">
        <f>BI178+BI179+BI180</f>
        <v/>
      </c>
      <c r="BJ181" s="42">
        <f>BJ178+BJ179+BJ180</f>
        <v/>
      </c>
    </row>
    <row r="182">
      <c r="A182" s="4" t="inlineStr">
        <is>
          <t>Meta, legal &amp; compliance (POPIA base from seed + local compliance per market)</t>
        </is>
      </c>
      <c r="B182" s="17" t="inlineStr">
        <is>
          <t>R</t>
        </is>
      </c>
      <c r="C182" s="8">
        <f>Revenue_Build!C8*Assumptions!$B$198+Revenue_Build!C25*Assumptions!$B$72+Revenue_Build!C15*Assumptions!$B$73+Revenue_Build!C26*Assumptions!$B$82+Revenue_Build!C17*Assumptions!$B$83+Revenue_Build!C27*Assumptions!$B$92+Revenue_Build!C19*Assumptions!$B$93+Revenue_Build!C28*Assumptions!$B$102+Revenue_Build!C21*Assumptions!$B$103+Revenue_Build!C29*Assumptions!$B$110+Revenue_Build!C23*Assumptions!$B$111</f>
        <v/>
      </c>
      <c r="D182" s="8">
        <f>Revenue_Build!D8*Assumptions!$B$198+Revenue_Build!D25*Assumptions!$B$72+Revenue_Build!D15*Assumptions!$B$73+Revenue_Build!D26*Assumptions!$B$82+Revenue_Build!D17*Assumptions!$B$83+Revenue_Build!D27*Assumptions!$B$92+Revenue_Build!D19*Assumptions!$B$93+Revenue_Build!D28*Assumptions!$B$102+Revenue_Build!D21*Assumptions!$B$103+Revenue_Build!D29*Assumptions!$B$110+Revenue_Build!D23*Assumptions!$B$111</f>
        <v/>
      </c>
      <c r="E182" s="8">
        <f>Revenue_Build!E8*Assumptions!$B$198+Revenue_Build!E25*Assumptions!$B$72+Revenue_Build!E15*Assumptions!$B$73+Revenue_Build!E26*Assumptions!$B$82+Revenue_Build!E17*Assumptions!$B$83+Revenue_Build!E27*Assumptions!$B$92+Revenue_Build!E19*Assumptions!$B$93+Revenue_Build!E28*Assumptions!$B$102+Revenue_Build!E21*Assumptions!$B$103+Revenue_Build!E29*Assumptions!$B$110+Revenue_Build!E23*Assumptions!$B$111</f>
        <v/>
      </c>
      <c r="F182" s="8">
        <f>Revenue_Build!F8*Assumptions!$B$198+Revenue_Build!F25*Assumptions!$B$72+Revenue_Build!F15*Assumptions!$B$73+Revenue_Build!F26*Assumptions!$B$82+Revenue_Build!F17*Assumptions!$B$83+Revenue_Build!F27*Assumptions!$B$92+Revenue_Build!F19*Assumptions!$B$93+Revenue_Build!F28*Assumptions!$B$102+Revenue_Build!F21*Assumptions!$B$103+Revenue_Build!F29*Assumptions!$B$110+Revenue_Build!F23*Assumptions!$B$111</f>
        <v/>
      </c>
      <c r="G182" s="8">
        <f>Revenue_Build!G8*Assumptions!$B$198+Revenue_Build!G25*Assumptions!$B$72+Revenue_Build!G15*Assumptions!$B$73+Revenue_Build!G26*Assumptions!$B$82+Revenue_Build!G17*Assumptions!$B$83+Revenue_Build!G27*Assumptions!$B$92+Revenue_Build!G19*Assumptions!$B$93+Revenue_Build!G28*Assumptions!$B$102+Revenue_Build!G21*Assumptions!$B$103+Revenue_Build!G29*Assumptions!$B$110+Revenue_Build!G23*Assumptions!$B$111</f>
        <v/>
      </c>
      <c r="H182" s="8">
        <f>Revenue_Build!H8*Assumptions!$B$198+Revenue_Build!H25*Assumptions!$B$72+Revenue_Build!H15*Assumptions!$B$73+Revenue_Build!H26*Assumptions!$B$82+Revenue_Build!H17*Assumptions!$B$83+Revenue_Build!H27*Assumptions!$B$92+Revenue_Build!H19*Assumptions!$B$93+Revenue_Build!H28*Assumptions!$B$102+Revenue_Build!H21*Assumptions!$B$103+Revenue_Build!H29*Assumptions!$B$110+Revenue_Build!H23*Assumptions!$B$111</f>
        <v/>
      </c>
      <c r="I182" s="8">
        <f>Revenue_Build!I8*Assumptions!$B$198+Revenue_Build!I25*Assumptions!$B$72+Revenue_Build!I15*Assumptions!$B$73+Revenue_Build!I26*Assumptions!$B$82+Revenue_Build!I17*Assumptions!$B$83+Revenue_Build!I27*Assumptions!$B$92+Revenue_Build!I19*Assumptions!$B$93+Revenue_Build!I28*Assumptions!$B$102+Revenue_Build!I21*Assumptions!$B$103+Revenue_Build!I29*Assumptions!$B$110+Revenue_Build!I23*Assumptions!$B$111</f>
        <v/>
      </c>
      <c r="J182" s="8">
        <f>Revenue_Build!J8*Assumptions!$B$198+Revenue_Build!J25*Assumptions!$B$72+Revenue_Build!J15*Assumptions!$B$73+Revenue_Build!J26*Assumptions!$B$82+Revenue_Build!J17*Assumptions!$B$83+Revenue_Build!J27*Assumptions!$B$92+Revenue_Build!J19*Assumptions!$B$93+Revenue_Build!J28*Assumptions!$B$102+Revenue_Build!J21*Assumptions!$B$103+Revenue_Build!J29*Assumptions!$B$110+Revenue_Build!J23*Assumptions!$B$111</f>
        <v/>
      </c>
      <c r="K182" s="8">
        <f>Revenue_Build!K8*Assumptions!$B$198+Revenue_Build!K25*Assumptions!$B$72+Revenue_Build!K15*Assumptions!$B$73+Revenue_Build!K26*Assumptions!$B$82+Revenue_Build!K17*Assumptions!$B$83+Revenue_Build!K27*Assumptions!$B$92+Revenue_Build!K19*Assumptions!$B$93+Revenue_Build!K28*Assumptions!$B$102+Revenue_Build!K21*Assumptions!$B$103+Revenue_Build!K29*Assumptions!$B$110+Revenue_Build!K23*Assumptions!$B$111</f>
        <v/>
      </c>
      <c r="L182" s="8">
        <f>Revenue_Build!L8*Assumptions!$B$198+Revenue_Build!L25*Assumptions!$B$72+Revenue_Build!L15*Assumptions!$B$73+Revenue_Build!L26*Assumptions!$B$82+Revenue_Build!L17*Assumptions!$B$83+Revenue_Build!L27*Assumptions!$B$92+Revenue_Build!L19*Assumptions!$B$93+Revenue_Build!L28*Assumptions!$B$102+Revenue_Build!L21*Assumptions!$B$103+Revenue_Build!L29*Assumptions!$B$110+Revenue_Build!L23*Assumptions!$B$111</f>
        <v/>
      </c>
      <c r="M182" s="8">
        <f>Revenue_Build!M8*Assumptions!$B$198+Revenue_Build!M25*Assumptions!$B$72+Revenue_Build!M15*Assumptions!$B$73+Revenue_Build!M26*Assumptions!$B$82+Revenue_Build!M17*Assumptions!$B$83+Revenue_Build!M27*Assumptions!$B$92+Revenue_Build!M19*Assumptions!$B$93+Revenue_Build!M28*Assumptions!$B$102+Revenue_Build!M21*Assumptions!$B$103+Revenue_Build!M29*Assumptions!$B$110+Revenue_Build!M23*Assumptions!$B$111</f>
        <v/>
      </c>
      <c r="N182" s="8">
        <f>Revenue_Build!N8*Assumptions!$B$198+Revenue_Build!N25*Assumptions!$B$72+Revenue_Build!N15*Assumptions!$B$73+Revenue_Build!N26*Assumptions!$B$82+Revenue_Build!N17*Assumptions!$B$83+Revenue_Build!N27*Assumptions!$B$92+Revenue_Build!N19*Assumptions!$B$93+Revenue_Build!N28*Assumptions!$B$102+Revenue_Build!N21*Assumptions!$B$103+Revenue_Build!N29*Assumptions!$B$110+Revenue_Build!N23*Assumptions!$B$111</f>
        <v/>
      </c>
      <c r="O182" s="8">
        <f>Revenue_Build!O8*Assumptions!$B$198+Revenue_Build!O25*Assumptions!$B$72+Revenue_Build!O15*Assumptions!$B$73+Revenue_Build!O26*Assumptions!$B$82+Revenue_Build!O17*Assumptions!$B$83+Revenue_Build!O27*Assumptions!$B$92+Revenue_Build!O19*Assumptions!$B$93+Revenue_Build!O28*Assumptions!$B$102+Revenue_Build!O21*Assumptions!$B$103+Revenue_Build!O29*Assumptions!$B$110+Revenue_Build!O23*Assumptions!$B$111</f>
        <v/>
      </c>
      <c r="P182" s="8">
        <f>Revenue_Build!P8*Assumptions!$B$198+Revenue_Build!P25*Assumptions!$B$72+Revenue_Build!P15*Assumptions!$B$73+Revenue_Build!P26*Assumptions!$B$82+Revenue_Build!P17*Assumptions!$B$83+Revenue_Build!P27*Assumptions!$B$92+Revenue_Build!P19*Assumptions!$B$93+Revenue_Build!P28*Assumptions!$B$102+Revenue_Build!P21*Assumptions!$B$103+Revenue_Build!P29*Assumptions!$B$110+Revenue_Build!P23*Assumptions!$B$111</f>
        <v/>
      </c>
      <c r="Q182" s="8">
        <f>Revenue_Build!Q8*Assumptions!$B$198+Revenue_Build!Q25*Assumptions!$B$72+Revenue_Build!Q15*Assumptions!$B$73+Revenue_Build!Q26*Assumptions!$B$82+Revenue_Build!Q17*Assumptions!$B$83+Revenue_Build!Q27*Assumptions!$B$92+Revenue_Build!Q19*Assumptions!$B$93+Revenue_Build!Q28*Assumptions!$B$102+Revenue_Build!Q21*Assumptions!$B$103+Revenue_Build!Q29*Assumptions!$B$110+Revenue_Build!Q23*Assumptions!$B$111</f>
        <v/>
      </c>
      <c r="R182" s="8">
        <f>Revenue_Build!R8*Assumptions!$B$198+Revenue_Build!R25*Assumptions!$B$72+Revenue_Build!R15*Assumptions!$B$73+Revenue_Build!R26*Assumptions!$B$82+Revenue_Build!R17*Assumptions!$B$83+Revenue_Build!R27*Assumptions!$B$92+Revenue_Build!R19*Assumptions!$B$93+Revenue_Build!R28*Assumptions!$B$102+Revenue_Build!R21*Assumptions!$B$103+Revenue_Build!R29*Assumptions!$B$110+Revenue_Build!R23*Assumptions!$B$111</f>
        <v/>
      </c>
      <c r="S182" s="8">
        <f>Revenue_Build!S8*Assumptions!$B$198+Revenue_Build!S25*Assumptions!$B$72+Revenue_Build!S15*Assumptions!$B$73+Revenue_Build!S26*Assumptions!$B$82+Revenue_Build!S17*Assumptions!$B$83+Revenue_Build!S27*Assumptions!$B$92+Revenue_Build!S19*Assumptions!$B$93+Revenue_Build!S28*Assumptions!$B$102+Revenue_Build!S21*Assumptions!$B$103+Revenue_Build!S29*Assumptions!$B$110+Revenue_Build!S23*Assumptions!$B$111</f>
        <v/>
      </c>
      <c r="T182" s="8">
        <f>Revenue_Build!T8*Assumptions!$B$198+Revenue_Build!T25*Assumptions!$B$72+Revenue_Build!T15*Assumptions!$B$73+Revenue_Build!T26*Assumptions!$B$82+Revenue_Build!T17*Assumptions!$B$83+Revenue_Build!T27*Assumptions!$B$92+Revenue_Build!T19*Assumptions!$B$93+Revenue_Build!T28*Assumptions!$B$102+Revenue_Build!T21*Assumptions!$B$103+Revenue_Build!T29*Assumptions!$B$110+Revenue_Build!T23*Assumptions!$B$111</f>
        <v/>
      </c>
      <c r="U182" s="8">
        <f>Revenue_Build!U8*Assumptions!$B$198+Revenue_Build!U25*Assumptions!$B$72+Revenue_Build!U15*Assumptions!$B$73+Revenue_Build!U26*Assumptions!$B$82+Revenue_Build!U17*Assumptions!$B$83+Revenue_Build!U27*Assumptions!$B$92+Revenue_Build!U19*Assumptions!$B$93+Revenue_Build!U28*Assumptions!$B$102+Revenue_Build!U21*Assumptions!$B$103+Revenue_Build!U29*Assumptions!$B$110+Revenue_Build!U23*Assumptions!$B$111</f>
        <v/>
      </c>
      <c r="V182" s="8">
        <f>Revenue_Build!V8*Assumptions!$B$198+Revenue_Build!V25*Assumptions!$B$72+Revenue_Build!V15*Assumptions!$B$73+Revenue_Build!V26*Assumptions!$B$82+Revenue_Build!V17*Assumptions!$B$83+Revenue_Build!V27*Assumptions!$B$92+Revenue_Build!V19*Assumptions!$B$93+Revenue_Build!V28*Assumptions!$B$102+Revenue_Build!V21*Assumptions!$B$103+Revenue_Build!V29*Assumptions!$B$110+Revenue_Build!V23*Assumptions!$B$111</f>
        <v/>
      </c>
      <c r="W182" s="8">
        <f>Revenue_Build!W8*Assumptions!$B$198+Revenue_Build!W25*Assumptions!$B$72+Revenue_Build!W15*Assumptions!$B$73+Revenue_Build!W26*Assumptions!$B$82+Revenue_Build!W17*Assumptions!$B$83+Revenue_Build!W27*Assumptions!$B$92+Revenue_Build!W19*Assumptions!$B$93+Revenue_Build!W28*Assumptions!$B$102+Revenue_Build!W21*Assumptions!$B$103+Revenue_Build!W29*Assumptions!$B$110+Revenue_Build!W23*Assumptions!$B$111</f>
        <v/>
      </c>
      <c r="X182" s="8">
        <f>Revenue_Build!X8*Assumptions!$B$198+Revenue_Build!X25*Assumptions!$B$72+Revenue_Build!X15*Assumptions!$B$73+Revenue_Build!X26*Assumptions!$B$82+Revenue_Build!X17*Assumptions!$B$83+Revenue_Build!X27*Assumptions!$B$92+Revenue_Build!X19*Assumptions!$B$93+Revenue_Build!X28*Assumptions!$B$102+Revenue_Build!X21*Assumptions!$B$103+Revenue_Build!X29*Assumptions!$B$110+Revenue_Build!X23*Assumptions!$B$111</f>
        <v/>
      </c>
      <c r="Y182" s="8">
        <f>Revenue_Build!Y8*Assumptions!$B$198+Revenue_Build!Y25*Assumptions!$B$72+Revenue_Build!Y15*Assumptions!$B$73+Revenue_Build!Y26*Assumptions!$B$82+Revenue_Build!Y17*Assumptions!$B$83+Revenue_Build!Y27*Assumptions!$B$92+Revenue_Build!Y19*Assumptions!$B$93+Revenue_Build!Y28*Assumptions!$B$102+Revenue_Build!Y21*Assumptions!$B$103+Revenue_Build!Y29*Assumptions!$B$110+Revenue_Build!Y23*Assumptions!$B$111</f>
        <v/>
      </c>
      <c r="Z182" s="8">
        <f>Revenue_Build!Z8*Assumptions!$B$198+Revenue_Build!Z25*Assumptions!$B$72+Revenue_Build!Z15*Assumptions!$B$73+Revenue_Build!Z26*Assumptions!$B$82+Revenue_Build!Z17*Assumptions!$B$83+Revenue_Build!Z27*Assumptions!$B$92+Revenue_Build!Z19*Assumptions!$B$93+Revenue_Build!Z28*Assumptions!$B$102+Revenue_Build!Z21*Assumptions!$B$103+Revenue_Build!Z29*Assumptions!$B$110+Revenue_Build!Z23*Assumptions!$B$111</f>
        <v/>
      </c>
      <c r="AA182" s="8">
        <f>Revenue_Build!AA8*Assumptions!$B$198+Revenue_Build!AA25*Assumptions!$B$72+Revenue_Build!AA15*Assumptions!$B$73+Revenue_Build!AA26*Assumptions!$B$82+Revenue_Build!AA17*Assumptions!$B$83+Revenue_Build!AA27*Assumptions!$B$92+Revenue_Build!AA19*Assumptions!$B$93+Revenue_Build!AA28*Assumptions!$B$102+Revenue_Build!AA21*Assumptions!$B$103+Revenue_Build!AA29*Assumptions!$B$110+Revenue_Build!AA23*Assumptions!$B$111</f>
        <v/>
      </c>
      <c r="AB182" s="8">
        <f>Revenue_Build!AB8*Assumptions!$B$198+Revenue_Build!AB25*Assumptions!$B$72+Revenue_Build!AB15*Assumptions!$B$73+Revenue_Build!AB26*Assumptions!$B$82+Revenue_Build!AB17*Assumptions!$B$83+Revenue_Build!AB27*Assumptions!$B$92+Revenue_Build!AB19*Assumptions!$B$93+Revenue_Build!AB28*Assumptions!$B$102+Revenue_Build!AB21*Assumptions!$B$103+Revenue_Build!AB29*Assumptions!$B$110+Revenue_Build!AB23*Assumptions!$B$111</f>
        <v/>
      </c>
      <c r="AC182" s="8">
        <f>Revenue_Build!AC8*Assumptions!$B$198+Revenue_Build!AC25*Assumptions!$B$72+Revenue_Build!AC15*Assumptions!$B$73+Revenue_Build!AC26*Assumptions!$B$82+Revenue_Build!AC17*Assumptions!$B$83+Revenue_Build!AC27*Assumptions!$B$92+Revenue_Build!AC19*Assumptions!$B$93+Revenue_Build!AC28*Assumptions!$B$102+Revenue_Build!AC21*Assumptions!$B$103+Revenue_Build!AC29*Assumptions!$B$110+Revenue_Build!AC23*Assumptions!$B$111</f>
        <v/>
      </c>
      <c r="AD182" s="8">
        <f>Revenue_Build!AD8*Assumptions!$B$198+Revenue_Build!AD25*Assumptions!$B$72+Revenue_Build!AD15*Assumptions!$B$73+Revenue_Build!AD26*Assumptions!$B$82+Revenue_Build!AD17*Assumptions!$B$83+Revenue_Build!AD27*Assumptions!$B$92+Revenue_Build!AD19*Assumptions!$B$93+Revenue_Build!AD28*Assumptions!$B$102+Revenue_Build!AD21*Assumptions!$B$103+Revenue_Build!AD29*Assumptions!$B$110+Revenue_Build!AD23*Assumptions!$B$111</f>
        <v/>
      </c>
      <c r="AE182" s="8">
        <f>Revenue_Build!AE8*Assumptions!$B$198+Revenue_Build!AE25*Assumptions!$B$72+Revenue_Build!AE15*Assumptions!$B$73+Revenue_Build!AE26*Assumptions!$B$82+Revenue_Build!AE17*Assumptions!$B$83+Revenue_Build!AE27*Assumptions!$B$92+Revenue_Build!AE19*Assumptions!$B$93+Revenue_Build!AE28*Assumptions!$B$102+Revenue_Build!AE21*Assumptions!$B$103+Revenue_Build!AE29*Assumptions!$B$110+Revenue_Build!AE23*Assumptions!$B$111</f>
        <v/>
      </c>
      <c r="AF182" s="8">
        <f>Revenue_Build!AF8*Assumptions!$B$198+Revenue_Build!AF25*Assumptions!$B$72+Revenue_Build!AF15*Assumptions!$B$73+Revenue_Build!AF26*Assumptions!$B$82+Revenue_Build!AF17*Assumptions!$B$83+Revenue_Build!AF27*Assumptions!$B$92+Revenue_Build!AF19*Assumptions!$B$93+Revenue_Build!AF28*Assumptions!$B$102+Revenue_Build!AF21*Assumptions!$B$103+Revenue_Build!AF29*Assumptions!$B$110+Revenue_Build!AF23*Assumptions!$B$111</f>
        <v/>
      </c>
      <c r="AG182" s="8">
        <f>Revenue_Build!AG8*Assumptions!$B$198+Revenue_Build!AG25*Assumptions!$B$72+Revenue_Build!AG15*Assumptions!$B$73+Revenue_Build!AG26*Assumptions!$B$82+Revenue_Build!AG17*Assumptions!$B$83+Revenue_Build!AG27*Assumptions!$B$92+Revenue_Build!AG19*Assumptions!$B$93+Revenue_Build!AG28*Assumptions!$B$102+Revenue_Build!AG21*Assumptions!$B$103+Revenue_Build!AG29*Assumptions!$B$110+Revenue_Build!AG23*Assumptions!$B$111</f>
        <v/>
      </c>
      <c r="AH182" s="8">
        <f>Revenue_Build!AH8*Assumptions!$B$198+Revenue_Build!AH25*Assumptions!$B$72+Revenue_Build!AH15*Assumptions!$B$73+Revenue_Build!AH26*Assumptions!$B$82+Revenue_Build!AH17*Assumptions!$B$83+Revenue_Build!AH27*Assumptions!$B$92+Revenue_Build!AH19*Assumptions!$B$93+Revenue_Build!AH28*Assumptions!$B$102+Revenue_Build!AH21*Assumptions!$B$103+Revenue_Build!AH29*Assumptions!$B$110+Revenue_Build!AH23*Assumptions!$B$111</f>
        <v/>
      </c>
      <c r="AI182" s="8">
        <f>Revenue_Build!AI8*Assumptions!$B$198+Revenue_Build!AI25*Assumptions!$B$72+Revenue_Build!AI15*Assumptions!$B$73+Revenue_Build!AI26*Assumptions!$B$82+Revenue_Build!AI17*Assumptions!$B$83+Revenue_Build!AI27*Assumptions!$B$92+Revenue_Build!AI19*Assumptions!$B$93+Revenue_Build!AI28*Assumptions!$B$102+Revenue_Build!AI21*Assumptions!$B$103+Revenue_Build!AI29*Assumptions!$B$110+Revenue_Build!AI23*Assumptions!$B$111</f>
        <v/>
      </c>
      <c r="AJ182" s="8">
        <f>Revenue_Build!AJ8*Assumptions!$B$198+Revenue_Build!AJ25*Assumptions!$B$72+Revenue_Build!AJ15*Assumptions!$B$73+Revenue_Build!AJ26*Assumptions!$B$82+Revenue_Build!AJ17*Assumptions!$B$83+Revenue_Build!AJ27*Assumptions!$B$92+Revenue_Build!AJ19*Assumptions!$B$93+Revenue_Build!AJ28*Assumptions!$B$102+Revenue_Build!AJ21*Assumptions!$B$103+Revenue_Build!AJ29*Assumptions!$B$110+Revenue_Build!AJ23*Assumptions!$B$111</f>
        <v/>
      </c>
      <c r="AK182" s="8">
        <f>Revenue_Build!AK8*Assumptions!$B$198+Revenue_Build!AK25*Assumptions!$B$72+Revenue_Build!AK15*Assumptions!$B$73+Revenue_Build!AK26*Assumptions!$B$82+Revenue_Build!AK17*Assumptions!$B$83+Revenue_Build!AK27*Assumptions!$B$92+Revenue_Build!AK19*Assumptions!$B$93+Revenue_Build!AK28*Assumptions!$B$102+Revenue_Build!AK21*Assumptions!$B$103+Revenue_Build!AK29*Assumptions!$B$110+Revenue_Build!AK23*Assumptions!$B$111</f>
        <v/>
      </c>
      <c r="AL182" s="8">
        <f>Revenue_Build!AL8*Assumptions!$B$198+Revenue_Build!AL25*Assumptions!$B$72+Revenue_Build!AL15*Assumptions!$B$73+Revenue_Build!AL26*Assumptions!$B$82+Revenue_Build!AL17*Assumptions!$B$83+Revenue_Build!AL27*Assumptions!$B$92+Revenue_Build!AL19*Assumptions!$B$93+Revenue_Build!AL28*Assumptions!$B$102+Revenue_Build!AL21*Assumptions!$B$103+Revenue_Build!AL29*Assumptions!$B$110+Revenue_Build!AL23*Assumptions!$B$111</f>
        <v/>
      </c>
      <c r="AM182" s="8">
        <f>Revenue_Build!AM8*Assumptions!$B$198+Revenue_Build!AM25*Assumptions!$B$72+Revenue_Build!AM15*Assumptions!$B$73+Revenue_Build!AM26*Assumptions!$B$82+Revenue_Build!AM17*Assumptions!$B$83+Revenue_Build!AM27*Assumptions!$B$92+Revenue_Build!AM19*Assumptions!$B$93+Revenue_Build!AM28*Assumptions!$B$102+Revenue_Build!AM21*Assumptions!$B$103+Revenue_Build!AM29*Assumptions!$B$110+Revenue_Build!AM23*Assumptions!$B$111</f>
        <v/>
      </c>
      <c r="AN182" s="8">
        <f>Revenue_Build!AN8*Assumptions!$B$198+Revenue_Build!AN25*Assumptions!$B$72+Revenue_Build!AN15*Assumptions!$B$73+Revenue_Build!AN26*Assumptions!$B$82+Revenue_Build!AN17*Assumptions!$B$83+Revenue_Build!AN27*Assumptions!$B$92+Revenue_Build!AN19*Assumptions!$B$93+Revenue_Build!AN28*Assumptions!$B$102+Revenue_Build!AN21*Assumptions!$B$103+Revenue_Build!AN29*Assumptions!$B$110+Revenue_Build!AN23*Assumptions!$B$111</f>
        <v/>
      </c>
      <c r="AO182" s="8">
        <f>Revenue_Build!AO8*Assumptions!$B$198+Revenue_Build!AO25*Assumptions!$B$72+Revenue_Build!AO15*Assumptions!$B$73+Revenue_Build!AO26*Assumptions!$B$82+Revenue_Build!AO17*Assumptions!$B$83+Revenue_Build!AO27*Assumptions!$B$92+Revenue_Build!AO19*Assumptions!$B$93+Revenue_Build!AO28*Assumptions!$B$102+Revenue_Build!AO21*Assumptions!$B$103+Revenue_Build!AO29*Assumptions!$B$110+Revenue_Build!AO23*Assumptions!$B$111</f>
        <v/>
      </c>
      <c r="AP182" s="8">
        <f>Revenue_Build!AP8*Assumptions!$B$198+Revenue_Build!AP25*Assumptions!$B$72+Revenue_Build!AP15*Assumptions!$B$73+Revenue_Build!AP26*Assumptions!$B$82+Revenue_Build!AP17*Assumptions!$B$83+Revenue_Build!AP27*Assumptions!$B$92+Revenue_Build!AP19*Assumptions!$B$93+Revenue_Build!AP28*Assumptions!$B$102+Revenue_Build!AP21*Assumptions!$B$103+Revenue_Build!AP29*Assumptions!$B$110+Revenue_Build!AP23*Assumptions!$B$111</f>
        <v/>
      </c>
      <c r="AQ182" s="8">
        <f>Revenue_Build!AQ8*Assumptions!$B$198+Revenue_Build!AQ25*Assumptions!$B$72+Revenue_Build!AQ15*Assumptions!$B$73+Revenue_Build!AQ26*Assumptions!$B$82+Revenue_Build!AQ17*Assumptions!$B$83+Revenue_Build!AQ27*Assumptions!$B$92+Revenue_Build!AQ19*Assumptions!$B$93+Revenue_Build!AQ28*Assumptions!$B$102+Revenue_Build!AQ21*Assumptions!$B$103+Revenue_Build!AQ29*Assumptions!$B$110+Revenue_Build!AQ23*Assumptions!$B$111</f>
        <v/>
      </c>
      <c r="AR182" s="8">
        <f>Revenue_Build!AR8*Assumptions!$B$198+Revenue_Build!AR25*Assumptions!$B$72+Revenue_Build!AR15*Assumptions!$B$73+Revenue_Build!AR26*Assumptions!$B$82+Revenue_Build!AR17*Assumptions!$B$83+Revenue_Build!AR27*Assumptions!$B$92+Revenue_Build!AR19*Assumptions!$B$93+Revenue_Build!AR28*Assumptions!$B$102+Revenue_Build!AR21*Assumptions!$B$103+Revenue_Build!AR29*Assumptions!$B$110+Revenue_Build!AR23*Assumptions!$B$111</f>
        <v/>
      </c>
      <c r="AS182" s="8">
        <f>Revenue_Build!AS8*Assumptions!$B$198+Revenue_Build!AS25*Assumptions!$B$72+Revenue_Build!AS15*Assumptions!$B$73+Revenue_Build!AS26*Assumptions!$B$82+Revenue_Build!AS17*Assumptions!$B$83+Revenue_Build!AS27*Assumptions!$B$92+Revenue_Build!AS19*Assumptions!$B$93+Revenue_Build!AS28*Assumptions!$B$102+Revenue_Build!AS21*Assumptions!$B$103+Revenue_Build!AS29*Assumptions!$B$110+Revenue_Build!AS23*Assumptions!$B$111</f>
        <v/>
      </c>
      <c r="AT182" s="8">
        <f>Revenue_Build!AT8*Assumptions!$B$198+Revenue_Build!AT25*Assumptions!$B$72+Revenue_Build!AT15*Assumptions!$B$73+Revenue_Build!AT26*Assumptions!$B$82+Revenue_Build!AT17*Assumptions!$B$83+Revenue_Build!AT27*Assumptions!$B$92+Revenue_Build!AT19*Assumptions!$B$93+Revenue_Build!AT28*Assumptions!$B$102+Revenue_Build!AT21*Assumptions!$B$103+Revenue_Build!AT29*Assumptions!$B$110+Revenue_Build!AT23*Assumptions!$B$111</f>
        <v/>
      </c>
      <c r="AU182" s="8">
        <f>Revenue_Build!AU8*Assumptions!$B$198+Revenue_Build!AU25*Assumptions!$B$72+Revenue_Build!AU15*Assumptions!$B$73+Revenue_Build!AU26*Assumptions!$B$82+Revenue_Build!AU17*Assumptions!$B$83+Revenue_Build!AU27*Assumptions!$B$92+Revenue_Build!AU19*Assumptions!$B$93+Revenue_Build!AU28*Assumptions!$B$102+Revenue_Build!AU21*Assumptions!$B$103+Revenue_Build!AU29*Assumptions!$B$110+Revenue_Build!AU23*Assumptions!$B$111</f>
        <v/>
      </c>
      <c r="AV182" s="8">
        <f>Revenue_Build!AV8*Assumptions!$B$198+Revenue_Build!AV25*Assumptions!$B$72+Revenue_Build!AV15*Assumptions!$B$73+Revenue_Build!AV26*Assumptions!$B$82+Revenue_Build!AV17*Assumptions!$B$83+Revenue_Build!AV27*Assumptions!$B$92+Revenue_Build!AV19*Assumptions!$B$93+Revenue_Build!AV28*Assumptions!$B$102+Revenue_Build!AV21*Assumptions!$B$103+Revenue_Build!AV29*Assumptions!$B$110+Revenue_Build!AV23*Assumptions!$B$111</f>
        <v/>
      </c>
      <c r="AW182" s="8">
        <f>Revenue_Build!AW8*Assumptions!$B$198+Revenue_Build!AW25*Assumptions!$B$72+Revenue_Build!AW15*Assumptions!$B$73+Revenue_Build!AW26*Assumptions!$B$82+Revenue_Build!AW17*Assumptions!$B$83+Revenue_Build!AW27*Assumptions!$B$92+Revenue_Build!AW19*Assumptions!$B$93+Revenue_Build!AW28*Assumptions!$B$102+Revenue_Build!AW21*Assumptions!$B$103+Revenue_Build!AW29*Assumptions!$B$110+Revenue_Build!AW23*Assumptions!$B$111</f>
        <v/>
      </c>
      <c r="AX182" s="8">
        <f>Revenue_Build!AX8*Assumptions!$B$198+Revenue_Build!AX25*Assumptions!$B$72+Revenue_Build!AX15*Assumptions!$B$73+Revenue_Build!AX26*Assumptions!$B$82+Revenue_Build!AX17*Assumptions!$B$83+Revenue_Build!AX27*Assumptions!$B$92+Revenue_Build!AX19*Assumptions!$B$93+Revenue_Build!AX28*Assumptions!$B$102+Revenue_Build!AX21*Assumptions!$B$103+Revenue_Build!AX29*Assumptions!$B$110+Revenue_Build!AX23*Assumptions!$B$111</f>
        <v/>
      </c>
      <c r="AY182" s="8">
        <f>Revenue_Build!AY8*Assumptions!$B$198+Revenue_Build!AY25*Assumptions!$B$72+Revenue_Build!AY15*Assumptions!$B$73+Revenue_Build!AY26*Assumptions!$B$82+Revenue_Build!AY17*Assumptions!$B$83+Revenue_Build!AY27*Assumptions!$B$92+Revenue_Build!AY19*Assumptions!$B$93+Revenue_Build!AY28*Assumptions!$B$102+Revenue_Build!AY21*Assumptions!$B$103+Revenue_Build!AY29*Assumptions!$B$110+Revenue_Build!AY23*Assumptions!$B$111</f>
        <v/>
      </c>
      <c r="AZ182" s="8">
        <f>Revenue_Build!AZ8*Assumptions!$B$198+Revenue_Build!AZ25*Assumptions!$B$72+Revenue_Build!AZ15*Assumptions!$B$73+Revenue_Build!AZ26*Assumptions!$B$82+Revenue_Build!AZ17*Assumptions!$B$83+Revenue_Build!AZ27*Assumptions!$B$92+Revenue_Build!AZ19*Assumptions!$B$93+Revenue_Build!AZ28*Assumptions!$B$102+Revenue_Build!AZ21*Assumptions!$B$103+Revenue_Build!AZ29*Assumptions!$B$110+Revenue_Build!AZ23*Assumptions!$B$111</f>
        <v/>
      </c>
      <c r="BA182" s="8">
        <f>Revenue_Build!BA8*Assumptions!$B$198+Revenue_Build!BA25*Assumptions!$B$72+Revenue_Build!BA15*Assumptions!$B$73+Revenue_Build!BA26*Assumptions!$B$82+Revenue_Build!BA17*Assumptions!$B$83+Revenue_Build!BA27*Assumptions!$B$92+Revenue_Build!BA19*Assumptions!$B$93+Revenue_Build!BA28*Assumptions!$B$102+Revenue_Build!BA21*Assumptions!$B$103+Revenue_Build!BA29*Assumptions!$B$110+Revenue_Build!BA23*Assumptions!$B$111</f>
        <v/>
      </c>
      <c r="BB182" s="8">
        <f>Revenue_Build!BB8*Assumptions!$B$198+Revenue_Build!BB25*Assumptions!$B$72+Revenue_Build!BB15*Assumptions!$B$73+Revenue_Build!BB26*Assumptions!$B$82+Revenue_Build!BB17*Assumptions!$B$83+Revenue_Build!BB27*Assumptions!$B$92+Revenue_Build!BB19*Assumptions!$B$93+Revenue_Build!BB28*Assumptions!$B$102+Revenue_Build!BB21*Assumptions!$B$103+Revenue_Build!BB29*Assumptions!$B$110+Revenue_Build!BB23*Assumptions!$B$111</f>
        <v/>
      </c>
      <c r="BC182" s="8">
        <f>Revenue_Build!BC8*Assumptions!$B$198+Revenue_Build!BC25*Assumptions!$B$72+Revenue_Build!BC15*Assumptions!$B$73+Revenue_Build!BC26*Assumptions!$B$82+Revenue_Build!BC17*Assumptions!$B$83+Revenue_Build!BC27*Assumptions!$B$92+Revenue_Build!BC19*Assumptions!$B$93+Revenue_Build!BC28*Assumptions!$B$102+Revenue_Build!BC21*Assumptions!$B$103+Revenue_Build!BC29*Assumptions!$B$110+Revenue_Build!BC23*Assumptions!$B$111</f>
        <v/>
      </c>
      <c r="BD182" s="8">
        <f>Revenue_Build!BD8*Assumptions!$B$198+Revenue_Build!BD25*Assumptions!$B$72+Revenue_Build!BD15*Assumptions!$B$73+Revenue_Build!BD26*Assumptions!$B$82+Revenue_Build!BD17*Assumptions!$B$83+Revenue_Build!BD27*Assumptions!$B$92+Revenue_Build!BD19*Assumptions!$B$93+Revenue_Build!BD28*Assumptions!$B$102+Revenue_Build!BD21*Assumptions!$B$103+Revenue_Build!BD29*Assumptions!$B$110+Revenue_Build!BD23*Assumptions!$B$111</f>
        <v/>
      </c>
      <c r="BE182" s="8">
        <f>Revenue_Build!BE8*Assumptions!$B$198+Revenue_Build!BE25*Assumptions!$B$72+Revenue_Build!BE15*Assumptions!$B$73+Revenue_Build!BE26*Assumptions!$B$82+Revenue_Build!BE17*Assumptions!$B$83+Revenue_Build!BE27*Assumptions!$B$92+Revenue_Build!BE19*Assumptions!$B$93+Revenue_Build!BE28*Assumptions!$B$102+Revenue_Build!BE21*Assumptions!$B$103+Revenue_Build!BE29*Assumptions!$B$110+Revenue_Build!BE23*Assumptions!$B$111</f>
        <v/>
      </c>
      <c r="BF182" s="8">
        <f>Revenue_Build!BF8*Assumptions!$B$198+Revenue_Build!BF25*Assumptions!$B$72+Revenue_Build!BF15*Assumptions!$B$73+Revenue_Build!BF26*Assumptions!$B$82+Revenue_Build!BF17*Assumptions!$B$83+Revenue_Build!BF27*Assumptions!$B$92+Revenue_Build!BF19*Assumptions!$B$93+Revenue_Build!BF28*Assumptions!$B$102+Revenue_Build!BF21*Assumptions!$B$103+Revenue_Build!BF29*Assumptions!$B$110+Revenue_Build!BF23*Assumptions!$B$111</f>
        <v/>
      </c>
      <c r="BG182" s="8">
        <f>Revenue_Build!BG8*Assumptions!$B$198+Revenue_Build!BG25*Assumptions!$B$72+Revenue_Build!BG15*Assumptions!$B$73+Revenue_Build!BG26*Assumptions!$B$82+Revenue_Build!BG17*Assumptions!$B$83+Revenue_Build!BG27*Assumptions!$B$92+Revenue_Build!BG19*Assumptions!$B$93+Revenue_Build!BG28*Assumptions!$B$102+Revenue_Build!BG21*Assumptions!$B$103+Revenue_Build!BG29*Assumptions!$B$110+Revenue_Build!BG23*Assumptions!$B$111</f>
        <v/>
      </c>
      <c r="BH182" s="8">
        <f>Revenue_Build!BH8*Assumptions!$B$198+Revenue_Build!BH25*Assumptions!$B$72+Revenue_Build!BH15*Assumptions!$B$73+Revenue_Build!BH26*Assumptions!$B$82+Revenue_Build!BH17*Assumptions!$B$83+Revenue_Build!BH27*Assumptions!$B$92+Revenue_Build!BH19*Assumptions!$B$93+Revenue_Build!BH28*Assumptions!$B$102+Revenue_Build!BH21*Assumptions!$B$103+Revenue_Build!BH29*Assumptions!$B$110+Revenue_Build!BH23*Assumptions!$B$111</f>
        <v/>
      </c>
      <c r="BI182" s="8">
        <f>Revenue_Build!BI8*Assumptions!$B$198+Revenue_Build!BI25*Assumptions!$B$72+Revenue_Build!BI15*Assumptions!$B$73+Revenue_Build!BI26*Assumptions!$B$82+Revenue_Build!BI17*Assumptions!$B$83+Revenue_Build!BI27*Assumptions!$B$92+Revenue_Build!BI19*Assumptions!$B$93+Revenue_Build!BI28*Assumptions!$B$102+Revenue_Build!BI21*Assumptions!$B$103+Revenue_Build!BI29*Assumptions!$B$110+Revenue_Build!BI23*Assumptions!$B$111</f>
        <v/>
      </c>
      <c r="BJ182" s="8">
        <f>Revenue_Build!BJ8*Assumptions!$B$198+Revenue_Build!BJ25*Assumptions!$B$72+Revenue_Build!BJ15*Assumptions!$B$73+Revenue_Build!BJ26*Assumptions!$B$82+Revenue_Build!BJ17*Assumptions!$B$83+Revenue_Build!BJ27*Assumptions!$B$92+Revenue_Build!BJ19*Assumptions!$B$93+Revenue_Build!BJ28*Assumptions!$B$102+Revenue_Build!BJ21*Assumptions!$B$103+Revenue_Build!BJ29*Assumptions!$B$110+Revenue_Build!BJ23*Assumptions!$B$111</f>
        <v/>
      </c>
    </row>
    <row r="183">
      <c r="A183" s="4" t="inlineStr">
        <is>
          <t>Software &amp; tools</t>
        </is>
      </c>
      <c r="B183" s="17" t="inlineStr">
        <is>
          <t>R</t>
        </is>
      </c>
      <c r="C183" s="8">
        <f>C75*Assumptions!$B$199</f>
        <v/>
      </c>
      <c r="D183" s="8">
        <f>D75*Assumptions!$B$199</f>
        <v/>
      </c>
      <c r="E183" s="8">
        <f>E75*Assumptions!$B$199</f>
        <v/>
      </c>
      <c r="F183" s="8">
        <f>F75*Assumptions!$B$199</f>
        <v/>
      </c>
      <c r="G183" s="8">
        <f>G75*Assumptions!$B$199</f>
        <v/>
      </c>
      <c r="H183" s="8">
        <f>H75*Assumptions!$B$199</f>
        <v/>
      </c>
      <c r="I183" s="8">
        <f>I75*Assumptions!$B$199</f>
        <v/>
      </c>
      <c r="J183" s="8">
        <f>J75*Assumptions!$B$199</f>
        <v/>
      </c>
      <c r="K183" s="8">
        <f>K75*Assumptions!$B$199</f>
        <v/>
      </c>
      <c r="L183" s="8">
        <f>L75*Assumptions!$B$199</f>
        <v/>
      </c>
      <c r="M183" s="8">
        <f>M75*Assumptions!$B$199</f>
        <v/>
      </c>
      <c r="N183" s="8">
        <f>N75*Assumptions!$B$199</f>
        <v/>
      </c>
      <c r="O183" s="8">
        <f>O75*Assumptions!$B$199</f>
        <v/>
      </c>
      <c r="P183" s="8">
        <f>P75*Assumptions!$B$199</f>
        <v/>
      </c>
      <c r="Q183" s="8">
        <f>Q75*Assumptions!$B$199</f>
        <v/>
      </c>
      <c r="R183" s="8">
        <f>R75*Assumptions!$B$199</f>
        <v/>
      </c>
      <c r="S183" s="8">
        <f>S75*Assumptions!$B$199</f>
        <v/>
      </c>
      <c r="T183" s="8">
        <f>T75*Assumptions!$B$199</f>
        <v/>
      </c>
      <c r="U183" s="8">
        <f>U75*Assumptions!$B$199</f>
        <v/>
      </c>
      <c r="V183" s="8">
        <f>V75*Assumptions!$B$199</f>
        <v/>
      </c>
      <c r="W183" s="8">
        <f>W75*Assumptions!$B$199</f>
        <v/>
      </c>
      <c r="X183" s="8">
        <f>X75*Assumptions!$B$199</f>
        <v/>
      </c>
      <c r="Y183" s="8">
        <f>Y75*Assumptions!$B$199</f>
        <v/>
      </c>
      <c r="Z183" s="8">
        <f>Z75*Assumptions!$B$199</f>
        <v/>
      </c>
      <c r="AA183" s="8">
        <f>AA75*Assumptions!$B$199</f>
        <v/>
      </c>
      <c r="AB183" s="8">
        <f>AB75*Assumptions!$B$199</f>
        <v/>
      </c>
      <c r="AC183" s="8">
        <f>AC75*Assumptions!$B$199</f>
        <v/>
      </c>
      <c r="AD183" s="8">
        <f>AD75*Assumptions!$B$199</f>
        <v/>
      </c>
      <c r="AE183" s="8">
        <f>AE75*Assumptions!$B$199</f>
        <v/>
      </c>
      <c r="AF183" s="8">
        <f>AF75*Assumptions!$B$199</f>
        <v/>
      </c>
      <c r="AG183" s="8">
        <f>AG75*Assumptions!$B$199</f>
        <v/>
      </c>
      <c r="AH183" s="8">
        <f>AH75*Assumptions!$B$199</f>
        <v/>
      </c>
      <c r="AI183" s="8">
        <f>AI75*Assumptions!$B$199</f>
        <v/>
      </c>
      <c r="AJ183" s="8">
        <f>AJ75*Assumptions!$B$199</f>
        <v/>
      </c>
      <c r="AK183" s="8">
        <f>AK75*Assumptions!$B$199</f>
        <v/>
      </c>
      <c r="AL183" s="8">
        <f>AL75*Assumptions!$B$199</f>
        <v/>
      </c>
      <c r="AM183" s="8">
        <f>AM75*Assumptions!$B$199</f>
        <v/>
      </c>
      <c r="AN183" s="8">
        <f>AN75*Assumptions!$B$199</f>
        <v/>
      </c>
      <c r="AO183" s="8">
        <f>AO75*Assumptions!$B$199</f>
        <v/>
      </c>
      <c r="AP183" s="8">
        <f>AP75*Assumptions!$B$199</f>
        <v/>
      </c>
      <c r="AQ183" s="8">
        <f>AQ75*Assumptions!$B$199</f>
        <v/>
      </c>
      <c r="AR183" s="8">
        <f>AR75*Assumptions!$B$199</f>
        <v/>
      </c>
      <c r="AS183" s="8">
        <f>AS75*Assumptions!$B$199</f>
        <v/>
      </c>
      <c r="AT183" s="8">
        <f>AT75*Assumptions!$B$199</f>
        <v/>
      </c>
      <c r="AU183" s="8">
        <f>AU75*Assumptions!$B$199</f>
        <v/>
      </c>
      <c r="AV183" s="8">
        <f>AV75*Assumptions!$B$199</f>
        <v/>
      </c>
      <c r="AW183" s="8">
        <f>AW75*Assumptions!$B$199</f>
        <v/>
      </c>
      <c r="AX183" s="8">
        <f>AX75*Assumptions!$B$199</f>
        <v/>
      </c>
      <c r="AY183" s="8">
        <f>AY75*Assumptions!$B$199</f>
        <v/>
      </c>
      <c r="AZ183" s="8">
        <f>AZ75*Assumptions!$B$199</f>
        <v/>
      </c>
      <c r="BA183" s="8">
        <f>BA75*Assumptions!$B$199</f>
        <v/>
      </c>
      <c r="BB183" s="8">
        <f>BB75*Assumptions!$B$199</f>
        <v/>
      </c>
      <c r="BC183" s="8">
        <f>BC75*Assumptions!$B$199</f>
        <v/>
      </c>
      <c r="BD183" s="8">
        <f>BD75*Assumptions!$B$199</f>
        <v/>
      </c>
      <c r="BE183" s="8">
        <f>BE75*Assumptions!$B$199</f>
        <v/>
      </c>
      <c r="BF183" s="8">
        <f>BF75*Assumptions!$B$199</f>
        <v/>
      </c>
      <c r="BG183" s="8">
        <f>BG75*Assumptions!$B$199</f>
        <v/>
      </c>
      <c r="BH183" s="8">
        <f>BH75*Assumptions!$B$199</f>
        <v/>
      </c>
      <c r="BI183" s="8">
        <f>BI75*Assumptions!$B$199</f>
        <v/>
      </c>
      <c r="BJ183" s="8">
        <f>BJ75*Assumptions!$B$199</f>
        <v/>
      </c>
    </row>
    <row r="184">
      <c r="A184" s="4" t="inlineStr">
        <is>
          <t>Travel</t>
        </is>
      </c>
      <c r="B184" s="17" t="inlineStr">
        <is>
          <t>R</t>
        </is>
      </c>
      <c r="C184" s="8">
        <f>Revenue_Build!C8*C75*Assumptions!$B$200+Revenue_Build!C15*Assumptions!$B$115+Revenue_Build!C17*Assumptions!$B$115+Revenue_Build!C19*Assumptions!$B$115</f>
        <v/>
      </c>
      <c r="D184" s="8">
        <f>Revenue_Build!D8*D75*Assumptions!$B$200+Revenue_Build!D15*Assumptions!$B$115+Revenue_Build!D17*Assumptions!$B$115+Revenue_Build!D19*Assumptions!$B$115</f>
        <v/>
      </c>
      <c r="E184" s="8">
        <f>Revenue_Build!E8*E75*Assumptions!$B$200+Revenue_Build!E15*Assumptions!$B$115+Revenue_Build!E17*Assumptions!$B$115+Revenue_Build!E19*Assumptions!$B$115</f>
        <v/>
      </c>
      <c r="F184" s="8">
        <f>Revenue_Build!F8*F75*Assumptions!$B$200+Revenue_Build!F15*Assumptions!$B$115+Revenue_Build!F17*Assumptions!$B$115+Revenue_Build!F19*Assumptions!$B$115</f>
        <v/>
      </c>
      <c r="G184" s="8">
        <f>Revenue_Build!G8*G75*Assumptions!$B$200+Revenue_Build!G15*Assumptions!$B$115+Revenue_Build!G17*Assumptions!$B$115+Revenue_Build!G19*Assumptions!$B$115</f>
        <v/>
      </c>
      <c r="H184" s="8">
        <f>Revenue_Build!H8*H75*Assumptions!$B$200+Revenue_Build!H15*Assumptions!$B$115+Revenue_Build!H17*Assumptions!$B$115+Revenue_Build!H19*Assumptions!$B$115</f>
        <v/>
      </c>
      <c r="I184" s="8">
        <f>Revenue_Build!I8*I75*Assumptions!$B$200+Revenue_Build!I15*Assumptions!$B$115+Revenue_Build!I17*Assumptions!$B$115+Revenue_Build!I19*Assumptions!$B$115</f>
        <v/>
      </c>
      <c r="J184" s="8">
        <f>Revenue_Build!J8*J75*Assumptions!$B$200+Revenue_Build!J15*Assumptions!$B$115+Revenue_Build!J17*Assumptions!$B$115+Revenue_Build!J19*Assumptions!$B$115</f>
        <v/>
      </c>
      <c r="K184" s="8">
        <f>Revenue_Build!K8*K75*Assumptions!$B$200+Revenue_Build!K15*Assumptions!$B$115+Revenue_Build!K17*Assumptions!$B$115+Revenue_Build!K19*Assumptions!$B$115</f>
        <v/>
      </c>
      <c r="L184" s="8">
        <f>Revenue_Build!L8*L75*Assumptions!$B$200+Revenue_Build!L15*Assumptions!$B$115+Revenue_Build!L17*Assumptions!$B$115+Revenue_Build!L19*Assumptions!$B$115</f>
        <v/>
      </c>
      <c r="M184" s="8">
        <f>Revenue_Build!M8*M75*Assumptions!$B$200+Revenue_Build!M15*Assumptions!$B$115+Revenue_Build!M17*Assumptions!$B$115+Revenue_Build!M19*Assumptions!$B$115</f>
        <v/>
      </c>
      <c r="N184" s="8">
        <f>Revenue_Build!N8*N75*Assumptions!$B$200+Revenue_Build!N15*Assumptions!$B$115+Revenue_Build!N17*Assumptions!$B$115+Revenue_Build!N19*Assumptions!$B$115</f>
        <v/>
      </c>
      <c r="O184" s="8">
        <f>Revenue_Build!O8*O75*Assumptions!$B$200+Revenue_Build!O15*Assumptions!$B$115+Revenue_Build!O17*Assumptions!$B$115+Revenue_Build!O19*Assumptions!$B$115</f>
        <v/>
      </c>
      <c r="P184" s="8">
        <f>Revenue_Build!P8*P75*Assumptions!$B$200+Revenue_Build!P15*Assumptions!$B$115+Revenue_Build!P17*Assumptions!$B$115+Revenue_Build!P19*Assumptions!$B$115</f>
        <v/>
      </c>
      <c r="Q184" s="8">
        <f>Revenue_Build!Q8*Q75*Assumptions!$B$200+Revenue_Build!Q15*Assumptions!$B$115+Revenue_Build!Q17*Assumptions!$B$115+Revenue_Build!Q19*Assumptions!$B$115</f>
        <v/>
      </c>
      <c r="R184" s="8">
        <f>Revenue_Build!R8*R75*Assumptions!$B$200+Revenue_Build!R15*Assumptions!$B$115+Revenue_Build!R17*Assumptions!$B$115+Revenue_Build!R19*Assumptions!$B$115</f>
        <v/>
      </c>
      <c r="S184" s="8">
        <f>Revenue_Build!S8*S75*Assumptions!$B$200+Revenue_Build!S15*Assumptions!$B$115+Revenue_Build!S17*Assumptions!$B$115+Revenue_Build!S19*Assumptions!$B$115</f>
        <v/>
      </c>
      <c r="T184" s="8">
        <f>Revenue_Build!T8*T75*Assumptions!$B$200+Revenue_Build!T15*Assumptions!$B$115+Revenue_Build!T17*Assumptions!$B$115+Revenue_Build!T19*Assumptions!$B$115</f>
        <v/>
      </c>
      <c r="U184" s="8">
        <f>Revenue_Build!U8*U75*Assumptions!$B$200+Revenue_Build!U15*Assumptions!$B$115+Revenue_Build!U17*Assumptions!$B$115+Revenue_Build!U19*Assumptions!$B$115</f>
        <v/>
      </c>
      <c r="V184" s="8">
        <f>Revenue_Build!V8*V75*Assumptions!$B$200+Revenue_Build!V15*Assumptions!$B$115+Revenue_Build!V17*Assumptions!$B$115+Revenue_Build!V19*Assumptions!$B$115</f>
        <v/>
      </c>
      <c r="W184" s="8">
        <f>Revenue_Build!W8*W75*Assumptions!$B$200+Revenue_Build!W15*Assumptions!$B$115+Revenue_Build!W17*Assumptions!$B$115+Revenue_Build!W19*Assumptions!$B$115</f>
        <v/>
      </c>
      <c r="X184" s="8">
        <f>Revenue_Build!X8*X75*Assumptions!$B$200+Revenue_Build!X15*Assumptions!$B$115+Revenue_Build!X17*Assumptions!$B$115+Revenue_Build!X19*Assumptions!$B$115</f>
        <v/>
      </c>
      <c r="Y184" s="8">
        <f>Revenue_Build!Y8*Y75*Assumptions!$B$200+Revenue_Build!Y15*Assumptions!$B$115+Revenue_Build!Y17*Assumptions!$B$115+Revenue_Build!Y19*Assumptions!$B$115</f>
        <v/>
      </c>
      <c r="Z184" s="8">
        <f>Revenue_Build!Z8*Z75*Assumptions!$B$200+Revenue_Build!Z15*Assumptions!$B$115+Revenue_Build!Z17*Assumptions!$B$115+Revenue_Build!Z19*Assumptions!$B$115</f>
        <v/>
      </c>
      <c r="AA184" s="8">
        <f>Revenue_Build!AA8*AA75*Assumptions!$B$200+Revenue_Build!AA15*Assumptions!$B$115+Revenue_Build!AA17*Assumptions!$B$115+Revenue_Build!AA19*Assumptions!$B$115</f>
        <v/>
      </c>
      <c r="AB184" s="8">
        <f>Revenue_Build!AB8*AB75*Assumptions!$B$200+Revenue_Build!AB15*Assumptions!$B$115+Revenue_Build!AB17*Assumptions!$B$115+Revenue_Build!AB19*Assumptions!$B$115</f>
        <v/>
      </c>
      <c r="AC184" s="8">
        <f>Revenue_Build!AC8*AC75*Assumptions!$B$200+Revenue_Build!AC15*Assumptions!$B$115+Revenue_Build!AC17*Assumptions!$B$115+Revenue_Build!AC19*Assumptions!$B$115</f>
        <v/>
      </c>
      <c r="AD184" s="8">
        <f>Revenue_Build!AD8*AD75*Assumptions!$B$200+Revenue_Build!AD15*Assumptions!$B$115+Revenue_Build!AD17*Assumptions!$B$115+Revenue_Build!AD19*Assumptions!$B$115</f>
        <v/>
      </c>
      <c r="AE184" s="8">
        <f>Revenue_Build!AE8*AE75*Assumptions!$B$200+Revenue_Build!AE15*Assumptions!$B$115+Revenue_Build!AE17*Assumptions!$B$115+Revenue_Build!AE19*Assumptions!$B$115</f>
        <v/>
      </c>
      <c r="AF184" s="8">
        <f>Revenue_Build!AF8*AF75*Assumptions!$B$200+Revenue_Build!AF15*Assumptions!$B$115+Revenue_Build!AF17*Assumptions!$B$115+Revenue_Build!AF19*Assumptions!$B$115</f>
        <v/>
      </c>
      <c r="AG184" s="8">
        <f>Revenue_Build!AG8*AG75*Assumptions!$B$200+Revenue_Build!AG15*Assumptions!$B$115+Revenue_Build!AG17*Assumptions!$B$115+Revenue_Build!AG19*Assumptions!$B$115</f>
        <v/>
      </c>
      <c r="AH184" s="8">
        <f>Revenue_Build!AH8*AH75*Assumptions!$B$200+Revenue_Build!AH15*Assumptions!$B$115+Revenue_Build!AH17*Assumptions!$B$115+Revenue_Build!AH19*Assumptions!$B$115</f>
        <v/>
      </c>
      <c r="AI184" s="8">
        <f>Revenue_Build!AI8*AI75*Assumptions!$B$200+Revenue_Build!AI15*Assumptions!$B$115+Revenue_Build!AI17*Assumptions!$B$115+Revenue_Build!AI19*Assumptions!$B$115</f>
        <v/>
      </c>
      <c r="AJ184" s="8">
        <f>Revenue_Build!AJ8*AJ75*Assumptions!$B$200+Revenue_Build!AJ15*Assumptions!$B$115+Revenue_Build!AJ17*Assumptions!$B$115+Revenue_Build!AJ19*Assumptions!$B$115</f>
        <v/>
      </c>
      <c r="AK184" s="8">
        <f>Revenue_Build!AK8*AK75*Assumptions!$B$200+Revenue_Build!AK15*Assumptions!$B$115+Revenue_Build!AK17*Assumptions!$B$115+Revenue_Build!AK19*Assumptions!$B$115</f>
        <v/>
      </c>
      <c r="AL184" s="8">
        <f>Revenue_Build!AL8*AL75*Assumptions!$B$200+Revenue_Build!AL15*Assumptions!$B$115+Revenue_Build!AL17*Assumptions!$B$115+Revenue_Build!AL19*Assumptions!$B$115</f>
        <v/>
      </c>
      <c r="AM184" s="8">
        <f>Revenue_Build!AM8*AM75*Assumptions!$B$200+Revenue_Build!AM15*Assumptions!$B$115+Revenue_Build!AM17*Assumptions!$B$115+Revenue_Build!AM19*Assumptions!$B$115</f>
        <v/>
      </c>
      <c r="AN184" s="8">
        <f>Revenue_Build!AN8*AN75*Assumptions!$B$200+Revenue_Build!AN15*Assumptions!$B$115+Revenue_Build!AN17*Assumptions!$B$115+Revenue_Build!AN19*Assumptions!$B$115</f>
        <v/>
      </c>
      <c r="AO184" s="8">
        <f>Revenue_Build!AO8*AO75*Assumptions!$B$200+Revenue_Build!AO15*Assumptions!$B$115+Revenue_Build!AO17*Assumptions!$B$115+Revenue_Build!AO19*Assumptions!$B$115</f>
        <v/>
      </c>
      <c r="AP184" s="8">
        <f>Revenue_Build!AP8*AP75*Assumptions!$B$200+Revenue_Build!AP15*Assumptions!$B$115+Revenue_Build!AP17*Assumptions!$B$115+Revenue_Build!AP19*Assumptions!$B$115</f>
        <v/>
      </c>
      <c r="AQ184" s="8">
        <f>Revenue_Build!AQ8*AQ75*Assumptions!$B$200+Revenue_Build!AQ15*Assumptions!$B$115+Revenue_Build!AQ17*Assumptions!$B$115+Revenue_Build!AQ19*Assumptions!$B$115</f>
        <v/>
      </c>
      <c r="AR184" s="8">
        <f>Revenue_Build!AR8*AR75*Assumptions!$B$200+Revenue_Build!AR15*Assumptions!$B$115+Revenue_Build!AR17*Assumptions!$B$115+Revenue_Build!AR19*Assumptions!$B$115</f>
        <v/>
      </c>
      <c r="AS184" s="8">
        <f>Revenue_Build!AS8*AS75*Assumptions!$B$200+Revenue_Build!AS15*Assumptions!$B$115+Revenue_Build!AS17*Assumptions!$B$115+Revenue_Build!AS19*Assumptions!$B$115</f>
        <v/>
      </c>
      <c r="AT184" s="8">
        <f>Revenue_Build!AT8*AT75*Assumptions!$B$200+Revenue_Build!AT15*Assumptions!$B$115+Revenue_Build!AT17*Assumptions!$B$115+Revenue_Build!AT19*Assumptions!$B$115</f>
        <v/>
      </c>
      <c r="AU184" s="8">
        <f>Revenue_Build!AU8*AU75*Assumptions!$B$200+Revenue_Build!AU15*Assumptions!$B$115+Revenue_Build!AU17*Assumptions!$B$115+Revenue_Build!AU19*Assumptions!$B$115</f>
        <v/>
      </c>
      <c r="AV184" s="8">
        <f>Revenue_Build!AV8*AV75*Assumptions!$B$200+Revenue_Build!AV15*Assumptions!$B$115+Revenue_Build!AV17*Assumptions!$B$115+Revenue_Build!AV19*Assumptions!$B$115</f>
        <v/>
      </c>
      <c r="AW184" s="8">
        <f>Revenue_Build!AW8*AW75*Assumptions!$B$200+Revenue_Build!AW15*Assumptions!$B$115+Revenue_Build!AW17*Assumptions!$B$115+Revenue_Build!AW19*Assumptions!$B$115</f>
        <v/>
      </c>
      <c r="AX184" s="8">
        <f>Revenue_Build!AX8*AX75*Assumptions!$B$200+Revenue_Build!AX15*Assumptions!$B$115+Revenue_Build!AX17*Assumptions!$B$115+Revenue_Build!AX19*Assumptions!$B$115</f>
        <v/>
      </c>
      <c r="AY184" s="8">
        <f>Revenue_Build!AY8*AY75*Assumptions!$B$200+Revenue_Build!AY15*Assumptions!$B$115+Revenue_Build!AY17*Assumptions!$B$115+Revenue_Build!AY19*Assumptions!$B$115</f>
        <v/>
      </c>
      <c r="AZ184" s="8">
        <f>Revenue_Build!AZ8*AZ75*Assumptions!$B$200+Revenue_Build!AZ15*Assumptions!$B$115+Revenue_Build!AZ17*Assumptions!$B$115+Revenue_Build!AZ19*Assumptions!$B$115</f>
        <v/>
      </c>
      <c r="BA184" s="8">
        <f>Revenue_Build!BA8*BA75*Assumptions!$B$200+Revenue_Build!BA15*Assumptions!$B$115+Revenue_Build!BA17*Assumptions!$B$115+Revenue_Build!BA19*Assumptions!$B$115</f>
        <v/>
      </c>
      <c r="BB184" s="8">
        <f>Revenue_Build!BB8*BB75*Assumptions!$B$200+Revenue_Build!BB15*Assumptions!$B$115+Revenue_Build!BB17*Assumptions!$B$115+Revenue_Build!BB19*Assumptions!$B$115</f>
        <v/>
      </c>
      <c r="BC184" s="8">
        <f>Revenue_Build!BC8*BC75*Assumptions!$B$200+Revenue_Build!BC15*Assumptions!$B$115+Revenue_Build!BC17*Assumptions!$B$115+Revenue_Build!BC19*Assumptions!$B$115</f>
        <v/>
      </c>
      <c r="BD184" s="8">
        <f>Revenue_Build!BD8*BD75*Assumptions!$B$200+Revenue_Build!BD15*Assumptions!$B$115+Revenue_Build!BD17*Assumptions!$B$115+Revenue_Build!BD19*Assumptions!$B$115</f>
        <v/>
      </c>
      <c r="BE184" s="8">
        <f>Revenue_Build!BE8*BE75*Assumptions!$B$200+Revenue_Build!BE15*Assumptions!$B$115+Revenue_Build!BE17*Assumptions!$B$115+Revenue_Build!BE19*Assumptions!$B$115</f>
        <v/>
      </c>
      <c r="BF184" s="8">
        <f>Revenue_Build!BF8*BF75*Assumptions!$B$200+Revenue_Build!BF15*Assumptions!$B$115+Revenue_Build!BF17*Assumptions!$B$115+Revenue_Build!BF19*Assumptions!$B$115</f>
        <v/>
      </c>
      <c r="BG184" s="8">
        <f>Revenue_Build!BG8*BG75*Assumptions!$B$200+Revenue_Build!BG15*Assumptions!$B$115+Revenue_Build!BG17*Assumptions!$B$115+Revenue_Build!BG19*Assumptions!$B$115</f>
        <v/>
      </c>
      <c r="BH184" s="8">
        <f>Revenue_Build!BH8*BH75*Assumptions!$B$200+Revenue_Build!BH15*Assumptions!$B$115+Revenue_Build!BH17*Assumptions!$B$115+Revenue_Build!BH19*Assumptions!$B$115</f>
        <v/>
      </c>
      <c r="BI184" s="8">
        <f>Revenue_Build!BI8*BI75*Assumptions!$B$200+Revenue_Build!BI15*Assumptions!$B$115+Revenue_Build!BI17*Assumptions!$B$115+Revenue_Build!BI19*Assumptions!$B$115</f>
        <v/>
      </c>
      <c r="BJ184" s="8">
        <f>Revenue_Build!BJ8*BJ75*Assumptions!$B$200+Revenue_Build!BJ15*Assumptions!$B$115+Revenue_Build!BJ17*Assumptions!$B$115+Revenue_Build!BJ19*Assumptions!$B$115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474F"/>
    <outlinePr summaryBelow="1" summaryRight="1"/>
    <pageSetUpPr/>
  </sheetPr>
  <dimension ref="A1:BJ5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16" t="inlineStr">
        <is>
          <t>P&amp;L</t>
        </is>
      </c>
    </row>
    <row r="2">
      <c r="A2" s="17" t="inlineStr">
        <is>
          <t>Monthly profit and loss (ZAR). EBITDA excludes D&amp;A (immaterial: equipment is expensed).</t>
        </is>
      </c>
    </row>
    <row r="3">
      <c r="A3" s="6" t="inlineStr">
        <is>
          <t>Month #</t>
        </is>
      </c>
      <c r="B3" s="6" t="inlineStr">
        <is>
          <t>Unit</t>
        </is>
      </c>
      <c r="C3" s="37" t="n">
        <v>1</v>
      </c>
      <c r="D3" s="37" t="n">
        <v>2</v>
      </c>
      <c r="E3" s="37" t="n">
        <v>3</v>
      </c>
      <c r="F3" s="37" t="n">
        <v>4</v>
      </c>
      <c r="G3" s="37" t="n">
        <v>5</v>
      </c>
      <c r="H3" s="37" t="n">
        <v>6</v>
      </c>
      <c r="I3" s="37" t="n">
        <v>7</v>
      </c>
      <c r="J3" s="37" t="n">
        <v>8</v>
      </c>
      <c r="K3" s="37" t="n">
        <v>9</v>
      </c>
      <c r="L3" s="37" t="n">
        <v>10</v>
      </c>
      <c r="M3" s="37" t="n">
        <v>11</v>
      </c>
      <c r="N3" s="37" t="n">
        <v>12</v>
      </c>
      <c r="O3" s="37" t="n">
        <v>13</v>
      </c>
      <c r="P3" s="37" t="n">
        <v>14</v>
      </c>
      <c r="Q3" s="37" t="n">
        <v>15</v>
      </c>
      <c r="R3" s="37" t="n">
        <v>16</v>
      </c>
      <c r="S3" s="37" t="n">
        <v>17</v>
      </c>
      <c r="T3" s="37" t="n">
        <v>18</v>
      </c>
      <c r="U3" s="37" t="n">
        <v>19</v>
      </c>
      <c r="V3" s="37" t="n">
        <v>20</v>
      </c>
      <c r="W3" s="37" t="n">
        <v>21</v>
      </c>
      <c r="X3" s="37" t="n">
        <v>22</v>
      </c>
      <c r="Y3" s="37" t="n">
        <v>23</v>
      </c>
      <c r="Z3" s="37" t="n">
        <v>24</v>
      </c>
      <c r="AA3" s="37" t="n">
        <v>25</v>
      </c>
      <c r="AB3" s="37" t="n">
        <v>26</v>
      </c>
      <c r="AC3" s="37" t="n">
        <v>27</v>
      </c>
      <c r="AD3" s="37" t="n">
        <v>28</v>
      </c>
      <c r="AE3" s="37" t="n">
        <v>29</v>
      </c>
      <c r="AF3" s="37" t="n">
        <v>30</v>
      </c>
      <c r="AG3" s="37" t="n">
        <v>31</v>
      </c>
      <c r="AH3" s="37" t="n">
        <v>32</v>
      </c>
      <c r="AI3" s="37" t="n">
        <v>33</v>
      </c>
      <c r="AJ3" s="37" t="n">
        <v>34</v>
      </c>
      <c r="AK3" s="37" t="n">
        <v>35</v>
      </c>
      <c r="AL3" s="37" t="n">
        <v>36</v>
      </c>
      <c r="AM3" s="37" t="n">
        <v>37</v>
      </c>
      <c r="AN3" s="37" t="n">
        <v>38</v>
      </c>
      <c r="AO3" s="37" t="n">
        <v>39</v>
      </c>
      <c r="AP3" s="37" t="n">
        <v>40</v>
      </c>
      <c r="AQ3" s="37" t="n">
        <v>41</v>
      </c>
      <c r="AR3" s="37" t="n">
        <v>42</v>
      </c>
      <c r="AS3" s="37" t="n">
        <v>43</v>
      </c>
      <c r="AT3" s="37" t="n">
        <v>44</v>
      </c>
      <c r="AU3" s="37" t="n">
        <v>45</v>
      </c>
      <c r="AV3" s="37" t="n">
        <v>46</v>
      </c>
      <c r="AW3" s="37" t="n">
        <v>47</v>
      </c>
      <c r="AX3" s="37" t="n">
        <v>48</v>
      </c>
      <c r="AY3" s="37" t="n">
        <v>49</v>
      </c>
      <c r="AZ3" s="37" t="n">
        <v>50</v>
      </c>
      <c r="BA3" s="37" t="n">
        <v>51</v>
      </c>
      <c r="BB3" s="37" t="n">
        <v>52</v>
      </c>
      <c r="BC3" s="37" t="n">
        <v>53</v>
      </c>
      <c r="BD3" s="37" t="n">
        <v>54</v>
      </c>
      <c r="BE3" s="37" t="n">
        <v>55</v>
      </c>
      <c r="BF3" s="37" t="n">
        <v>56</v>
      </c>
      <c r="BG3" s="37" t="n">
        <v>57</v>
      </c>
      <c r="BH3" s="37" t="n">
        <v>58</v>
      </c>
      <c r="BI3" s="37" t="n">
        <v>59</v>
      </c>
      <c r="BJ3" s="37" t="n">
        <v>60</v>
      </c>
    </row>
    <row r="4">
      <c r="A4" s="6" t="inlineStr">
        <is>
          <t>Month</t>
        </is>
      </c>
      <c r="B4" s="6" t="inlineStr"/>
      <c r="C4" s="38" t="inlineStr">
        <is>
          <t>Oct 2026</t>
        </is>
      </c>
      <c r="D4" s="38" t="inlineStr">
        <is>
          <t>Nov 2026</t>
        </is>
      </c>
      <c r="E4" s="38" t="inlineStr">
        <is>
          <t>Dec 2026</t>
        </is>
      </c>
      <c r="F4" s="38" t="inlineStr">
        <is>
          <t>Jan 2027</t>
        </is>
      </c>
      <c r="G4" s="38" t="inlineStr">
        <is>
          <t>Feb 2027</t>
        </is>
      </c>
      <c r="H4" s="38" t="inlineStr">
        <is>
          <t>Mar 2027</t>
        </is>
      </c>
      <c r="I4" s="38" t="inlineStr">
        <is>
          <t>Apr 2027</t>
        </is>
      </c>
      <c r="J4" s="38" t="inlineStr">
        <is>
          <t>May 2027</t>
        </is>
      </c>
      <c r="K4" s="38" t="inlineStr">
        <is>
          <t>Jun 2027</t>
        </is>
      </c>
      <c r="L4" s="38" t="inlineStr">
        <is>
          <t>Jul 2027</t>
        </is>
      </c>
      <c r="M4" s="38" t="inlineStr">
        <is>
          <t>Aug 2027</t>
        </is>
      </c>
      <c r="N4" s="38" t="inlineStr">
        <is>
          <t>Sep 2027</t>
        </is>
      </c>
      <c r="O4" s="38" t="inlineStr">
        <is>
          <t>Oct 2027</t>
        </is>
      </c>
      <c r="P4" s="38" t="inlineStr">
        <is>
          <t>Nov 2027</t>
        </is>
      </c>
      <c r="Q4" s="38" t="inlineStr">
        <is>
          <t>Dec 2027</t>
        </is>
      </c>
      <c r="R4" s="38" t="inlineStr">
        <is>
          <t>Jan 2028</t>
        </is>
      </c>
      <c r="S4" s="38" t="inlineStr">
        <is>
          <t>Feb 2028</t>
        </is>
      </c>
      <c r="T4" s="38" t="inlineStr">
        <is>
          <t>Mar 2028</t>
        </is>
      </c>
      <c r="U4" s="38" t="inlineStr">
        <is>
          <t>Apr 2028</t>
        </is>
      </c>
      <c r="V4" s="38" t="inlineStr">
        <is>
          <t>May 2028</t>
        </is>
      </c>
      <c r="W4" s="38" t="inlineStr">
        <is>
          <t>Jun 2028</t>
        </is>
      </c>
      <c r="X4" s="38" t="inlineStr">
        <is>
          <t>Jul 2028</t>
        </is>
      </c>
      <c r="Y4" s="38" t="inlineStr">
        <is>
          <t>Aug 2028</t>
        </is>
      </c>
      <c r="Z4" s="38" t="inlineStr">
        <is>
          <t>Sep 2028</t>
        </is>
      </c>
      <c r="AA4" s="38" t="inlineStr">
        <is>
          <t>Oct 2028</t>
        </is>
      </c>
      <c r="AB4" s="38" t="inlineStr">
        <is>
          <t>Nov 2028</t>
        </is>
      </c>
      <c r="AC4" s="38" t="inlineStr">
        <is>
          <t>Dec 2028</t>
        </is>
      </c>
      <c r="AD4" s="38" t="inlineStr">
        <is>
          <t>Jan 2029</t>
        </is>
      </c>
      <c r="AE4" s="38" t="inlineStr">
        <is>
          <t>Feb 2029</t>
        </is>
      </c>
      <c r="AF4" s="38" t="inlineStr">
        <is>
          <t>Mar 2029</t>
        </is>
      </c>
      <c r="AG4" s="38" t="inlineStr">
        <is>
          <t>Apr 2029</t>
        </is>
      </c>
      <c r="AH4" s="38" t="inlineStr">
        <is>
          <t>May 2029</t>
        </is>
      </c>
      <c r="AI4" s="38" t="inlineStr">
        <is>
          <t>Jun 2029</t>
        </is>
      </c>
      <c r="AJ4" s="38" t="inlineStr">
        <is>
          <t>Jul 2029</t>
        </is>
      </c>
      <c r="AK4" s="38" t="inlineStr">
        <is>
          <t>Aug 2029</t>
        </is>
      </c>
      <c r="AL4" s="38" t="inlineStr">
        <is>
          <t>Sep 2029</t>
        </is>
      </c>
      <c r="AM4" s="38" t="inlineStr">
        <is>
          <t>Oct 2029</t>
        </is>
      </c>
      <c r="AN4" s="38" t="inlineStr">
        <is>
          <t>Nov 2029</t>
        </is>
      </c>
      <c r="AO4" s="38" t="inlineStr">
        <is>
          <t>Dec 2029</t>
        </is>
      </c>
      <c r="AP4" s="38" t="inlineStr">
        <is>
          <t>Jan 2030</t>
        </is>
      </c>
      <c r="AQ4" s="38" t="inlineStr">
        <is>
          <t>Feb 2030</t>
        </is>
      </c>
      <c r="AR4" s="38" t="inlineStr">
        <is>
          <t>Mar 2030</t>
        </is>
      </c>
      <c r="AS4" s="38" t="inlineStr">
        <is>
          <t>Apr 2030</t>
        </is>
      </c>
      <c r="AT4" s="38" t="inlineStr">
        <is>
          <t>May 2030</t>
        </is>
      </c>
      <c r="AU4" s="38" t="inlineStr">
        <is>
          <t>Jun 2030</t>
        </is>
      </c>
      <c r="AV4" s="38" t="inlineStr">
        <is>
          <t>Jul 2030</t>
        </is>
      </c>
      <c r="AW4" s="38" t="inlineStr">
        <is>
          <t>Aug 2030</t>
        </is>
      </c>
      <c r="AX4" s="38" t="inlineStr">
        <is>
          <t>Sep 2030</t>
        </is>
      </c>
      <c r="AY4" s="38" t="inlineStr">
        <is>
          <t>Oct 2030</t>
        </is>
      </c>
      <c r="AZ4" s="38" t="inlineStr">
        <is>
          <t>Nov 2030</t>
        </is>
      </c>
      <c r="BA4" s="38" t="inlineStr">
        <is>
          <t>Dec 2030</t>
        </is>
      </c>
      <c r="BB4" s="38" t="inlineStr">
        <is>
          <t>Jan 2031</t>
        </is>
      </c>
      <c r="BC4" s="38" t="inlineStr">
        <is>
          <t>Feb 2031</t>
        </is>
      </c>
      <c r="BD4" s="38" t="inlineStr">
        <is>
          <t>Mar 2031</t>
        </is>
      </c>
      <c r="BE4" s="38" t="inlineStr">
        <is>
          <t>Apr 2031</t>
        </is>
      </c>
      <c r="BF4" s="38" t="inlineStr">
        <is>
          <t>May 2031</t>
        </is>
      </c>
      <c r="BG4" s="38" t="inlineStr">
        <is>
          <t>Jun 2031</t>
        </is>
      </c>
      <c r="BH4" s="38" t="inlineStr">
        <is>
          <t>Jul 2031</t>
        </is>
      </c>
      <c r="BI4" s="38" t="inlineStr">
        <is>
          <t>Aug 2031</t>
        </is>
      </c>
      <c r="BJ4" s="38" t="inlineStr">
        <is>
          <t>Sep 2031</t>
        </is>
      </c>
    </row>
    <row r="5">
      <c r="A5" s="3" t="inlineStr">
        <is>
          <t>Fiscal year (Oct-Sep)</t>
        </is>
      </c>
      <c r="C5" s="39" t="n">
        <v>1</v>
      </c>
      <c r="D5" s="39" t="n">
        <v>1</v>
      </c>
      <c r="E5" s="39" t="n">
        <v>1</v>
      </c>
      <c r="F5" s="39" t="n">
        <v>1</v>
      </c>
      <c r="G5" s="39" t="n">
        <v>1</v>
      </c>
      <c r="H5" s="39" t="n">
        <v>1</v>
      </c>
      <c r="I5" s="39" t="n">
        <v>1</v>
      </c>
      <c r="J5" s="39" t="n">
        <v>1</v>
      </c>
      <c r="K5" s="39" t="n">
        <v>1</v>
      </c>
      <c r="L5" s="39" t="n">
        <v>1</v>
      </c>
      <c r="M5" s="39" t="n">
        <v>1</v>
      </c>
      <c r="N5" s="39" t="n">
        <v>1</v>
      </c>
      <c r="O5" s="39" t="n">
        <v>2</v>
      </c>
      <c r="P5" s="39" t="n">
        <v>2</v>
      </c>
      <c r="Q5" s="39" t="n">
        <v>2</v>
      </c>
      <c r="R5" s="39" t="n">
        <v>2</v>
      </c>
      <c r="S5" s="39" t="n">
        <v>2</v>
      </c>
      <c r="T5" s="39" t="n">
        <v>2</v>
      </c>
      <c r="U5" s="39" t="n">
        <v>2</v>
      </c>
      <c r="V5" s="39" t="n">
        <v>2</v>
      </c>
      <c r="W5" s="39" t="n">
        <v>2</v>
      </c>
      <c r="X5" s="39" t="n">
        <v>2</v>
      </c>
      <c r="Y5" s="39" t="n">
        <v>2</v>
      </c>
      <c r="Z5" s="39" t="n">
        <v>2</v>
      </c>
      <c r="AA5" s="39" t="n">
        <v>3</v>
      </c>
      <c r="AB5" s="39" t="n">
        <v>3</v>
      </c>
      <c r="AC5" s="39" t="n">
        <v>3</v>
      </c>
      <c r="AD5" s="39" t="n">
        <v>3</v>
      </c>
      <c r="AE5" s="39" t="n">
        <v>3</v>
      </c>
      <c r="AF5" s="39" t="n">
        <v>3</v>
      </c>
      <c r="AG5" s="39" t="n">
        <v>3</v>
      </c>
      <c r="AH5" s="39" t="n">
        <v>3</v>
      </c>
      <c r="AI5" s="39" t="n">
        <v>3</v>
      </c>
      <c r="AJ5" s="39" t="n">
        <v>3</v>
      </c>
      <c r="AK5" s="39" t="n">
        <v>3</v>
      </c>
      <c r="AL5" s="39" t="n">
        <v>3</v>
      </c>
      <c r="AM5" s="39" t="n">
        <v>4</v>
      </c>
      <c r="AN5" s="39" t="n">
        <v>4</v>
      </c>
      <c r="AO5" s="39" t="n">
        <v>4</v>
      </c>
      <c r="AP5" s="39" t="n">
        <v>4</v>
      </c>
      <c r="AQ5" s="39" t="n">
        <v>4</v>
      </c>
      <c r="AR5" s="39" t="n">
        <v>4</v>
      </c>
      <c r="AS5" s="39" t="n">
        <v>4</v>
      </c>
      <c r="AT5" s="39" t="n">
        <v>4</v>
      </c>
      <c r="AU5" s="39" t="n">
        <v>4</v>
      </c>
      <c r="AV5" s="39" t="n">
        <v>4</v>
      </c>
      <c r="AW5" s="39" t="n">
        <v>4</v>
      </c>
      <c r="AX5" s="39" t="n">
        <v>4</v>
      </c>
      <c r="AY5" s="39" t="n">
        <v>5</v>
      </c>
      <c r="AZ5" s="39" t="n">
        <v>5</v>
      </c>
      <c r="BA5" s="39" t="n">
        <v>5</v>
      </c>
      <c r="BB5" s="39" t="n">
        <v>5</v>
      </c>
      <c r="BC5" s="39" t="n">
        <v>5</v>
      </c>
      <c r="BD5" s="39" t="n">
        <v>5</v>
      </c>
      <c r="BE5" s="39" t="n">
        <v>5</v>
      </c>
      <c r="BF5" s="39" t="n">
        <v>5</v>
      </c>
      <c r="BG5" s="39" t="n">
        <v>5</v>
      </c>
      <c r="BH5" s="39" t="n">
        <v>5</v>
      </c>
      <c r="BI5" s="39" t="n">
        <v>5</v>
      </c>
      <c r="BJ5" s="39" t="n">
        <v>5</v>
      </c>
    </row>
    <row r="6"/>
    <row r="7">
      <c r="A7" s="19" t="inlineStr">
        <is>
          <t>Revenue: gross subscriptions -&gt; launch discounts -&gt; net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</row>
    <row r="8">
      <c r="A8" s="4" t="inlineStr">
        <is>
          <t>Subscriptions (gross, at list / parity prices)</t>
        </is>
      </c>
      <c r="B8" s="17" t="inlineStr">
        <is>
          <t>R</t>
        </is>
      </c>
      <c r="C8" s="8">
        <f>Revenue_Build!C352</f>
        <v/>
      </c>
      <c r="D8" s="8">
        <f>Revenue_Build!D352</f>
        <v/>
      </c>
      <c r="E8" s="8">
        <f>Revenue_Build!E352</f>
        <v/>
      </c>
      <c r="F8" s="8">
        <f>Revenue_Build!F352</f>
        <v/>
      </c>
      <c r="G8" s="8">
        <f>Revenue_Build!G352</f>
        <v/>
      </c>
      <c r="H8" s="8">
        <f>Revenue_Build!H352</f>
        <v/>
      </c>
      <c r="I8" s="8">
        <f>Revenue_Build!I352</f>
        <v/>
      </c>
      <c r="J8" s="8">
        <f>Revenue_Build!J352</f>
        <v/>
      </c>
      <c r="K8" s="8">
        <f>Revenue_Build!K352</f>
        <v/>
      </c>
      <c r="L8" s="8">
        <f>Revenue_Build!L352</f>
        <v/>
      </c>
      <c r="M8" s="8">
        <f>Revenue_Build!M352</f>
        <v/>
      </c>
      <c r="N8" s="8">
        <f>Revenue_Build!N352</f>
        <v/>
      </c>
      <c r="O8" s="8">
        <f>Revenue_Build!O352</f>
        <v/>
      </c>
      <c r="P8" s="8">
        <f>Revenue_Build!P352</f>
        <v/>
      </c>
      <c r="Q8" s="8">
        <f>Revenue_Build!Q352</f>
        <v/>
      </c>
      <c r="R8" s="8">
        <f>Revenue_Build!R352</f>
        <v/>
      </c>
      <c r="S8" s="8">
        <f>Revenue_Build!S352</f>
        <v/>
      </c>
      <c r="T8" s="8">
        <f>Revenue_Build!T352</f>
        <v/>
      </c>
      <c r="U8" s="8">
        <f>Revenue_Build!U352</f>
        <v/>
      </c>
      <c r="V8" s="8">
        <f>Revenue_Build!V352</f>
        <v/>
      </c>
      <c r="W8" s="8">
        <f>Revenue_Build!W352</f>
        <v/>
      </c>
      <c r="X8" s="8">
        <f>Revenue_Build!X352</f>
        <v/>
      </c>
      <c r="Y8" s="8">
        <f>Revenue_Build!Y352</f>
        <v/>
      </c>
      <c r="Z8" s="8">
        <f>Revenue_Build!Z352</f>
        <v/>
      </c>
      <c r="AA8" s="8">
        <f>Revenue_Build!AA352</f>
        <v/>
      </c>
      <c r="AB8" s="8">
        <f>Revenue_Build!AB352</f>
        <v/>
      </c>
      <c r="AC8" s="8">
        <f>Revenue_Build!AC352</f>
        <v/>
      </c>
      <c r="AD8" s="8">
        <f>Revenue_Build!AD352</f>
        <v/>
      </c>
      <c r="AE8" s="8">
        <f>Revenue_Build!AE352</f>
        <v/>
      </c>
      <c r="AF8" s="8">
        <f>Revenue_Build!AF352</f>
        <v/>
      </c>
      <c r="AG8" s="8">
        <f>Revenue_Build!AG352</f>
        <v/>
      </c>
      <c r="AH8" s="8">
        <f>Revenue_Build!AH352</f>
        <v/>
      </c>
      <c r="AI8" s="8">
        <f>Revenue_Build!AI352</f>
        <v/>
      </c>
      <c r="AJ8" s="8">
        <f>Revenue_Build!AJ352</f>
        <v/>
      </c>
      <c r="AK8" s="8">
        <f>Revenue_Build!AK352</f>
        <v/>
      </c>
      <c r="AL8" s="8">
        <f>Revenue_Build!AL352</f>
        <v/>
      </c>
      <c r="AM8" s="8">
        <f>Revenue_Build!AM352</f>
        <v/>
      </c>
      <c r="AN8" s="8">
        <f>Revenue_Build!AN352</f>
        <v/>
      </c>
      <c r="AO8" s="8">
        <f>Revenue_Build!AO352</f>
        <v/>
      </c>
      <c r="AP8" s="8">
        <f>Revenue_Build!AP352</f>
        <v/>
      </c>
      <c r="AQ8" s="8">
        <f>Revenue_Build!AQ352</f>
        <v/>
      </c>
      <c r="AR8" s="8">
        <f>Revenue_Build!AR352</f>
        <v/>
      </c>
      <c r="AS8" s="8">
        <f>Revenue_Build!AS352</f>
        <v/>
      </c>
      <c r="AT8" s="8">
        <f>Revenue_Build!AT352</f>
        <v/>
      </c>
      <c r="AU8" s="8">
        <f>Revenue_Build!AU352</f>
        <v/>
      </c>
      <c r="AV8" s="8">
        <f>Revenue_Build!AV352</f>
        <v/>
      </c>
      <c r="AW8" s="8">
        <f>Revenue_Build!AW352</f>
        <v/>
      </c>
      <c r="AX8" s="8">
        <f>Revenue_Build!AX352</f>
        <v/>
      </c>
      <c r="AY8" s="8">
        <f>Revenue_Build!AY352</f>
        <v/>
      </c>
      <c r="AZ8" s="8">
        <f>Revenue_Build!AZ352</f>
        <v/>
      </c>
      <c r="BA8" s="8">
        <f>Revenue_Build!BA352</f>
        <v/>
      </c>
      <c r="BB8" s="8">
        <f>Revenue_Build!BB352</f>
        <v/>
      </c>
      <c r="BC8" s="8">
        <f>Revenue_Build!BC352</f>
        <v/>
      </c>
      <c r="BD8" s="8">
        <f>Revenue_Build!BD352</f>
        <v/>
      </c>
      <c r="BE8" s="8">
        <f>Revenue_Build!BE352</f>
        <v/>
      </c>
      <c r="BF8" s="8">
        <f>Revenue_Build!BF352</f>
        <v/>
      </c>
      <c r="BG8" s="8">
        <f>Revenue_Build!BG352</f>
        <v/>
      </c>
      <c r="BH8" s="8">
        <f>Revenue_Build!BH352</f>
        <v/>
      </c>
      <c r="BI8" s="8">
        <f>Revenue_Build!BI352</f>
        <v/>
      </c>
      <c r="BJ8" s="8">
        <f>Revenue_Build!BJ352</f>
        <v/>
      </c>
    </row>
    <row r="9">
      <c r="A9" s="4" t="inlineStr">
        <is>
          <t>less: Founding Member launch discount</t>
        </is>
      </c>
      <c r="B9" s="17" t="inlineStr">
        <is>
          <t>R</t>
        </is>
      </c>
      <c r="C9" s="8">
        <f>-Revenue_Build!C375</f>
        <v/>
      </c>
      <c r="D9" s="8">
        <f>-Revenue_Build!D375</f>
        <v/>
      </c>
      <c r="E9" s="8">
        <f>-Revenue_Build!E375</f>
        <v/>
      </c>
      <c r="F9" s="8">
        <f>-Revenue_Build!F375</f>
        <v/>
      </c>
      <c r="G9" s="8">
        <f>-Revenue_Build!G375</f>
        <v/>
      </c>
      <c r="H9" s="8">
        <f>-Revenue_Build!H375</f>
        <v/>
      </c>
      <c r="I9" s="8">
        <f>-Revenue_Build!I375</f>
        <v/>
      </c>
      <c r="J9" s="8">
        <f>-Revenue_Build!J375</f>
        <v/>
      </c>
      <c r="K9" s="8">
        <f>-Revenue_Build!K375</f>
        <v/>
      </c>
      <c r="L9" s="8">
        <f>-Revenue_Build!L375</f>
        <v/>
      </c>
      <c r="M9" s="8">
        <f>-Revenue_Build!M375</f>
        <v/>
      </c>
      <c r="N9" s="8">
        <f>-Revenue_Build!N375</f>
        <v/>
      </c>
      <c r="O9" s="8">
        <f>-Revenue_Build!O375</f>
        <v/>
      </c>
      <c r="P9" s="8">
        <f>-Revenue_Build!P375</f>
        <v/>
      </c>
      <c r="Q9" s="8">
        <f>-Revenue_Build!Q375</f>
        <v/>
      </c>
      <c r="R9" s="8">
        <f>-Revenue_Build!R375</f>
        <v/>
      </c>
      <c r="S9" s="8">
        <f>-Revenue_Build!S375</f>
        <v/>
      </c>
      <c r="T9" s="8">
        <f>-Revenue_Build!T375</f>
        <v/>
      </c>
      <c r="U9" s="8">
        <f>-Revenue_Build!U375</f>
        <v/>
      </c>
      <c r="V9" s="8">
        <f>-Revenue_Build!V375</f>
        <v/>
      </c>
      <c r="W9" s="8">
        <f>-Revenue_Build!W375</f>
        <v/>
      </c>
      <c r="X9" s="8">
        <f>-Revenue_Build!X375</f>
        <v/>
      </c>
      <c r="Y9" s="8">
        <f>-Revenue_Build!Y375</f>
        <v/>
      </c>
      <c r="Z9" s="8">
        <f>-Revenue_Build!Z375</f>
        <v/>
      </c>
      <c r="AA9" s="8">
        <f>-Revenue_Build!AA375</f>
        <v/>
      </c>
      <c r="AB9" s="8">
        <f>-Revenue_Build!AB375</f>
        <v/>
      </c>
      <c r="AC9" s="8">
        <f>-Revenue_Build!AC375</f>
        <v/>
      </c>
      <c r="AD9" s="8">
        <f>-Revenue_Build!AD375</f>
        <v/>
      </c>
      <c r="AE9" s="8">
        <f>-Revenue_Build!AE375</f>
        <v/>
      </c>
      <c r="AF9" s="8">
        <f>-Revenue_Build!AF375</f>
        <v/>
      </c>
      <c r="AG9" s="8">
        <f>-Revenue_Build!AG375</f>
        <v/>
      </c>
      <c r="AH9" s="8">
        <f>-Revenue_Build!AH375</f>
        <v/>
      </c>
      <c r="AI9" s="8">
        <f>-Revenue_Build!AI375</f>
        <v/>
      </c>
      <c r="AJ9" s="8">
        <f>-Revenue_Build!AJ375</f>
        <v/>
      </c>
      <c r="AK9" s="8">
        <f>-Revenue_Build!AK375</f>
        <v/>
      </c>
      <c r="AL9" s="8">
        <f>-Revenue_Build!AL375</f>
        <v/>
      </c>
      <c r="AM9" s="8">
        <f>-Revenue_Build!AM375</f>
        <v/>
      </c>
      <c r="AN9" s="8">
        <f>-Revenue_Build!AN375</f>
        <v/>
      </c>
      <c r="AO9" s="8">
        <f>-Revenue_Build!AO375</f>
        <v/>
      </c>
      <c r="AP9" s="8">
        <f>-Revenue_Build!AP375</f>
        <v/>
      </c>
      <c r="AQ9" s="8">
        <f>-Revenue_Build!AQ375</f>
        <v/>
      </c>
      <c r="AR9" s="8">
        <f>-Revenue_Build!AR375</f>
        <v/>
      </c>
      <c r="AS9" s="8">
        <f>-Revenue_Build!AS375</f>
        <v/>
      </c>
      <c r="AT9" s="8">
        <f>-Revenue_Build!AT375</f>
        <v/>
      </c>
      <c r="AU9" s="8">
        <f>-Revenue_Build!AU375</f>
        <v/>
      </c>
      <c r="AV9" s="8">
        <f>-Revenue_Build!AV375</f>
        <v/>
      </c>
      <c r="AW9" s="8">
        <f>-Revenue_Build!AW375</f>
        <v/>
      </c>
      <c r="AX9" s="8">
        <f>-Revenue_Build!AX375</f>
        <v/>
      </c>
      <c r="AY9" s="8">
        <f>-Revenue_Build!AY375</f>
        <v/>
      </c>
      <c r="AZ9" s="8">
        <f>-Revenue_Build!AZ375</f>
        <v/>
      </c>
      <c r="BA9" s="8">
        <f>-Revenue_Build!BA375</f>
        <v/>
      </c>
      <c r="BB9" s="8">
        <f>-Revenue_Build!BB375</f>
        <v/>
      </c>
      <c r="BC9" s="8">
        <f>-Revenue_Build!BC375</f>
        <v/>
      </c>
      <c r="BD9" s="8">
        <f>-Revenue_Build!BD375</f>
        <v/>
      </c>
      <c r="BE9" s="8">
        <f>-Revenue_Build!BE375</f>
        <v/>
      </c>
      <c r="BF9" s="8">
        <f>-Revenue_Build!BF375</f>
        <v/>
      </c>
      <c r="BG9" s="8">
        <f>-Revenue_Build!BG375</f>
        <v/>
      </c>
      <c r="BH9" s="8">
        <f>-Revenue_Build!BH375</f>
        <v/>
      </c>
      <c r="BI9" s="8">
        <f>-Revenue_Build!BI375</f>
        <v/>
      </c>
      <c r="BJ9" s="8">
        <f>-Revenue_Build!BJ375</f>
        <v/>
      </c>
    </row>
    <row r="10">
      <c r="A10" s="4" t="inlineStr">
        <is>
          <t>less: Pilot Founding terms discount</t>
        </is>
      </c>
      <c r="B10" s="17" t="inlineStr">
        <is>
          <t>R</t>
        </is>
      </c>
      <c r="C10" s="8">
        <f>-Revenue_Build!C379</f>
        <v/>
      </c>
      <c r="D10" s="8">
        <f>-Revenue_Build!D379</f>
        <v/>
      </c>
      <c r="E10" s="8">
        <f>-Revenue_Build!E379</f>
        <v/>
      </c>
      <c r="F10" s="8">
        <f>-Revenue_Build!F379</f>
        <v/>
      </c>
      <c r="G10" s="8">
        <f>-Revenue_Build!G379</f>
        <v/>
      </c>
      <c r="H10" s="8">
        <f>-Revenue_Build!H379</f>
        <v/>
      </c>
      <c r="I10" s="8">
        <f>-Revenue_Build!I379</f>
        <v/>
      </c>
      <c r="J10" s="8">
        <f>-Revenue_Build!J379</f>
        <v/>
      </c>
      <c r="K10" s="8">
        <f>-Revenue_Build!K379</f>
        <v/>
      </c>
      <c r="L10" s="8">
        <f>-Revenue_Build!L379</f>
        <v/>
      </c>
      <c r="M10" s="8">
        <f>-Revenue_Build!M379</f>
        <v/>
      </c>
      <c r="N10" s="8">
        <f>-Revenue_Build!N379</f>
        <v/>
      </c>
      <c r="O10" s="8">
        <f>-Revenue_Build!O379</f>
        <v/>
      </c>
      <c r="P10" s="8">
        <f>-Revenue_Build!P379</f>
        <v/>
      </c>
      <c r="Q10" s="8">
        <f>-Revenue_Build!Q379</f>
        <v/>
      </c>
      <c r="R10" s="8">
        <f>-Revenue_Build!R379</f>
        <v/>
      </c>
      <c r="S10" s="8">
        <f>-Revenue_Build!S379</f>
        <v/>
      </c>
      <c r="T10" s="8">
        <f>-Revenue_Build!T379</f>
        <v/>
      </c>
      <c r="U10" s="8">
        <f>-Revenue_Build!U379</f>
        <v/>
      </c>
      <c r="V10" s="8">
        <f>-Revenue_Build!V379</f>
        <v/>
      </c>
      <c r="W10" s="8">
        <f>-Revenue_Build!W379</f>
        <v/>
      </c>
      <c r="X10" s="8">
        <f>-Revenue_Build!X379</f>
        <v/>
      </c>
      <c r="Y10" s="8">
        <f>-Revenue_Build!Y379</f>
        <v/>
      </c>
      <c r="Z10" s="8">
        <f>-Revenue_Build!Z379</f>
        <v/>
      </c>
      <c r="AA10" s="8">
        <f>-Revenue_Build!AA379</f>
        <v/>
      </c>
      <c r="AB10" s="8">
        <f>-Revenue_Build!AB379</f>
        <v/>
      </c>
      <c r="AC10" s="8">
        <f>-Revenue_Build!AC379</f>
        <v/>
      </c>
      <c r="AD10" s="8">
        <f>-Revenue_Build!AD379</f>
        <v/>
      </c>
      <c r="AE10" s="8">
        <f>-Revenue_Build!AE379</f>
        <v/>
      </c>
      <c r="AF10" s="8">
        <f>-Revenue_Build!AF379</f>
        <v/>
      </c>
      <c r="AG10" s="8">
        <f>-Revenue_Build!AG379</f>
        <v/>
      </c>
      <c r="AH10" s="8">
        <f>-Revenue_Build!AH379</f>
        <v/>
      </c>
      <c r="AI10" s="8">
        <f>-Revenue_Build!AI379</f>
        <v/>
      </c>
      <c r="AJ10" s="8">
        <f>-Revenue_Build!AJ379</f>
        <v/>
      </c>
      <c r="AK10" s="8">
        <f>-Revenue_Build!AK379</f>
        <v/>
      </c>
      <c r="AL10" s="8">
        <f>-Revenue_Build!AL379</f>
        <v/>
      </c>
      <c r="AM10" s="8">
        <f>-Revenue_Build!AM379</f>
        <v/>
      </c>
      <c r="AN10" s="8">
        <f>-Revenue_Build!AN379</f>
        <v/>
      </c>
      <c r="AO10" s="8">
        <f>-Revenue_Build!AO379</f>
        <v/>
      </c>
      <c r="AP10" s="8">
        <f>-Revenue_Build!AP379</f>
        <v/>
      </c>
      <c r="AQ10" s="8">
        <f>-Revenue_Build!AQ379</f>
        <v/>
      </c>
      <c r="AR10" s="8">
        <f>-Revenue_Build!AR379</f>
        <v/>
      </c>
      <c r="AS10" s="8">
        <f>-Revenue_Build!AS379</f>
        <v/>
      </c>
      <c r="AT10" s="8">
        <f>-Revenue_Build!AT379</f>
        <v/>
      </c>
      <c r="AU10" s="8">
        <f>-Revenue_Build!AU379</f>
        <v/>
      </c>
      <c r="AV10" s="8">
        <f>-Revenue_Build!AV379</f>
        <v/>
      </c>
      <c r="AW10" s="8">
        <f>-Revenue_Build!AW379</f>
        <v/>
      </c>
      <c r="AX10" s="8">
        <f>-Revenue_Build!AX379</f>
        <v/>
      </c>
      <c r="AY10" s="8">
        <f>-Revenue_Build!AY379</f>
        <v/>
      </c>
      <c r="AZ10" s="8">
        <f>-Revenue_Build!AZ379</f>
        <v/>
      </c>
      <c r="BA10" s="8">
        <f>-Revenue_Build!BA379</f>
        <v/>
      </c>
      <c r="BB10" s="8">
        <f>-Revenue_Build!BB379</f>
        <v/>
      </c>
      <c r="BC10" s="8">
        <f>-Revenue_Build!BC379</f>
        <v/>
      </c>
      <c r="BD10" s="8">
        <f>-Revenue_Build!BD379</f>
        <v/>
      </c>
      <c r="BE10" s="8">
        <f>-Revenue_Build!BE379</f>
        <v/>
      </c>
      <c r="BF10" s="8">
        <f>-Revenue_Build!BF379</f>
        <v/>
      </c>
      <c r="BG10" s="8">
        <f>-Revenue_Build!BG379</f>
        <v/>
      </c>
      <c r="BH10" s="8">
        <f>-Revenue_Build!BH379</f>
        <v/>
      </c>
      <c r="BI10" s="8">
        <f>-Revenue_Build!BI379</f>
        <v/>
      </c>
      <c r="BJ10" s="8">
        <f>-Revenue_Build!BJ379</f>
        <v/>
      </c>
    </row>
    <row r="11">
      <c r="A11" s="3" t="inlineStr">
        <is>
          <t>Subscriptions (net)</t>
        </is>
      </c>
      <c r="B11" s="17" t="inlineStr">
        <is>
          <t>R</t>
        </is>
      </c>
      <c r="C11" s="42">
        <f>C8+C9+C10</f>
        <v/>
      </c>
      <c r="D11" s="42">
        <f>D8+D9+D10</f>
        <v/>
      </c>
      <c r="E11" s="42">
        <f>E8+E9+E10</f>
        <v/>
      </c>
      <c r="F11" s="42">
        <f>F8+F9+F10</f>
        <v/>
      </c>
      <c r="G11" s="42">
        <f>G8+G9+G10</f>
        <v/>
      </c>
      <c r="H11" s="42">
        <f>H8+H9+H10</f>
        <v/>
      </c>
      <c r="I11" s="42">
        <f>I8+I9+I10</f>
        <v/>
      </c>
      <c r="J11" s="42">
        <f>J8+J9+J10</f>
        <v/>
      </c>
      <c r="K11" s="42">
        <f>K8+K9+K10</f>
        <v/>
      </c>
      <c r="L11" s="42">
        <f>L8+L9+L10</f>
        <v/>
      </c>
      <c r="M11" s="42">
        <f>M8+M9+M10</f>
        <v/>
      </c>
      <c r="N11" s="42">
        <f>N8+N9+N10</f>
        <v/>
      </c>
      <c r="O11" s="42">
        <f>O8+O9+O10</f>
        <v/>
      </c>
      <c r="P11" s="42">
        <f>P8+P9+P10</f>
        <v/>
      </c>
      <c r="Q11" s="42">
        <f>Q8+Q9+Q10</f>
        <v/>
      </c>
      <c r="R11" s="42">
        <f>R8+R9+R10</f>
        <v/>
      </c>
      <c r="S11" s="42">
        <f>S8+S9+S10</f>
        <v/>
      </c>
      <c r="T11" s="42">
        <f>T8+T9+T10</f>
        <v/>
      </c>
      <c r="U11" s="42">
        <f>U8+U9+U10</f>
        <v/>
      </c>
      <c r="V11" s="42">
        <f>V8+V9+V10</f>
        <v/>
      </c>
      <c r="W11" s="42">
        <f>W8+W9+W10</f>
        <v/>
      </c>
      <c r="X11" s="42">
        <f>X8+X9+X10</f>
        <v/>
      </c>
      <c r="Y11" s="42">
        <f>Y8+Y9+Y10</f>
        <v/>
      </c>
      <c r="Z11" s="42">
        <f>Z8+Z9+Z10</f>
        <v/>
      </c>
      <c r="AA11" s="42">
        <f>AA8+AA9+AA10</f>
        <v/>
      </c>
      <c r="AB11" s="42">
        <f>AB8+AB9+AB10</f>
        <v/>
      </c>
      <c r="AC11" s="42">
        <f>AC8+AC9+AC10</f>
        <v/>
      </c>
      <c r="AD11" s="42">
        <f>AD8+AD9+AD10</f>
        <v/>
      </c>
      <c r="AE11" s="42">
        <f>AE8+AE9+AE10</f>
        <v/>
      </c>
      <c r="AF11" s="42">
        <f>AF8+AF9+AF10</f>
        <v/>
      </c>
      <c r="AG11" s="42">
        <f>AG8+AG9+AG10</f>
        <v/>
      </c>
      <c r="AH11" s="42">
        <f>AH8+AH9+AH10</f>
        <v/>
      </c>
      <c r="AI11" s="42">
        <f>AI8+AI9+AI10</f>
        <v/>
      </c>
      <c r="AJ11" s="42">
        <f>AJ8+AJ9+AJ10</f>
        <v/>
      </c>
      <c r="AK11" s="42">
        <f>AK8+AK9+AK10</f>
        <v/>
      </c>
      <c r="AL11" s="42">
        <f>AL8+AL9+AL10</f>
        <v/>
      </c>
      <c r="AM11" s="42">
        <f>AM8+AM9+AM10</f>
        <v/>
      </c>
      <c r="AN11" s="42">
        <f>AN8+AN9+AN10</f>
        <v/>
      </c>
      <c r="AO11" s="42">
        <f>AO8+AO9+AO10</f>
        <v/>
      </c>
      <c r="AP11" s="42">
        <f>AP8+AP9+AP10</f>
        <v/>
      </c>
      <c r="AQ11" s="42">
        <f>AQ8+AQ9+AQ10</f>
        <v/>
      </c>
      <c r="AR11" s="42">
        <f>AR8+AR9+AR10</f>
        <v/>
      </c>
      <c r="AS11" s="42">
        <f>AS8+AS9+AS10</f>
        <v/>
      </c>
      <c r="AT11" s="42">
        <f>AT8+AT9+AT10</f>
        <v/>
      </c>
      <c r="AU11" s="42">
        <f>AU8+AU9+AU10</f>
        <v/>
      </c>
      <c r="AV11" s="42">
        <f>AV8+AV9+AV10</f>
        <v/>
      </c>
      <c r="AW11" s="42">
        <f>AW8+AW9+AW10</f>
        <v/>
      </c>
      <c r="AX11" s="42">
        <f>AX8+AX9+AX10</f>
        <v/>
      </c>
      <c r="AY11" s="42">
        <f>AY8+AY9+AY10</f>
        <v/>
      </c>
      <c r="AZ11" s="42">
        <f>AZ8+AZ9+AZ10</f>
        <v/>
      </c>
      <c r="BA11" s="42">
        <f>BA8+BA9+BA10</f>
        <v/>
      </c>
      <c r="BB11" s="42">
        <f>BB8+BB9+BB10</f>
        <v/>
      </c>
      <c r="BC11" s="42">
        <f>BC8+BC9+BC10</f>
        <v/>
      </c>
      <c r="BD11" s="42">
        <f>BD8+BD9+BD10</f>
        <v/>
      </c>
      <c r="BE11" s="42">
        <f>BE8+BE9+BE10</f>
        <v/>
      </c>
      <c r="BF11" s="42">
        <f>BF8+BF9+BF10</f>
        <v/>
      </c>
      <c r="BG11" s="42">
        <f>BG8+BG9+BG10</f>
        <v/>
      </c>
      <c r="BH11" s="42">
        <f>BH8+BH9+BH10</f>
        <v/>
      </c>
      <c r="BI11" s="42">
        <f>BI8+BI9+BI10</f>
        <v/>
      </c>
      <c r="BJ11" s="42">
        <f>BJ8+BJ9+BJ10</f>
        <v/>
      </c>
    </row>
    <row r="12">
      <c r="A12" s="4" t="inlineStr">
        <is>
          <t>AI-credit top-ups</t>
        </is>
      </c>
      <c r="B12" s="17" t="inlineStr">
        <is>
          <t>R</t>
        </is>
      </c>
      <c r="C12" s="8">
        <f>Revenue_Build!C390</f>
        <v/>
      </c>
      <c r="D12" s="8">
        <f>Revenue_Build!D390</f>
        <v/>
      </c>
      <c r="E12" s="8">
        <f>Revenue_Build!E390</f>
        <v/>
      </c>
      <c r="F12" s="8">
        <f>Revenue_Build!F390</f>
        <v/>
      </c>
      <c r="G12" s="8">
        <f>Revenue_Build!G390</f>
        <v/>
      </c>
      <c r="H12" s="8">
        <f>Revenue_Build!H390</f>
        <v/>
      </c>
      <c r="I12" s="8">
        <f>Revenue_Build!I390</f>
        <v/>
      </c>
      <c r="J12" s="8">
        <f>Revenue_Build!J390</f>
        <v/>
      </c>
      <c r="K12" s="8">
        <f>Revenue_Build!K390</f>
        <v/>
      </c>
      <c r="L12" s="8">
        <f>Revenue_Build!L390</f>
        <v/>
      </c>
      <c r="M12" s="8">
        <f>Revenue_Build!M390</f>
        <v/>
      </c>
      <c r="N12" s="8">
        <f>Revenue_Build!N390</f>
        <v/>
      </c>
      <c r="O12" s="8">
        <f>Revenue_Build!O390</f>
        <v/>
      </c>
      <c r="P12" s="8">
        <f>Revenue_Build!P390</f>
        <v/>
      </c>
      <c r="Q12" s="8">
        <f>Revenue_Build!Q390</f>
        <v/>
      </c>
      <c r="R12" s="8">
        <f>Revenue_Build!R390</f>
        <v/>
      </c>
      <c r="S12" s="8">
        <f>Revenue_Build!S390</f>
        <v/>
      </c>
      <c r="T12" s="8">
        <f>Revenue_Build!T390</f>
        <v/>
      </c>
      <c r="U12" s="8">
        <f>Revenue_Build!U390</f>
        <v/>
      </c>
      <c r="V12" s="8">
        <f>Revenue_Build!V390</f>
        <v/>
      </c>
      <c r="W12" s="8">
        <f>Revenue_Build!W390</f>
        <v/>
      </c>
      <c r="X12" s="8">
        <f>Revenue_Build!X390</f>
        <v/>
      </c>
      <c r="Y12" s="8">
        <f>Revenue_Build!Y390</f>
        <v/>
      </c>
      <c r="Z12" s="8">
        <f>Revenue_Build!Z390</f>
        <v/>
      </c>
      <c r="AA12" s="8">
        <f>Revenue_Build!AA390</f>
        <v/>
      </c>
      <c r="AB12" s="8">
        <f>Revenue_Build!AB390</f>
        <v/>
      </c>
      <c r="AC12" s="8">
        <f>Revenue_Build!AC390</f>
        <v/>
      </c>
      <c r="AD12" s="8">
        <f>Revenue_Build!AD390</f>
        <v/>
      </c>
      <c r="AE12" s="8">
        <f>Revenue_Build!AE390</f>
        <v/>
      </c>
      <c r="AF12" s="8">
        <f>Revenue_Build!AF390</f>
        <v/>
      </c>
      <c r="AG12" s="8">
        <f>Revenue_Build!AG390</f>
        <v/>
      </c>
      <c r="AH12" s="8">
        <f>Revenue_Build!AH390</f>
        <v/>
      </c>
      <c r="AI12" s="8">
        <f>Revenue_Build!AI390</f>
        <v/>
      </c>
      <c r="AJ12" s="8">
        <f>Revenue_Build!AJ390</f>
        <v/>
      </c>
      <c r="AK12" s="8">
        <f>Revenue_Build!AK390</f>
        <v/>
      </c>
      <c r="AL12" s="8">
        <f>Revenue_Build!AL390</f>
        <v/>
      </c>
      <c r="AM12" s="8">
        <f>Revenue_Build!AM390</f>
        <v/>
      </c>
      <c r="AN12" s="8">
        <f>Revenue_Build!AN390</f>
        <v/>
      </c>
      <c r="AO12" s="8">
        <f>Revenue_Build!AO390</f>
        <v/>
      </c>
      <c r="AP12" s="8">
        <f>Revenue_Build!AP390</f>
        <v/>
      </c>
      <c r="AQ12" s="8">
        <f>Revenue_Build!AQ390</f>
        <v/>
      </c>
      <c r="AR12" s="8">
        <f>Revenue_Build!AR390</f>
        <v/>
      </c>
      <c r="AS12" s="8">
        <f>Revenue_Build!AS390</f>
        <v/>
      </c>
      <c r="AT12" s="8">
        <f>Revenue_Build!AT390</f>
        <v/>
      </c>
      <c r="AU12" s="8">
        <f>Revenue_Build!AU390</f>
        <v/>
      </c>
      <c r="AV12" s="8">
        <f>Revenue_Build!AV390</f>
        <v/>
      </c>
      <c r="AW12" s="8">
        <f>Revenue_Build!AW390</f>
        <v/>
      </c>
      <c r="AX12" s="8">
        <f>Revenue_Build!AX390</f>
        <v/>
      </c>
      <c r="AY12" s="8">
        <f>Revenue_Build!AY390</f>
        <v/>
      </c>
      <c r="AZ12" s="8">
        <f>Revenue_Build!AZ390</f>
        <v/>
      </c>
      <c r="BA12" s="8">
        <f>Revenue_Build!BA390</f>
        <v/>
      </c>
      <c r="BB12" s="8">
        <f>Revenue_Build!BB390</f>
        <v/>
      </c>
      <c r="BC12" s="8">
        <f>Revenue_Build!BC390</f>
        <v/>
      </c>
      <c r="BD12" s="8">
        <f>Revenue_Build!BD390</f>
        <v/>
      </c>
      <c r="BE12" s="8">
        <f>Revenue_Build!BE390</f>
        <v/>
      </c>
      <c r="BF12" s="8">
        <f>Revenue_Build!BF390</f>
        <v/>
      </c>
      <c r="BG12" s="8">
        <f>Revenue_Build!BG390</f>
        <v/>
      </c>
      <c r="BH12" s="8">
        <f>Revenue_Build!BH390</f>
        <v/>
      </c>
      <c r="BI12" s="8">
        <f>Revenue_Build!BI390</f>
        <v/>
      </c>
      <c r="BJ12" s="8">
        <f>Revenue_Build!BJ390</f>
        <v/>
      </c>
    </row>
    <row r="13">
      <c r="A13" s="4" t="inlineStr">
        <is>
          <t>WhatsApp messaging (pass-through + margin)</t>
        </is>
      </c>
      <c r="B13" s="17" t="inlineStr">
        <is>
          <t>R</t>
        </is>
      </c>
      <c r="C13" s="8">
        <f>Revenue_Build!C392</f>
        <v/>
      </c>
      <c r="D13" s="8">
        <f>Revenue_Build!D392</f>
        <v/>
      </c>
      <c r="E13" s="8">
        <f>Revenue_Build!E392</f>
        <v/>
      </c>
      <c r="F13" s="8">
        <f>Revenue_Build!F392</f>
        <v/>
      </c>
      <c r="G13" s="8">
        <f>Revenue_Build!G392</f>
        <v/>
      </c>
      <c r="H13" s="8">
        <f>Revenue_Build!H392</f>
        <v/>
      </c>
      <c r="I13" s="8">
        <f>Revenue_Build!I392</f>
        <v/>
      </c>
      <c r="J13" s="8">
        <f>Revenue_Build!J392</f>
        <v/>
      </c>
      <c r="K13" s="8">
        <f>Revenue_Build!K392</f>
        <v/>
      </c>
      <c r="L13" s="8">
        <f>Revenue_Build!L392</f>
        <v/>
      </c>
      <c r="M13" s="8">
        <f>Revenue_Build!M392</f>
        <v/>
      </c>
      <c r="N13" s="8">
        <f>Revenue_Build!N392</f>
        <v/>
      </c>
      <c r="O13" s="8">
        <f>Revenue_Build!O392</f>
        <v/>
      </c>
      <c r="P13" s="8">
        <f>Revenue_Build!P392</f>
        <v/>
      </c>
      <c r="Q13" s="8">
        <f>Revenue_Build!Q392</f>
        <v/>
      </c>
      <c r="R13" s="8">
        <f>Revenue_Build!R392</f>
        <v/>
      </c>
      <c r="S13" s="8">
        <f>Revenue_Build!S392</f>
        <v/>
      </c>
      <c r="T13" s="8">
        <f>Revenue_Build!T392</f>
        <v/>
      </c>
      <c r="U13" s="8">
        <f>Revenue_Build!U392</f>
        <v/>
      </c>
      <c r="V13" s="8">
        <f>Revenue_Build!V392</f>
        <v/>
      </c>
      <c r="W13" s="8">
        <f>Revenue_Build!W392</f>
        <v/>
      </c>
      <c r="X13" s="8">
        <f>Revenue_Build!X392</f>
        <v/>
      </c>
      <c r="Y13" s="8">
        <f>Revenue_Build!Y392</f>
        <v/>
      </c>
      <c r="Z13" s="8">
        <f>Revenue_Build!Z392</f>
        <v/>
      </c>
      <c r="AA13" s="8">
        <f>Revenue_Build!AA392</f>
        <v/>
      </c>
      <c r="AB13" s="8">
        <f>Revenue_Build!AB392</f>
        <v/>
      </c>
      <c r="AC13" s="8">
        <f>Revenue_Build!AC392</f>
        <v/>
      </c>
      <c r="AD13" s="8">
        <f>Revenue_Build!AD392</f>
        <v/>
      </c>
      <c r="AE13" s="8">
        <f>Revenue_Build!AE392</f>
        <v/>
      </c>
      <c r="AF13" s="8">
        <f>Revenue_Build!AF392</f>
        <v/>
      </c>
      <c r="AG13" s="8">
        <f>Revenue_Build!AG392</f>
        <v/>
      </c>
      <c r="AH13" s="8">
        <f>Revenue_Build!AH392</f>
        <v/>
      </c>
      <c r="AI13" s="8">
        <f>Revenue_Build!AI392</f>
        <v/>
      </c>
      <c r="AJ13" s="8">
        <f>Revenue_Build!AJ392</f>
        <v/>
      </c>
      <c r="AK13" s="8">
        <f>Revenue_Build!AK392</f>
        <v/>
      </c>
      <c r="AL13" s="8">
        <f>Revenue_Build!AL392</f>
        <v/>
      </c>
      <c r="AM13" s="8">
        <f>Revenue_Build!AM392</f>
        <v/>
      </c>
      <c r="AN13" s="8">
        <f>Revenue_Build!AN392</f>
        <v/>
      </c>
      <c r="AO13" s="8">
        <f>Revenue_Build!AO392</f>
        <v/>
      </c>
      <c r="AP13" s="8">
        <f>Revenue_Build!AP392</f>
        <v/>
      </c>
      <c r="AQ13" s="8">
        <f>Revenue_Build!AQ392</f>
        <v/>
      </c>
      <c r="AR13" s="8">
        <f>Revenue_Build!AR392</f>
        <v/>
      </c>
      <c r="AS13" s="8">
        <f>Revenue_Build!AS392</f>
        <v/>
      </c>
      <c r="AT13" s="8">
        <f>Revenue_Build!AT392</f>
        <v/>
      </c>
      <c r="AU13" s="8">
        <f>Revenue_Build!AU392</f>
        <v/>
      </c>
      <c r="AV13" s="8">
        <f>Revenue_Build!AV392</f>
        <v/>
      </c>
      <c r="AW13" s="8">
        <f>Revenue_Build!AW392</f>
        <v/>
      </c>
      <c r="AX13" s="8">
        <f>Revenue_Build!AX392</f>
        <v/>
      </c>
      <c r="AY13" s="8">
        <f>Revenue_Build!AY392</f>
        <v/>
      </c>
      <c r="AZ13" s="8">
        <f>Revenue_Build!AZ392</f>
        <v/>
      </c>
      <c r="BA13" s="8">
        <f>Revenue_Build!BA392</f>
        <v/>
      </c>
      <c r="BB13" s="8">
        <f>Revenue_Build!BB392</f>
        <v/>
      </c>
      <c r="BC13" s="8">
        <f>Revenue_Build!BC392</f>
        <v/>
      </c>
      <c r="BD13" s="8">
        <f>Revenue_Build!BD392</f>
        <v/>
      </c>
      <c r="BE13" s="8">
        <f>Revenue_Build!BE392</f>
        <v/>
      </c>
      <c r="BF13" s="8">
        <f>Revenue_Build!BF392</f>
        <v/>
      </c>
      <c r="BG13" s="8">
        <f>Revenue_Build!BG392</f>
        <v/>
      </c>
      <c r="BH13" s="8">
        <f>Revenue_Build!BH392</f>
        <v/>
      </c>
      <c r="BI13" s="8">
        <f>Revenue_Build!BI392</f>
        <v/>
      </c>
      <c r="BJ13" s="8">
        <f>Revenue_Build!BJ392</f>
        <v/>
      </c>
    </row>
    <row r="14">
      <c r="A14" s="4" t="inlineStr">
        <is>
          <t>Commerce platform fees (Upside only; not in current pricing)</t>
        </is>
      </c>
      <c r="B14" s="17" t="inlineStr">
        <is>
          <t>R</t>
        </is>
      </c>
      <c r="C14" s="8">
        <f>Revenue_Build!C395</f>
        <v/>
      </c>
      <c r="D14" s="8">
        <f>Revenue_Build!D395</f>
        <v/>
      </c>
      <c r="E14" s="8">
        <f>Revenue_Build!E395</f>
        <v/>
      </c>
      <c r="F14" s="8">
        <f>Revenue_Build!F395</f>
        <v/>
      </c>
      <c r="G14" s="8">
        <f>Revenue_Build!G395</f>
        <v/>
      </c>
      <c r="H14" s="8">
        <f>Revenue_Build!H395</f>
        <v/>
      </c>
      <c r="I14" s="8">
        <f>Revenue_Build!I395</f>
        <v/>
      </c>
      <c r="J14" s="8">
        <f>Revenue_Build!J395</f>
        <v/>
      </c>
      <c r="K14" s="8">
        <f>Revenue_Build!K395</f>
        <v/>
      </c>
      <c r="L14" s="8">
        <f>Revenue_Build!L395</f>
        <v/>
      </c>
      <c r="M14" s="8">
        <f>Revenue_Build!M395</f>
        <v/>
      </c>
      <c r="N14" s="8">
        <f>Revenue_Build!N395</f>
        <v/>
      </c>
      <c r="O14" s="8">
        <f>Revenue_Build!O395</f>
        <v/>
      </c>
      <c r="P14" s="8">
        <f>Revenue_Build!P395</f>
        <v/>
      </c>
      <c r="Q14" s="8">
        <f>Revenue_Build!Q395</f>
        <v/>
      </c>
      <c r="R14" s="8">
        <f>Revenue_Build!R395</f>
        <v/>
      </c>
      <c r="S14" s="8">
        <f>Revenue_Build!S395</f>
        <v/>
      </c>
      <c r="T14" s="8">
        <f>Revenue_Build!T395</f>
        <v/>
      </c>
      <c r="U14" s="8">
        <f>Revenue_Build!U395</f>
        <v/>
      </c>
      <c r="V14" s="8">
        <f>Revenue_Build!V395</f>
        <v/>
      </c>
      <c r="W14" s="8">
        <f>Revenue_Build!W395</f>
        <v/>
      </c>
      <c r="X14" s="8">
        <f>Revenue_Build!X395</f>
        <v/>
      </c>
      <c r="Y14" s="8">
        <f>Revenue_Build!Y395</f>
        <v/>
      </c>
      <c r="Z14" s="8">
        <f>Revenue_Build!Z395</f>
        <v/>
      </c>
      <c r="AA14" s="8">
        <f>Revenue_Build!AA395</f>
        <v/>
      </c>
      <c r="AB14" s="8">
        <f>Revenue_Build!AB395</f>
        <v/>
      </c>
      <c r="AC14" s="8">
        <f>Revenue_Build!AC395</f>
        <v/>
      </c>
      <c r="AD14" s="8">
        <f>Revenue_Build!AD395</f>
        <v/>
      </c>
      <c r="AE14" s="8">
        <f>Revenue_Build!AE395</f>
        <v/>
      </c>
      <c r="AF14" s="8">
        <f>Revenue_Build!AF395</f>
        <v/>
      </c>
      <c r="AG14" s="8">
        <f>Revenue_Build!AG395</f>
        <v/>
      </c>
      <c r="AH14" s="8">
        <f>Revenue_Build!AH395</f>
        <v/>
      </c>
      <c r="AI14" s="8">
        <f>Revenue_Build!AI395</f>
        <v/>
      </c>
      <c r="AJ14" s="8">
        <f>Revenue_Build!AJ395</f>
        <v/>
      </c>
      <c r="AK14" s="8">
        <f>Revenue_Build!AK395</f>
        <v/>
      </c>
      <c r="AL14" s="8">
        <f>Revenue_Build!AL395</f>
        <v/>
      </c>
      <c r="AM14" s="8">
        <f>Revenue_Build!AM395</f>
        <v/>
      </c>
      <c r="AN14" s="8">
        <f>Revenue_Build!AN395</f>
        <v/>
      </c>
      <c r="AO14" s="8">
        <f>Revenue_Build!AO395</f>
        <v/>
      </c>
      <c r="AP14" s="8">
        <f>Revenue_Build!AP395</f>
        <v/>
      </c>
      <c r="AQ14" s="8">
        <f>Revenue_Build!AQ395</f>
        <v/>
      </c>
      <c r="AR14" s="8">
        <f>Revenue_Build!AR395</f>
        <v/>
      </c>
      <c r="AS14" s="8">
        <f>Revenue_Build!AS395</f>
        <v/>
      </c>
      <c r="AT14" s="8">
        <f>Revenue_Build!AT395</f>
        <v/>
      </c>
      <c r="AU14" s="8">
        <f>Revenue_Build!AU395</f>
        <v/>
      </c>
      <c r="AV14" s="8">
        <f>Revenue_Build!AV395</f>
        <v/>
      </c>
      <c r="AW14" s="8">
        <f>Revenue_Build!AW395</f>
        <v/>
      </c>
      <c r="AX14" s="8">
        <f>Revenue_Build!AX395</f>
        <v/>
      </c>
      <c r="AY14" s="8">
        <f>Revenue_Build!AY395</f>
        <v/>
      </c>
      <c r="AZ14" s="8">
        <f>Revenue_Build!AZ395</f>
        <v/>
      </c>
      <c r="BA14" s="8">
        <f>Revenue_Build!BA395</f>
        <v/>
      </c>
      <c r="BB14" s="8">
        <f>Revenue_Build!BB395</f>
        <v/>
      </c>
      <c r="BC14" s="8">
        <f>Revenue_Build!BC395</f>
        <v/>
      </c>
      <c r="BD14" s="8">
        <f>Revenue_Build!BD395</f>
        <v/>
      </c>
      <c r="BE14" s="8">
        <f>Revenue_Build!BE395</f>
        <v/>
      </c>
      <c r="BF14" s="8">
        <f>Revenue_Build!BF395</f>
        <v/>
      </c>
      <c r="BG14" s="8">
        <f>Revenue_Build!BG395</f>
        <v/>
      </c>
      <c r="BH14" s="8">
        <f>Revenue_Build!BH395</f>
        <v/>
      </c>
      <c r="BI14" s="8">
        <f>Revenue_Build!BI395</f>
        <v/>
      </c>
      <c r="BJ14" s="8">
        <f>Revenue_Build!BJ395</f>
        <v/>
      </c>
    </row>
    <row r="15">
      <c r="A15" s="4" t="inlineStr">
        <is>
          <t>Enterprise setup fees</t>
        </is>
      </c>
      <c r="B15" s="17" t="inlineStr">
        <is>
          <t>R</t>
        </is>
      </c>
      <c r="C15" s="8">
        <f>Revenue_Build!C396</f>
        <v/>
      </c>
      <c r="D15" s="8">
        <f>Revenue_Build!D396</f>
        <v/>
      </c>
      <c r="E15" s="8">
        <f>Revenue_Build!E396</f>
        <v/>
      </c>
      <c r="F15" s="8">
        <f>Revenue_Build!F396</f>
        <v/>
      </c>
      <c r="G15" s="8">
        <f>Revenue_Build!G396</f>
        <v/>
      </c>
      <c r="H15" s="8">
        <f>Revenue_Build!H396</f>
        <v/>
      </c>
      <c r="I15" s="8">
        <f>Revenue_Build!I396</f>
        <v/>
      </c>
      <c r="J15" s="8">
        <f>Revenue_Build!J396</f>
        <v/>
      </c>
      <c r="K15" s="8">
        <f>Revenue_Build!K396</f>
        <v/>
      </c>
      <c r="L15" s="8">
        <f>Revenue_Build!L396</f>
        <v/>
      </c>
      <c r="M15" s="8">
        <f>Revenue_Build!M396</f>
        <v/>
      </c>
      <c r="N15" s="8">
        <f>Revenue_Build!N396</f>
        <v/>
      </c>
      <c r="O15" s="8">
        <f>Revenue_Build!O396</f>
        <v/>
      </c>
      <c r="P15" s="8">
        <f>Revenue_Build!P396</f>
        <v/>
      </c>
      <c r="Q15" s="8">
        <f>Revenue_Build!Q396</f>
        <v/>
      </c>
      <c r="R15" s="8">
        <f>Revenue_Build!R396</f>
        <v/>
      </c>
      <c r="S15" s="8">
        <f>Revenue_Build!S396</f>
        <v/>
      </c>
      <c r="T15" s="8">
        <f>Revenue_Build!T396</f>
        <v/>
      </c>
      <c r="U15" s="8">
        <f>Revenue_Build!U396</f>
        <v/>
      </c>
      <c r="V15" s="8">
        <f>Revenue_Build!V396</f>
        <v/>
      </c>
      <c r="W15" s="8">
        <f>Revenue_Build!W396</f>
        <v/>
      </c>
      <c r="X15" s="8">
        <f>Revenue_Build!X396</f>
        <v/>
      </c>
      <c r="Y15" s="8">
        <f>Revenue_Build!Y396</f>
        <v/>
      </c>
      <c r="Z15" s="8">
        <f>Revenue_Build!Z396</f>
        <v/>
      </c>
      <c r="AA15" s="8">
        <f>Revenue_Build!AA396</f>
        <v/>
      </c>
      <c r="AB15" s="8">
        <f>Revenue_Build!AB396</f>
        <v/>
      </c>
      <c r="AC15" s="8">
        <f>Revenue_Build!AC396</f>
        <v/>
      </c>
      <c r="AD15" s="8">
        <f>Revenue_Build!AD396</f>
        <v/>
      </c>
      <c r="AE15" s="8">
        <f>Revenue_Build!AE396</f>
        <v/>
      </c>
      <c r="AF15" s="8">
        <f>Revenue_Build!AF396</f>
        <v/>
      </c>
      <c r="AG15" s="8">
        <f>Revenue_Build!AG396</f>
        <v/>
      </c>
      <c r="AH15" s="8">
        <f>Revenue_Build!AH396</f>
        <v/>
      </c>
      <c r="AI15" s="8">
        <f>Revenue_Build!AI396</f>
        <v/>
      </c>
      <c r="AJ15" s="8">
        <f>Revenue_Build!AJ396</f>
        <v/>
      </c>
      <c r="AK15" s="8">
        <f>Revenue_Build!AK396</f>
        <v/>
      </c>
      <c r="AL15" s="8">
        <f>Revenue_Build!AL396</f>
        <v/>
      </c>
      <c r="AM15" s="8">
        <f>Revenue_Build!AM396</f>
        <v/>
      </c>
      <c r="AN15" s="8">
        <f>Revenue_Build!AN396</f>
        <v/>
      </c>
      <c r="AO15" s="8">
        <f>Revenue_Build!AO396</f>
        <v/>
      </c>
      <c r="AP15" s="8">
        <f>Revenue_Build!AP396</f>
        <v/>
      </c>
      <c r="AQ15" s="8">
        <f>Revenue_Build!AQ396</f>
        <v/>
      </c>
      <c r="AR15" s="8">
        <f>Revenue_Build!AR396</f>
        <v/>
      </c>
      <c r="AS15" s="8">
        <f>Revenue_Build!AS396</f>
        <v/>
      </c>
      <c r="AT15" s="8">
        <f>Revenue_Build!AT396</f>
        <v/>
      </c>
      <c r="AU15" s="8">
        <f>Revenue_Build!AU396</f>
        <v/>
      </c>
      <c r="AV15" s="8">
        <f>Revenue_Build!AV396</f>
        <v/>
      </c>
      <c r="AW15" s="8">
        <f>Revenue_Build!AW396</f>
        <v/>
      </c>
      <c r="AX15" s="8">
        <f>Revenue_Build!AX396</f>
        <v/>
      </c>
      <c r="AY15" s="8">
        <f>Revenue_Build!AY396</f>
        <v/>
      </c>
      <c r="AZ15" s="8">
        <f>Revenue_Build!AZ396</f>
        <v/>
      </c>
      <c r="BA15" s="8">
        <f>Revenue_Build!BA396</f>
        <v/>
      </c>
      <c r="BB15" s="8">
        <f>Revenue_Build!BB396</f>
        <v/>
      </c>
      <c r="BC15" s="8">
        <f>Revenue_Build!BC396</f>
        <v/>
      </c>
      <c r="BD15" s="8">
        <f>Revenue_Build!BD396</f>
        <v/>
      </c>
      <c r="BE15" s="8">
        <f>Revenue_Build!BE396</f>
        <v/>
      </c>
      <c r="BF15" s="8">
        <f>Revenue_Build!BF396</f>
        <v/>
      </c>
      <c r="BG15" s="8">
        <f>Revenue_Build!BG396</f>
        <v/>
      </c>
      <c r="BH15" s="8">
        <f>Revenue_Build!BH396</f>
        <v/>
      </c>
      <c r="BI15" s="8">
        <f>Revenue_Build!BI396</f>
        <v/>
      </c>
      <c r="BJ15" s="8">
        <f>Revenue_Build!BJ396</f>
        <v/>
      </c>
    </row>
    <row r="16">
      <c r="A16" s="4" t="inlineStr">
        <is>
          <t>Agency white-label setup fees</t>
        </is>
      </c>
      <c r="B16" s="17" t="inlineStr">
        <is>
          <t>R</t>
        </is>
      </c>
      <c r="C16" s="8">
        <f>Revenue_Build!C397</f>
        <v/>
      </c>
      <c r="D16" s="8">
        <f>Revenue_Build!D397</f>
        <v/>
      </c>
      <c r="E16" s="8">
        <f>Revenue_Build!E397</f>
        <v/>
      </c>
      <c r="F16" s="8">
        <f>Revenue_Build!F397</f>
        <v/>
      </c>
      <c r="G16" s="8">
        <f>Revenue_Build!G397</f>
        <v/>
      </c>
      <c r="H16" s="8">
        <f>Revenue_Build!H397</f>
        <v/>
      </c>
      <c r="I16" s="8">
        <f>Revenue_Build!I397</f>
        <v/>
      </c>
      <c r="J16" s="8">
        <f>Revenue_Build!J397</f>
        <v/>
      </c>
      <c r="K16" s="8">
        <f>Revenue_Build!K397</f>
        <v/>
      </c>
      <c r="L16" s="8">
        <f>Revenue_Build!L397</f>
        <v/>
      </c>
      <c r="M16" s="8">
        <f>Revenue_Build!M397</f>
        <v/>
      </c>
      <c r="N16" s="8">
        <f>Revenue_Build!N397</f>
        <v/>
      </c>
      <c r="O16" s="8">
        <f>Revenue_Build!O397</f>
        <v/>
      </c>
      <c r="P16" s="8">
        <f>Revenue_Build!P397</f>
        <v/>
      </c>
      <c r="Q16" s="8">
        <f>Revenue_Build!Q397</f>
        <v/>
      </c>
      <c r="R16" s="8">
        <f>Revenue_Build!R397</f>
        <v/>
      </c>
      <c r="S16" s="8">
        <f>Revenue_Build!S397</f>
        <v/>
      </c>
      <c r="T16" s="8">
        <f>Revenue_Build!T397</f>
        <v/>
      </c>
      <c r="U16" s="8">
        <f>Revenue_Build!U397</f>
        <v/>
      </c>
      <c r="V16" s="8">
        <f>Revenue_Build!V397</f>
        <v/>
      </c>
      <c r="W16" s="8">
        <f>Revenue_Build!W397</f>
        <v/>
      </c>
      <c r="X16" s="8">
        <f>Revenue_Build!X397</f>
        <v/>
      </c>
      <c r="Y16" s="8">
        <f>Revenue_Build!Y397</f>
        <v/>
      </c>
      <c r="Z16" s="8">
        <f>Revenue_Build!Z397</f>
        <v/>
      </c>
      <c r="AA16" s="8">
        <f>Revenue_Build!AA397</f>
        <v/>
      </c>
      <c r="AB16" s="8">
        <f>Revenue_Build!AB397</f>
        <v/>
      </c>
      <c r="AC16" s="8">
        <f>Revenue_Build!AC397</f>
        <v/>
      </c>
      <c r="AD16" s="8">
        <f>Revenue_Build!AD397</f>
        <v/>
      </c>
      <c r="AE16" s="8">
        <f>Revenue_Build!AE397</f>
        <v/>
      </c>
      <c r="AF16" s="8">
        <f>Revenue_Build!AF397</f>
        <v/>
      </c>
      <c r="AG16" s="8">
        <f>Revenue_Build!AG397</f>
        <v/>
      </c>
      <c r="AH16" s="8">
        <f>Revenue_Build!AH397</f>
        <v/>
      </c>
      <c r="AI16" s="8">
        <f>Revenue_Build!AI397</f>
        <v/>
      </c>
      <c r="AJ16" s="8">
        <f>Revenue_Build!AJ397</f>
        <v/>
      </c>
      <c r="AK16" s="8">
        <f>Revenue_Build!AK397</f>
        <v/>
      </c>
      <c r="AL16" s="8">
        <f>Revenue_Build!AL397</f>
        <v/>
      </c>
      <c r="AM16" s="8">
        <f>Revenue_Build!AM397</f>
        <v/>
      </c>
      <c r="AN16" s="8">
        <f>Revenue_Build!AN397</f>
        <v/>
      </c>
      <c r="AO16" s="8">
        <f>Revenue_Build!AO397</f>
        <v/>
      </c>
      <c r="AP16" s="8">
        <f>Revenue_Build!AP397</f>
        <v/>
      </c>
      <c r="AQ16" s="8">
        <f>Revenue_Build!AQ397</f>
        <v/>
      </c>
      <c r="AR16" s="8">
        <f>Revenue_Build!AR397</f>
        <v/>
      </c>
      <c r="AS16" s="8">
        <f>Revenue_Build!AS397</f>
        <v/>
      </c>
      <c r="AT16" s="8">
        <f>Revenue_Build!AT397</f>
        <v/>
      </c>
      <c r="AU16" s="8">
        <f>Revenue_Build!AU397</f>
        <v/>
      </c>
      <c r="AV16" s="8">
        <f>Revenue_Build!AV397</f>
        <v/>
      </c>
      <c r="AW16" s="8">
        <f>Revenue_Build!AW397</f>
        <v/>
      </c>
      <c r="AX16" s="8">
        <f>Revenue_Build!AX397</f>
        <v/>
      </c>
      <c r="AY16" s="8">
        <f>Revenue_Build!AY397</f>
        <v/>
      </c>
      <c r="AZ16" s="8">
        <f>Revenue_Build!AZ397</f>
        <v/>
      </c>
      <c r="BA16" s="8">
        <f>Revenue_Build!BA397</f>
        <v/>
      </c>
      <c r="BB16" s="8">
        <f>Revenue_Build!BB397</f>
        <v/>
      </c>
      <c r="BC16" s="8">
        <f>Revenue_Build!BC397</f>
        <v/>
      </c>
      <c r="BD16" s="8">
        <f>Revenue_Build!BD397</f>
        <v/>
      </c>
      <c r="BE16" s="8">
        <f>Revenue_Build!BE397</f>
        <v/>
      </c>
      <c r="BF16" s="8">
        <f>Revenue_Build!BF397</f>
        <v/>
      </c>
      <c r="BG16" s="8">
        <f>Revenue_Build!BG397</f>
        <v/>
      </c>
      <c r="BH16" s="8">
        <f>Revenue_Build!BH397</f>
        <v/>
      </c>
      <c r="BI16" s="8">
        <f>Revenue_Build!BI397</f>
        <v/>
      </c>
      <c r="BJ16" s="8">
        <f>Revenue_Build!BJ397</f>
        <v/>
      </c>
    </row>
    <row r="17">
      <c r="A17" s="3" t="inlineStr">
        <is>
          <t>Total revenue</t>
        </is>
      </c>
      <c r="B17" s="17" t="inlineStr">
        <is>
          <t>R</t>
        </is>
      </c>
      <c r="C17" s="42">
        <f>C11+C12+C13+C14+C15+C16</f>
        <v/>
      </c>
      <c r="D17" s="42">
        <f>D11+D12+D13+D14+D15+D16</f>
        <v/>
      </c>
      <c r="E17" s="42">
        <f>E11+E12+E13+E14+E15+E16</f>
        <v/>
      </c>
      <c r="F17" s="42">
        <f>F11+F12+F13+F14+F15+F16</f>
        <v/>
      </c>
      <c r="G17" s="42">
        <f>G11+G12+G13+G14+G15+G16</f>
        <v/>
      </c>
      <c r="H17" s="42">
        <f>H11+H12+H13+H14+H15+H16</f>
        <v/>
      </c>
      <c r="I17" s="42">
        <f>I11+I12+I13+I14+I15+I16</f>
        <v/>
      </c>
      <c r="J17" s="42">
        <f>J11+J12+J13+J14+J15+J16</f>
        <v/>
      </c>
      <c r="K17" s="42">
        <f>K11+K12+K13+K14+K15+K16</f>
        <v/>
      </c>
      <c r="L17" s="42">
        <f>L11+L12+L13+L14+L15+L16</f>
        <v/>
      </c>
      <c r="M17" s="42">
        <f>M11+M12+M13+M14+M15+M16</f>
        <v/>
      </c>
      <c r="N17" s="42">
        <f>N11+N12+N13+N14+N15+N16</f>
        <v/>
      </c>
      <c r="O17" s="42">
        <f>O11+O12+O13+O14+O15+O16</f>
        <v/>
      </c>
      <c r="P17" s="42">
        <f>P11+P12+P13+P14+P15+P16</f>
        <v/>
      </c>
      <c r="Q17" s="42">
        <f>Q11+Q12+Q13+Q14+Q15+Q16</f>
        <v/>
      </c>
      <c r="R17" s="42">
        <f>R11+R12+R13+R14+R15+R16</f>
        <v/>
      </c>
      <c r="S17" s="42">
        <f>S11+S12+S13+S14+S15+S16</f>
        <v/>
      </c>
      <c r="T17" s="42">
        <f>T11+T12+T13+T14+T15+T16</f>
        <v/>
      </c>
      <c r="U17" s="42">
        <f>U11+U12+U13+U14+U15+U16</f>
        <v/>
      </c>
      <c r="V17" s="42">
        <f>V11+V12+V13+V14+V15+V16</f>
        <v/>
      </c>
      <c r="W17" s="42">
        <f>W11+W12+W13+W14+W15+W16</f>
        <v/>
      </c>
      <c r="X17" s="42">
        <f>X11+X12+X13+X14+X15+X16</f>
        <v/>
      </c>
      <c r="Y17" s="42">
        <f>Y11+Y12+Y13+Y14+Y15+Y16</f>
        <v/>
      </c>
      <c r="Z17" s="42">
        <f>Z11+Z12+Z13+Z14+Z15+Z16</f>
        <v/>
      </c>
      <c r="AA17" s="42">
        <f>AA11+AA12+AA13+AA14+AA15+AA16</f>
        <v/>
      </c>
      <c r="AB17" s="42">
        <f>AB11+AB12+AB13+AB14+AB15+AB16</f>
        <v/>
      </c>
      <c r="AC17" s="42">
        <f>AC11+AC12+AC13+AC14+AC15+AC16</f>
        <v/>
      </c>
      <c r="AD17" s="42">
        <f>AD11+AD12+AD13+AD14+AD15+AD16</f>
        <v/>
      </c>
      <c r="AE17" s="42">
        <f>AE11+AE12+AE13+AE14+AE15+AE16</f>
        <v/>
      </c>
      <c r="AF17" s="42">
        <f>AF11+AF12+AF13+AF14+AF15+AF16</f>
        <v/>
      </c>
      <c r="AG17" s="42">
        <f>AG11+AG12+AG13+AG14+AG15+AG16</f>
        <v/>
      </c>
      <c r="AH17" s="42">
        <f>AH11+AH12+AH13+AH14+AH15+AH16</f>
        <v/>
      </c>
      <c r="AI17" s="42">
        <f>AI11+AI12+AI13+AI14+AI15+AI16</f>
        <v/>
      </c>
      <c r="AJ17" s="42">
        <f>AJ11+AJ12+AJ13+AJ14+AJ15+AJ16</f>
        <v/>
      </c>
      <c r="AK17" s="42">
        <f>AK11+AK12+AK13+AK14+AK15+AK16</f>
        <v/>
      </c>
      <c r="AL17" s="42">
        <f>AL11+AL12+AL13+AL14+AL15+AL16</f>
        <v/>
      </c>
      <c r="AM17" s="42">
        <f>AM11+AM12+AM13+AM14+AM15+AM16</f>
        <v/>
      </c>
      <c r="AN17" s="42">
        <f>AN11+AN12+AN13+AN14+AN15+AN16</f>
        <v/>
      </c>
      <c r="AO17" s="42">
        <f>AO11+AO12+AO13+AO14+AO15+AO16</f>
        <v/>
      </c>
      <c r="AP17" s="42">
        <f>AP11+AP12+AP13+AP14+AP15+AP16</f>
        <v/>
      </c>
      <c r="AQ17" s="42">
        <f>AQ11+AQ12+AQ13+AQ14+AQ15+AQ16</f>
        <v/>
      </c>
      <c r="AR17" s="42">
        <f>AR11+AR12+AR13+AR14+AR15+AR16</f>
        <v/>
      </c>
      <c r="AS17" s="42">
        <f>AS11+AS12+AS13+AS14+AS15+AS16</f>
        <v/>
      </c>
      <c r="AT17" s="42">
        <f>AT11+AT12+AT13+AT14+AT15+AT16</f>
        <v/>
      </c>
      <c r="AU17" s="42">
        <f>AU11+AU12+AU13+AU14+AU15+AU16</f>
        <v/>
      </c>
      <c r="AV17" s="42">
        <f>AV11+AV12+AV13+AV14+AV15+AV16</f>
        <v/>
      </c>
      <c r="AW17" s="42">
        <f>AW11+AW12+AW13+AW14+AW15+AW16</f>
        <v/>
      </c>
      <c r="AX17" s="42">
        <f>AX11+AX12+AX13+AX14+AX15+AX16</f>
        <v/>
      </c>
      <c r="AY17" s="42">
        <f>AY11+AY12+AY13+AY14+AY15+AY16</f>
        <v/>
      </c>
      <c r="AZ17" s="42">
        <f>AZ11+AZ12+AZ13+AZ14+AZ15+AZ16</f>
        <v/>
      </c>
      <c r="BA17" s="42">
        <f>BA11+BA12+BA13+BA14+BA15+BA16</f>
        <v/>
      </c>
      <c r="BB17" s="42">
        <f>BB11+BB12+BB13+BB14+BB15+BB16</f>
        <v/>
      </c>
      <c r="BC17" s="42">
        <f>BC11+BC12+BC13+BC14+BC15+BC16</f>
        <v/>
      </c>
      <c r="BD17" s="42">
        <f>BD11+BD12+BD13+BD14+BD15+BD16</f>
        <v/>
      </c>
      <c r="BE17" s="42">
        <f>BE11+BE12+BE13+BE14+BE15+BE16</f>
        <v/>
      </c>
      <c r="BF17" s="42">
        <f>BF11+BF12+BF13+BF14+BF15+BF16</f>
        <v/>
      </c>
      <c r="BG17" s="42">
        <f>BG11+BG12+BG13+BG14+BG15+BG16</f>
        <v/>
      </c>
      <c r="BH17" s="42">
        <f>BH11+BH12+BH13+BH14+BH15+BH16</f>
        <v/>
      </c>
      <c r="BI17" s="42">
        <f>BI11+BI12+BI13+BI14+BI15+BI16</f>
        <v/>
      </c>
      <c r="BJ17" s="42">
        <f>BJ11+BJ12+BJ13+BJ14+BJ15+BJ16</f>
        <v/>
      </c>
    </row>
    <row r="18"/>
    <row r="19">
      <c r="A19" s="19" t="inlineStr">
        <is>
          <t>Cost of revenue</t>
        </is>
      </c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19" t="n"/>
      <c r="AS19" s="19" t="n"/>
      <c r="AT19" s="19" t="n"/>
      <c r="AU19" s="19" t="n"/>
      <c r="AV19" s="19" t="n"/>
      <c r="AW19" s="19" t="n"/>
      <c r="AX19" s="19" t="n"/>
      <c r="AY19" s="19" t="n"/>
      <c r="AZ19" s="19" t="n"/>
      <c r="BA19" s="19" t="n"/>
      <c r="BB19" s="19" t="n"/>
      <c r="BC19" s="19" t="n"/>
      <c r="BD19" s="19" t="n"/>
      <c r="BE19" s="19" t="n"/>
      <c r="BF19" s="19" t="n"/>
      <c r="BG19" s="19" t="n"/>
      <c r="BH19" s="19" t="n"/>
      <c r="BI19" s="19" t="n"/>
      <c r="BJ19" s="19" t="n"/>
    </row>
    <row r="20">
      <c r="A20" s="4" t="inlineStr">
        <is>
          <t>AI inference</t>
        </is>
      </c>
      <c r="B20" s="17" t="inlineStr">
        <is>
          <t>R</t>
        </is>
      </c>
      <c r="C20" s="8">
        <f>Costs!C157</f>
        <v/>
      </c>
      <c r="D20" s="8">
        <f>Costs!D157</f>
        <v/>
      </c>
      <c r="E20" s="8">
        <f>Costs!E157</f>
        <v/>
      </c>
      <c r="F20" s="8">
        <f>Costs!F157</f>
        <v/>
      </c>
      <c r="G20" s="8">
        <f>Costs!G157</f>
        <v/>
      </c>
      <c r="H20" s="8">
        <f>Costs!H157</f>
        <v/>
      </c>
      <c r="I20" s="8">
        <f>Costs!I157</f>
        <v/>
      </c>
      <c r="J20" s="8">
        <f>Costs!J157</f>
        <v/>
      </c>
      <c r="K20" s="8">
        <f>Costs!K157</f>
        <v/>
      </c>
      <c r="L20" s="8">
        <f>Costs!L157</f>
        <v/>
      </c>
      <c r="M20" s="8">
        <f>Costs!M157</f>
        <v/>
      </c>
      <c r="N20" s="8">
        <f>Costs!N157</f>
        <v/>
      </c>
      <c r="O20" s="8">
        <f>Costs!O157</f>
        <v/>
      </c>
      <c r="P20" s="8">
        <f>Costs!P157</f>
        <v/>
      </c>
      <c r="Q20" s="8">
        <f>Costs!Q157</f>
        <v/>
      </c>
      <c r="R20" s="8">
        <f>Costs!R157</f>
        <v/>
      </c>
      <c r="S20" s="8">
        <f>Costs!S157</f>
        <v/>
      </c>
      <c r="T20" s="8">
        <f>Costs!T157</f>
        <v/>
      </c>
      <c r="U20" s="8">
        <f>Costs!U157</f>
        <v/>
      </c>
      <c r="V20" s="8">
        <f>Costs!V157</f>
        <v/>
      </c>
      <c r="W20" s="8">
        <f>Costs!W157</f>
        <v/>
      </c>
      <c r="X20" s="8">
        <f>Costs!X157</f>
        <v/>
      </c>
      <c r="Y20" s="8">
        <f>Costs!Y157</f>
        <v/>
      </c>
      <c r="Z20" s="8">
        <f>Costs!Z157</f>
        <v/>
      </c>
      <c r="AA20" s="8">
        <f>Costs!AA157</f>
        <v/>
      </c>
      <c r="AB20" s="8">
        <f>Costs!AB157</f>
        <v/>
      </c>
      <c r="AC20" s="8">
        <f>Costs!AC157</f>
        <v/>
      </c>
      <c r="AD20" s="8">
        <f>Costs!AD157</f>
        <v/>
      </c>
      <c r="AE20" s="8">
        <f>Costs!AE157</f>
        <v/>
      </c>
      <c r="AF20" s="8">
        <f>Costs!AF157</f>
        <v/>
      </c>
      <c r="AG20" s="8">
        <f>Costs!AG157</f>
        <v/>
      </c>
      <c r="AH20" s="8">
        <f>Costs!AH157</f>
        <v/>
      </c>
      <c r="AI20" s="8">
        <f>Costs!AI157</f>
        <v/>
      </c>
      <c r="AJ20" s="8">
        <f>Costs!AJ157</f>
        <v/>
      </c>
      <c r="AK20" s="8">
        <f>Costs!AK157</f>
        <v/>
      </c>
      <c r="AL20" s="8">
        <f>Costs!AL157</f>
        <v/>
      </c>
      <c r="AM20" s="8">
        <f>Costs!AM157</f>
        <v/>
      </c>
      <c r="AN20" s="8">
        <f>Costs!AN157</f>
        <v/>
      </c>
      <c r="AO20" s="8">
        <f>Costs!AO157</f>
        <v/>
      </c>
      <c r="AP20" s="8">
        <f>Costs!AP157</f>
        <v/>
      </c>
      <c r="AQ20" s="8">
        <f>Costs!AQ157</f>
        <v/>
      </c>
      <c r="AR20" s="8">
        <f>Costs!AR157</f>
        <v/>
      </c>
      <c r="AS20" s="8">
        <f>Costs!AS157</f>
        <v/>
      </c>
      <c r="AT20" s="8">
        <f>Costs!AT157</f>
        <v/>
      </c>
      <c r="AU20" s="8">
        <f>Costs!AU157</f>
        <v/>
      </c>
      <c r="AV20" s="8">
        <f>Costs!AV157</f>
        <v/>
      </c>
      <c r="AW20" s="8">
        <f>Costs!AW157</f>
        <v/>
      </c>
      <c r="AX20" s="8">
        <f>Costs!AX157</f>
        <v/>
      </c>
      <c r="AY20" s="8">
        <f>Costs!AY157</f>
        <v/>
      </c>
      <c r="AZ20" s="8">
        <f>Costs!AZ157</f>
        <v/>
      </c>
      <c r="BA20" s="8">
        <f>Costs!BA157</f>
        <v/>
      </c>
      <c r="BB20" s="8">
        <f>Costs!BB157</f>
        <v/>
      </c>
      <c r="BC20" s="8">
        <f>Costs!BC157</f>
        <v/>
      </c>
      <c r="BD20" s="8">
        <f>Costs!BD157</f>
        <v/>
      </c>
      <c r="BE20" s="8">
        <f>Costs!BE157</f>
        <v/>
      </c>
      <c r="BF20" s="8">
        <f>Costs!BF157</f>
        <v/>
      </c>
      <c r="BG20" s="8">
        <f>Costs!BG157</f>
        <v/>
      </c>
      <c r="BH20" s="8">
        <f>Costs!BH157</f>
        <v/>
      </c>
      <c r="BI20" s="8">
        <f>Costs!BI157</f>
        <v/>
      </c>
      <c r="BJ20" s="8">
        <f>Costs!BJ157</f>
        <v/>
      </c>
    </row>
    <row r="21">
      <c r="A21" s="4" t="inlineStr">
        <is>
          <t>Hosting</t>
        </is>
      </c>
      <c r="B21" s="17" t="inlineStr">
        <is>
          <t>R</t>
        </is>
      </c>
      <c r="C21" s="8">
        <f>Costs!C158</f>
        <v/>
      </c>
      <c r="D21" s="8">
        <f>Costs!D158</f>
        <v/>
      </c>
      <c r="E21" s="8">
        <f>Costs!E158</f>
        <v/>
      </c>
      <c r="F21" s="8">
        <f>Costs!F158</f>
        <v/>
      </c>
      <c r="G21" s="8">
        <f>Costs!G158</f>
        <v/>
      </c>
      <c r="H21" s="8">
        <f>Costs!H158</f>
        <v/>
      </c>
      <c r="I21" s="8">
        <f>Costs!I158</f>
        <v/>
      </c>
      <c r="J21" s="8">
        <f>Costs!J158</f>
        <v/>
      </c>
      <c r="K21" s="8">
        <f>Costs!K158</f>
        <v/>
      </c>
      <c r="L21" s="8">
        <f>Costs!L158</f>
        <v/>
      </c>
      <c r="M21" s="8">
        <f>Costs!M158</f>
        <v/>
      </c>
      <c r="N21" s="8">
        <f>Costs!N158</f>
        <v/>
      </c>
      <c r="O21" s="8">
        <f>Costs!O158</f>
        <v/>
      </c>
      <c r="P21" s="8">
        <f>Costs!P158</f>
        <v/>
      </c>
      <c r="Q21" s="8">
        <f>Costs!Q158</f>
        <v/>
      </c>
      <c r="R21" s="8">
        <f>Costs!R158</f>
        <v/>
      </c>
      <c r="S21" s="8">
        <f>Costs!S158</f>
        <v/>
      </c>
      <c r="T21" s="8">
        <f>Costs!T158</f>
        <v/>
      </c>
      <c r="U21" s="8">
        <f>Costs!U158</f>
        <v/>
      </c>
      <c r="V21" s="8">
        <f>Costs!V158</f>
        <v/>
      </c>
      <c r="W21" s="8">
        <f>Costs!W158</f>
        <v/>
      </c>
      <c r="X21" s="8">
        <f>Costs!X158</f>
        <v/>
      </c>
      <c r="Y21" s="8">
        <f>Costs!Y158</f>
        <v/>
      </c>
      <c r="Z21" s="8">
        <f>Costs!Z158</f>
        <v/>
      </c>
      <c r="AA21" s="8">
        <f>Costs!AA158</f>
        <v/>
      </c>
      <c r="AB21" s="8">
        <f>Costs!AB158</f>
        <v/>
      </c>
      <c r="AC21" s="8">
        <f>Costs!AC158</f>
        <v/>
      </c>
      <c r="AD21" s="8">
        <f>Costs!AD158</f>
        <v/>
      </c>
      <c r="AE21" s="8">
        <f>Costs!AE158</f>
        <v/>
      </c>
      <c r="AF21" s="8">
        <f>Costs!AF158</f>
        <v/>
      </c>
      <c r="AG21" s="8">
        <f>Costs!AG158</f>
        <v/>
      </c>
      <c r="AH21" s="8">
        <f>Costs!AH158</f>
        <v/>
      </c>
      <c r="AI21" s="8">
        <f>Costs!AI158</f>
        <v/>
      </c>
      <c r="AJ21" s="8">
        <f>Costs!AJ158</f>
        <v/>
      </c>
      <c r="AK21" s="8">
        <f>Costs!AK158</f>
        <v/>
      </c>
      <c r="AL21" s="8">
        <f>Costs!AL158</f>
        <v/>
      </c>
      <c r="AM21" s="8">
        <f>Costs!AM158</f>
        <v/>
      </c>
      <c r="AN21" s="8">
        <f>Costs!AN158</f>
        <v/>
      </c>
      <c r="AO21" s="8">
        <f>Costs!AO158</f>
        <v/>
      </c>
      <c r="AP21" s="8">
        <f>Costs!AP158</f>
        <v/>
      </c>
      <c r="AQ21" s="8">
        <f>Costs!AQ158</f>
        <v/>
      </c>
      <c r="AR21" s="8">
        <f>Costs!AR158</f>
        <v/>
      </c>
      <c r="AS21" s="8">
        <f>Costs!AS158</f>
        <v/>
      </c>
      <c r="AT21" s="8">
        <f>Costs!AT158</f>
        <v/>
      </c>
      <c r="AU21" s="8">
        <f>Costs!AU158</f>
        <v/>
      </c>
      <c r="AV21" s="8">
        <f>Costs!AV158</f>
        <v/>
      </c>
      <c r="AW21" s="8">
        <f>Costs!AW158</f>
        <v/>
      </c>
      <c r="AX21" s="8">
        <f>Costs!AX158</f>
        <v/>
      </c>
      <c r="AY21" s="8">
        <f>Costs!AY158</f>
        <v/>
      </c>
      <c r="AZ21" s="8">
        <f>Costs!AZ158</f>
        <v/>
      </c>
      <c r="BA21" s="8">
        <f>Costs!BA158</f>
        <v/>
      </c>
      <c r="BB21" s="8">
        <f>Costs!BB158</f>
        <v/>
      </c>
      <c r="BC21" s="8">
        <f>Costs!BC158</f>
        <v/>
      </c>
      <c r="BD21" s="8">
        <f>Costs!BD158</f>
        <v/>
      </c>
      <c r="BE21" s="8">
        <f>Costs!BE158</f>
        <v/>
      </c>
      <c r="BF21" s="8">
        <f>Costs!BF158</f>
        <v/>
      </c>
      <c r="BG21" s="8">
        <f>Costs!BG158</f>
        <v/>
      </c>
      <c r="BH21" s="8">
        <f>Costs!BH158</f>
        <v/>
      </c>
      <c r="BI21" s="8">
        <f>Costs!BI158</f>
        <v/>
      </c>
      <c r="BJ21" s="8">
        <f>Costs!BJ158</f>
        <v/>
      </c>
    </row>
    <row r="22">
      <c r="A22" s="4" t="inlineStr">
        <is>
          <t>WhatsApp Meta fees</t>
        </is>
      </c>
      <c r="B22" s="17" t="inlineStr">
        <is>
          <t>R</t>
        </is>
      </c>
      <c r="C22" s="8">
        <f>Costs!C159</f>
        <v/>
      </c>
      <c r="D22" s="8">
        <f>Costs!D159</f>
        <v/>
      </c>
      <c r="E22" s="8">
        <f>Costs!E159</f>
        <v/>
      </c>
      <c r="F22" s="8">
        <f>Costs!F159</f>
        <v/>
      </c>
      <c r="G22" s="8">
        <f>Costs!G159</f>
        <v/>
      </c>
      <c r="H22" s="8">
        <f>Costs!H159</f>
        <v/>
      </c>
      <c r="I22" s="8">
        <f>Costs!I159</f>
        <v/>
      </c>
      <c r="J22" s="8">
        <f>Costs!J159</f>
        <v/>
      </c>
      <c r="K22" s="8">
        <f>Costs!K159</f>
        <v/>
      </c>
      <c r="L22" s="8">
        <f>Costs!L159</f>
        <v/>
      </c>
      <c r="M22" s="8">
        <f>Costs!M159</f>
        <v/>
      </c>
      <c r="N22" s="8">
        <f>Costs!N159</f>
        <v/>
      </c>
      <c r="O22" s="8">
        <f>Costs!O159</f>
        <v/>
      </c>
      <c r="P22" s="8">
        <f>Costs!P159</f>
        <v/>
      </c>
      <c r="Q22" s="8">
        <f>Costs!Q159</f>
        <v/>
      </c>
      <c r="R22" s="8">
        <f>Costs!R159</f>
        <v/>
      </c>
      <c r="S22" s="8">
        <f>Costs!S159</f>
        <v/>
      </c>
      <c r="T22" s="8">
        <f>Costs!T159</f>
        <v/>
      </c>
      <c r="U22" s="8">
        <f>Costs!U159</f>
        <v/>
      </c>
      <c r="V22" s="8">
        <f>Costs!V159</f>
        <v/>
      </c>
      <c r="W22" s="8">
        <f>Costs!W159</f>
        <v/>
      </c>
      <c r="X22" s="8">
        <f>Costs!X159</f>
        <v/>
      </c>
      <c r="Y22" s="8">
        <f>Costs!Y159</f>
        <v/>
      </c>
      <c r="Z22" s="8">
        <f>Costs!Z159</f>
        <v/>
      </c>
      <c r="AA22" s="8">
        <f>Costs!AA159</f>
        <v/>
      </c>
      <c r="AB22" s="8">
        <f>Costs!AB159</f>
        <v/>
      </c>
      <c r="AC22" s="8">
        <f>Costs!AC159</f>
        <v/>
      </c>
      <c r="AD22" s="8">
        <f>Costs!AD159</f>
        <v/>
      </c>
      <c r="AE22" s="8">
        <f>Costs!AE159</f>
        <v/>
      </c>
      <c r="AF22" s="8">
        <f>Costs!AF159</f>
        <v/>
      </c>
      <c r="AG22" s="8">
        <f>Costs!AG159</f>
        <v/>
      </c>
      <c r="AH22" s="8">
        <f>Costs!AH159</f>
        <v/>
      </c>
      <c r="AI22" s="8">
        <f>Costs!AI159</f>
        <v/>
      </c>
      <c r="AJ22" s="8">
        <f>Costs!AJ159</f>
        <v/>
      </c>
      <c r="AK22" s="8">
        <f>Costs!AK159</f>
        <v/>
      </c>
      <c r="AL22" s="8">
        <f>Costs!AL159</f>
        <v/>
      </c>
      <c r="AM22" s="8">
        <f>Costs!AM159</f>
        <v/>
      </c>
      <c r="AN22" s="8">
        <f>Costs!AN159</f>
        <v/>
      </c>
      <c r="AO22" s="8">
        <f>Costs!AO159</f>
        <v/>
      </c>
      <c r="AP22" s="8">
        <f>Costs!AP159</f>
        <v/>
      </c>
      <c r="AQ22" s="8">
        <f>Costs!AQ159</f>
        <v/>
      </c>
      <c r="AR22" s="8">
        <f>Costs!AR159</f>
        <v/>
      </c>
      <c r="AS22" s="8">
        <f>Costs!AS159</f>
        <v/>
      </c>
      <c r="AT22" s="8">
        <f>Costs!AT159</f>
        <v/>
      </c>
      <c r="AU22" s="8">
        <f>Costs!AU159</f>
        <v/>
      </c>
      <c r="AV22" s="8">
        <f>Costs!AV159</f>
        <v/>
      </c>
      <c r="AW22" s="8">
        <f>Costs!AW159</f>
        <v/>
      </c>
      <c r="AX22" s="8">
        <f>Costs!AX159</f>
        <v/>
      </c>
      <c r="AY22" s="8">
        <f>Costs!AY159</f>
        <v/>
      </c>
      <c r="AZ22" s="8">
        <f>Costs!AZ159</f>
        <v/>
      </c>
      <c r="BA22" s="8">
        <f>Costs!BA159</f>
        <v/>
      </c>
      <c r="BB22" s="8">
        <f>Costs!BB159</f>
        <v/>
      </c>
      <c r="BC22" s="8">
        <f>Costs!BC159</f>
        <v/>
      </c>
      <c r="BD22" s="8">
        <f>Costs!BD159</f>
        <v/>
      </c>
      <c r="BE22" s="8">
        <f>Costs!BE159</f>
        <v/>
      </c>
      <c r="BF22" s="8">
        <f>Costs!BF159</f>
        <v/>
      </c>
      <c r="BG22" s="8">
        <f>Costs!BG159</f>
        <v/>
      </c>
      <c r="BH22" s="8">
        <f>Costs!BH159</f>
        <v/>
      </c>
      <c r="BI22" s="8">
        <f>Costs!BI159</f>
        <v/>
      </c>
      <c r="BJ22" s="8">
        <f>Costs!BJ159</f>
        <v/>
      </c>
    </row>
    <row r="23">
      <c r="A23" s="4" t="inlineStr">
        <is>
          <t>Payment processing</t>
        </is>
      </c>
      <c r="B23" s="17" t="inlineStr">
        <is>
          <t>R</t>
        </is>
      </c>
      <c r="C23" s="8">
        <f>Costs!C162</f>
        <v/>
      </c>
      <c r="D23" s="8">
        <f>Costs!D162</f>
        <v/>
      </c>
      <c r="E23" s="8">
        <f>Costs!E162</f>
        <v/>
      </c>
      <c r="F23" s="8">
        <f>Costs!F162</f>
        <v/>
      </c>
      <c r="G23" s="8">
        <f>Costs!G162</f>
        <v/>
      </c>
      <c r="H23" s="8">
        <f>Costs!H162</f>
        <v/>
      </c>
      <c r="I23" s="8">
        <f>Costs!I162</f>
        <v/>
      </c>
      <c r="J23" s="8">
        <f>Costs!J162</f>
        <v/>
      </c>
      <c r="K23" s="8">
        <f>Costs!K162</f>
        <v/>
      </c>
      <c r="L23" s="8">
        <f>Costs!L162</f>
        <v/>
      </c>
      <c r="M23" s="8">
        <f>Costs!M162</f>
        <v/>
      </c>
      <c r="N23" s="8">
        <f>Costs!N162</f>
        <v/>
      </c>
      <c r="O23" s="8">
        <f>Costs!O162</f>
        <v/>
      </c>
      <c r="P23" s="8">
        <f>Costs!P162</f>
        <v/>
      </c>
      <c r="Q23" s="8">
        <f>Costs!Q162</f>
        <v/>
      </c>
      <c r="R23" s="8">
        <f>Costs!R162</f>
        <v/>
      </c>
      <c r="S23" s="8">
        <f>Costs!S162</f>
        <v/>
      </c>
      <c r="T23" s="8">
        <f>Costs!T162</f>
        <v/>
      </c>
      <c r="U23" s="8">
        <f>Costs!U162</f>
        <v/>
      </c>
      <c r="V23" s="8">
        <f>Costs!V162</f>
        <v/>
      </c>
      <c r="W23" s="8">
        <f>Costs!W162</f>
        <v/>
      </c>
      <c r="X23" s="8">
        <f>Costs!X162</f>
        <v/>
      </c>
      <c r="Y23" s="8">
        <f>Costs!Y162</f>
        <v/>
      </c>
      <c r="Z23" s="8">
        <f>Costs!Z162</f>
        <v/>
      </c>
      <c r="AA23" s="8">
        <f>Costs!AA162</f>
        <v/>
      </c>
      <c r="AB23" s="8">
        <f>Costs!AB162</f>
        <v/>
      </c>
      <c r="AC23" s="8">
        <f>Costs!AC162</f>
        <v/>
      </c>
      <c r="AD23" s="8">
        <f>Costs!AD162</f>
        <v/>
      </c>
      <c r="AE23" s="8">
        <f>Costs!AE162</f>
        <v/>
      </c>
      <c r="AF23" s="8">
        <f>Costs!AF162</f>
        <v/>
      </c>
      <c r="AG23" s="8">
        <f>Costs!AG162</f>
        <v/>
      </c>
      <c r="AH23" s="8">
        <f>Costs!AH162</f>
        <v/>
      </c>
      <c r="AI23" s="8">
        <f>Costs!AI162</f>
        <v/>
      </c>
      <c r="AJ23" s="8">
        <f>Costs!AJ162</f>
        <v/>
      </c>
      <c r="AK23" s="8">
        <f>Costs!AK162</f>
        <v/>
      </c>
      <c r="AL23" s="8">
        <f>Costs!AL162</f>
        <v/>
      </c>
      <c r="AM23" s="8">
        <f>Costs!AM162</f>
        <v/>
      </c>
      <c r="AN23" s="8">
        <f>Costs!AN162</f>
        <v/>
      </c>
      <c r="AO23" s="8">
        <f>Costs!AO162</f>
        <v/>
      </c>
      <c r="AP23" s="8">
        <f>Costs!AP162</f>
        <v/>
      </c>
      <c r="AQ23" s="8">
        <f>Costs!AQ162</f>
        <v/>
      </c>
      <c r="AR23" s="8">
        <f>Costs!AR162</f>
        <v/>
      </c>
      <c r="AS23" s="8">
        <f>Costs!AS162</f>
        <v/>
      </c>
      <c r="AT23" s="8">
        <f>Costs!AT162</f>
        <v/>
      </c>
      <c r="AU23" s="8">
        <f>Costs!AU162</f>
        <v/>
      </c>
      <c r="AV23" s="8">
        <f>Costs!AV162</f>
        <v/>
      </c>
      <c r="AW23" s="8">
        <f>Costs!AW162</f>
        <v/>
      </c>
      <c r="AX23" s="8">
        <f>Costs!AX162</f>
        <v/>
      </c>
      <c r="AY23" s="8">
        <f>Costs!AY162</f>
        <v/>
      </c>
      <c r="AZ23" s="8">
        <f>Costs!AZ162</f>
        <v/>
      </c>
      <c r="BA23" s="8">
        <f>Costs!BA162</f>
        <v/>
      </c>
      <c r="BB23" s="8">
        <f>Costs!BB162</f>
        <v/>
      </c>
      <c r="BC23" s="8">
        <f>Costs!BC162</f>
        <v/>
      </c>
      <c r="BD23" s="8">
        <f>Costs!BD162</f>
        <v/>
      </c>
      <c r="BE23" s="8">
        <f>Costs!BE162</f>
        <v/>
      </c>
      <c r="BF23" s="8">
        <f>Costs!BF162</f>
        <v/>
      </c>
      <c r="BG23" s="8">
        <f>Costs!BG162</f>
        <v/>
      </c>
      <c r="BH23" s="8">
        <f>Costs!BH162</f>
        <v/>
      </c>
      <c r="BI23" s="8">
        <f>Costs!BI162</f>
        <v/>
      </c>
      <c r="BJ23" s="8">
        <f>Costs!BJ162</f>
        <v/>
      </c>
    </row>
    <row r="24">
      <c r="A24" s="4" t="inlineStr">
        <is>
          <t>Variable support</t>
        </is>
      </c>
      <c r="B24" s="17" t="inlineStr">
        <is>
          <t>R</t>
        </is>
      </c>
      <c r="C24" s="8">
        <f>Costs!C163</f>
        <v/>
      </c>
      <c r="D24" s="8">
        <f>Costs!D163</f>
        <v/>
      </c>
      <c r="E24" s="8">
        <f>Costs!E163</f>
        <v/>
      </c>
      <c r="F24" s="8">
        <f>Costs!F163</f>
        <v/>
      </c>
      <c r="G24" s="8">
        <f>Costs!G163</f>
        <v/>
      </c>
      <c r="H24" s="8">
        <f>Costs!H163</f>
        <v/>
      </c>
      <c r="I24" s="8">
        <f>Costs!I163</f>
        <v/>
      </c>
      <c r="J24" s="8">
        <f>Costs!J163</f>
        <v/>
      </c>
      <c r="K24" s="8">
        <f>Costs!K163</f>
        <v/>
      </c>
      <c r="L24" s="8">
        <f>Costs!L163</f>
        <v/>
      </c>
      <c r="M24" s="8">
        <f>Costs!M163</f>
        <v/>
      </c>
      <c r="N24" s="8">
        <f>Costs!N163</f>
        <v/>
      </c>
      <c r="O24" s="8">
        <f>Costs!O163</f>
        <v/>
      </c>
      <c r="P24" s="8">
        <f>Costs!P163</f>
        <v/>
      </c>
      <c r="Q24" s="8">
        <f>Costs!Q163</f>
        <v/>
      </c>
      <c r="R24" s="8">
        <f>Costs!R163</f>
        <v/>
      </c>
      <c r="S24" s="8">
        <f>Costs!S163</f>
        <v/>
      </c>
      <c r="T24" s="8">
        <f>Costs!T163</f>
        <v/>
      </c>
      <c r="U24" s="8">
        <f>Costs!U163</f>
        <v/>
      </c>
      <c r="V24" s="8">
        <f>Costs!V163</f>
        <v/>
      </c>
      <c r="W24" s="8">
        <f>Costs!W163</f>
        <v/>
      </c>
      <c r="X24" s="8">
        <f>Costs!X163</f>
        <v/>
      </c>
      <c r="Y24" s="8">
        <f>Costs!Y163</f>
        <v/>
      </c>
      <c r="Z24" s="8">
        <f>Costs!Z163</f>
        <v/>
      </c>
      <c r="AA24" s="8">
        <f>Costs!AA163</f>
        <v/>
      </c>
      <c r="AB24" s="8">
        <f>Costs!AB163</f>
        <v/>
      </c>
      <c r="AC24" s="8">
        <f>Costs!AC163</f>
        <v/>
      </c>
      <c r="AD24" s="8">
        <f>Costs!AD163</f>
        <v/>
      </c>
      <c r="AE24" s="8">
        <f>Costs!AE163</f>
        <v/>
      </c>
      <c r="AF24" s="8">
        <f>Costs!AF163</f>
        <v/>
      </c>
      <c r="AG24" s="8">
        <f>Costs!AG163</f>
        <v/>
      </c>
      <c r="AH24" s="8">
        <f>Costs!AH163</f>
        <v/>
      </c>
      <c r="AI24" s="8">
        <f>Costs!AI163</f>
        <v/>
      </c>
      <c r="AJ24" s="8">
        <f>Costs!AJ163</f>
        <v/>
      </c>
      <c r="AK24" s="8">
        <f>Costs!AK163</f>
        <v/>
      </c>
      <c r="AL24" s="8">
        <f>Costs!AL163</f>
        <v/>
      </c>
      <c r="AM24" s="8">
        <f>Costs!AM163</f>
        <v/>
      </c>
      <c r="AN24" s="8">
        <f>Costs!AN163</f>
        <v/>
      </c>
      <c r="AO24" s="8">
        <f>Costs!AO163</f>
        <v/>
      </c>
      <c r="AP24" s="8">
        <f>Costs!AP163</f>
        <v/>
      </c>
      <c r="AQ24" s="8">
        <f>Costs!AQ163</f>
        <v/>
      </c>
      <c r="AR24" s="8">
        <f>Costs!AR163</f>
        <v/>
      </c>
      <c r="AS24" s="8">
        <f>Costs!AS163</f>
        <v/>
      </c>
      <c r="AT24" s="8">
        <f>Costs!AT163</f>
        <v/>
      </c>
      <c r="AU24" s="8">
        <f>Costs!AU163</f>
        <v/>
      </c>
      <c r="AV24" s="8">
        <f>Costs!AV163</f>
        <v/>
      </c>
      <c r="AW24" s="8">
        <f>Costs!AW163</f>
        <v/>
      </c>
      <c r="AX24" s="8">
        <f>Costs!AX163</f>
        <v/>
      </c>
      <c r="AY24" s="8">
        <f>Costs!AY163</f>
        <v/>
      </c>
      <c r="AZ24" s="8">
        <f>Costs!AZ163</f>
        <v/>
      </c>
      <c r="BA24" s="8">
        <f>Costs!BA163</f>
        <v/>
      </c>
      <c r="BB24" s="8">
        <f>Costs!BB163</f>
        <v/>
      </c>
      <c r="BC24" s="8">
        <f>Costs!BC163</f>
        <v/>
      </c>
      <c r="BD24" s="8">
        <f>Costs!BD163</f>
        <v/>
      </c>
      <c r="BE24" s="8">
        <f>Costs!BE163</f>
        <v/>
      </c>
      <c r="BF24" s="8">
        <f>Costs!BF163</f>
        <v/>
      </c>
      <c r="BG24" s="8">
        <f>Costs!BG163</f>
        <v/>
      </c>
      <c r="BH24" s="8">
        <f>Costs!BH163</f>
        <v/>
      </c>
      <c r="BI24" s="8">
        <f>Costs!BI163</f>
        <v/>
      </c>
      <c r="BJ24" s="8">
        <f>Costs!BJ163</f>
        <v/>
      </c>
    </row>
    <row r="25">
      <c r="A25" s="4" t="inlineStr">
        <is>
          <t>Customer success team</t>
        </is>
      </c>
      <c r="B25" s="17" t="inlineStr">
        <is>
          <t>R</t>
        </is>
      </c>
      <c r="C25" s="8">
        <f>Costs!C164</f>
        <v/>
      </c>
      <c r="D25" s="8">
        <f>Costs!D164</f>
        <v/>
      </c>
      <c r="E25" s="8">
        <f>Costs!E164</f>
        <v/>
      </c>
      <c r="F25" s="8">
        <f>Costs!F164</f>
        <v/>
      </c>
      <c r="G25" s="8">
        <f>Costs!G164</f>
        <v/>
      </c>
      <c r="H25" s="8">
        <f>Costs!H164</f>
        <v/>
      </c>
      <c r="I25" s="8">
        <f>Costs!I164</f>
        <v/>
      </c>
      <c r="J25" s="8">
        <f>Costs!J164</f>
        <v/>
      </c>
      <c r="K25" s="8">
        <f>Costs!K164</f>
        <v/>
      </c>
      <c r="L25" s="8">
        <f>Costs!L164</f>
        <v/>
      </c>
      <c r="M25" s="8">
        <f>Costs!M164</f>
        <v/>
      </c>
      <c r="N25" s="8">
        <f>Costs!N164</f>
        <v/>
      </c>
      <c r="O25" s="8">
        <f>Costs!O164</f>
        <v/>
      </c>
      <c r="P25" s="8">
        <f>Costs!P164</f>
        <v/>
      </c>
      <c r="Q25" s="8">
        <f>Costs!Q164</f>
        <v/>
      </c>
      <c r="R25" s="8">
        <f>Costs!R164</f>
        <v/>
      </c>
      <c r="S25" s="8">
        <f>Costs!S164</f>
        <v/>
      </c>
      <c r="T25" s="8">
        <f>Costs!T164</f>
        <v/>
      </c>
      <c r="U25" s="8">
        <f>Costs!U164</f>
        <v/>
      </c>
      <c r="V25" s="8">
        <f>Costs!V164</f>
        <v/>
      </c>
      <c r="W25" s="8">
        <f>Costs!W164</f>
        <v/>
      </c>
      <c r="X25" s="8">
        <f>Costs!X164</f>
        <v/>
      </c>
      <c r="Y25" s="8">
        <f>Costs!Y164</f>
        <v/>
      </c>
      <c r="Z25" s="8">
        <f>Costs!Z164</f>
        <v/>
      </c>
      <c r="AA25" s="8">
        <f>Costs!AA164</f>
        <v/>
      </c>
      <c r="AB25" s="8">
        <f>Costs!AB164</f>
        <v/>
      </c>
      <c r="AC25" s="8">
        <f>Costs!AC164</f>
        <v/>
      </c>
      <c r="AD25" s="8">
        <f>Costs!AD164</f>
        <v/>
      </c>
      <c r="AE25" s="8">
        <f>Costs!AE164</f>
        <v/>
      </c>
      <c r="AF25" s="8">
        <f>Costs!AF164</f>
        <v/>
      </c>
      <c r="AG25" s="8">
        <f>Costs!AG164</f>
        <v/>
      </c>
      <c r="AH25" s="8">
        <f>Costs!AH164</f>
        <v/>
      </c>
      <c r="AI25" s="8">
        <f>Costs!AI164</f>
        <v/>
      </c>
      <c r="AJ25" s="8">
        <f>Costs!AJ164</f>
        <v/>
      </c>
      <c r="AK25" s="8">
        <f>Costs!AK164</f>
        <v/>
      </c>
      <c r="AL25" s="8">
        <f>Costs!AL164</f>
        <v/>
      </c>
      <c r="AM25" s="8">
        <f>Costs!AM164</f>
        <v/>
      </c>
      <c r="AN25" s="8">
        <f>Costs!AN164</f>
        <v/>
      </c>
      <c r="AO25" s="8">
        <f>Costs!AO164</f>
        <v/>
      </c>
      <c r="AP25" s="8">
        <f>Costs!AP164</f>
        <v/>
      </c>
      <c r="AQ25" s="8">
        <f>Costs!AQ164</f>
        <v/>
      </c>
      <c r="AR25" s="8">
        <f>Costs!AR164</f>
        <v/>
      </c>
      <c r="AS25" s="8">
        <f>Costs!AS164</f>
        <v/>
      </c>
      <c r="AT25" s="8">
        <f>Costs!AT164</f>
        <v/>
      </c>
      <c r="AU25" s="8">
        <f>Costs!AU164</f>
        <v/>
      </c>
      <c r="AV25" s="8">
        <f>Costs!AV164</f>
        <v/>
      </c>
      <c r="AW25" s="8">
        <f>Costs!AW164</f>
        <v/>
      </c>
      <c r="AX25" s="8">
        <f>Costs!AX164</f>
        <v/>
      </c>
      <c r="AY25" s="8">
        <f>Costs!AY164</f>
        <v/>
      </c>
      <c r="AZ25" s="8">
        <f>Costs!AZ164</f>
        <v/>
      </c>
      <c r="BA25" s="8">
        <f>Costs!BA164</f>
        <v/>
      </c>
      <c r="BB25" s="8">
        <f>Costs!BB164</f>
        <v/>
      </c>
      <c r="BC25" s="8">
        <f>Costs!BC164</f>
        <v/>
      </c>
      <c r="BD25" s="8">
        <f>Costs!BD164</f>
        <v/>
      </c>
      <c r="BE25" s="8">
        <f>Costs!BE164</f>
        <v/>
      </c>
      <c r="BF25" s="8">
        <f>Costs!BF164</f>
        <v/>
      </c>
      <c r="BG25" s="8">
        <f>Costs!BG164</f>
        <v/>
      </c>
      <c r="BH25" s="8">
        <f>Costs!BH164</f>
        <v/>
      </c>
      <c r="BI25" s="8">
        <f>Costs!BI164</f>
        <v/>
      </c>
      <c r="BJ25" s="8">
        <f>Costs!BJ164</f>
        <v/>
      </c>
    </row>
    <row r="26">
      <c r="A26" s="3" t="inlineStr">
        <is>
          <t>Total cost of revenue</t>
        </is>
      </c>
      <c r="B26" s="17" t="inlineStr">
        <is>
          <t>R</t>
        </is>
      </c>
      <c r="C26" s="42">
        <f>C20+C21+C22+C23+C24+C25</f>
        <v/>
      </c>
      <c r="D26" s="42">
        <f>D20+D21+D22+D23+D24+D25</f>
        <v/>
      </c>
      <c r="E26" s="42">
        <f>E20+E21+E22+E23+E24+E25</f>
        <v/>
      </c>
      <c r="F26" s="42">
        <f>F20+F21+F22+F23+F24+F25</f>
        <v/>
      </c>
      <c r="G26" s="42">
        <f>G20+G21+G22+G23+G24+G25</f>
        <v/>
      </c>
      <c r="H26" s="42">
        <f>H20+H21+H22+H23+H24+H25</f>
        <v/>
      </c>
      <c r="I26" s="42">
        <f>I20+I21+I22+I23+I24+I25</f>
        <v/>
      </c>
      <c r="J26" s="42">
        <f>J20+J21+J22+J23+J24+J25</f>
        <v/>
      </c>
      <c r="K26" s="42">
        <f>K20+K21+K22+K23+K24+K25</f>
        <v/>
      </c>
      <c r="L26" s="42">
        <f>L20+L21+L22+L23+L24+L25</f>
        <v/>
      </c>
      <c r="M26" s="42">
        <f>M20+M21+M22+M23+M24+M25</f>
        <v/>
      </c>
      <c r="N26" s="42">
        <f>N20+N21+N22+N23+N24+N25</f>
        <v/>
      </c>
      <c r="O26" s="42">
        <f>O20+O21+O22+O23+O24+O25</f>
        <v/>
      </c>
      <c r="P26" s="42">
        <f>P20+P21+P22+P23+P24+P25</f>
        <v/>
      </c>
      <c r="Q26" s="42">
        <f>Q20+Q21+Q22+Q23+Q24+Q25</f>
        <v/>
      </c>
      <c r="R26" s="42">
        <f>R20+R21+R22+R23+R24+R25</f>
        <v/>
      </c>
      <c r="S26" s="42">
        <f>S20+S21+S22+S23+S24+S25</f>
        <v/>
      </c>
      <c r="T26" s="42">
        <f>T20+T21+T22+T23+T24+T25</f>
        <v/>
      </c>
      <c r="U26" s="42">
        <f>U20+U21+U22+U23+U24+U25</f>
        <v/>
      </c>
      <c r="V26" s="42">
        <f>V20+V21+V22+V23+V24+V25</f>
        <v/>
      </c>
      <c r="W26" s="42">
        <f>W20+W21+W22+W23+W24+W25</f>
        <v/>
      </c>
      <c r="X26" s="42">
        <f>X20+X21+X22+X23+X24+X25</f>
        <v/>
      </c>
      <c r="Y26" s="42">
        <f>Y20+Y21+Y22+Y23+Y24+Y25</f>
        <v/>
      </c>
      <c r="Z26" s="42">
        <f>Z20+Z21+Z22+Z23+Z24+Z25</f>
        <v/>
      </c>
      <c r="AA26" s="42">
        <f>AA20+AA21+AA22+AA23+AA24+AA25</f>
        <v/>
      </c>
      <c r="AB26" s="42">
        <f>AB20+AB21+AB22+AB23+AB24+AB25</f>
        <v/>
      </c>
      <c r="AC26" s="42">
        <f>AC20+AC21+AC22+AC23+AC24+AC25</f>
        <v/>
      </c>
      <c r="AD26" s="42">
        <f>AD20+AD21+AD22+AD23+AD24+AD25</f>
        <v/>
      </c>
      <c r="AE26" s="42">
        <f>AE20+AE21+AE22+AE23+AE24+AE25</f>
        <v/>
      </c>
      <c r="AF26" s="42">
        <f>AF20+AF21+AF22+AF23+AF24+AF25</f>
        <v/>
      </c>
      <c r="AG26" s="42">
        <f>AG20+AG21+AG22+AG23+AG24+AG25</f>
        <v/>
      </c>
      <c r="AH26" s="42">
        <f>AH20+AH21+AH22+AH23+AH24+AH25</f>
        <v/>
      </c>
      <c r="AI26" s="42">
        <f>AI20+AI21+AI22+AI23+AI24+AI25</f>
        <v/>
      </c>
      <c r="AJ26" s="42">
        <f>AJ20+AJ21+AJ22+AJ23+AJ24+AJ25</f>
        <v/>
      </c>
      <c r="AK26" s="42">
        <f>AK20+AK21+AK22+AK23+AK24+AK25</f>
        <v/>
      </c>
      <c r="AL26" s="42">
        <f>AL20+AL21+AL22+AL23+AL24+AL25</f>
        <v/>
      </c>
      <c r="AM26" s="42">
        <f>AM20+AM21+AM22+AM23+AM24+AM25</f>
        <v/>
      </c>
      <c r="AN26" s="42">
        <f>AN20+AN21+AN22+AN23+AN24+AN25</f>
        <v/>
      </c>
      <c r="AO26" s="42">
        <f>AO20+AO21+AO22+AO23+AO24+AO25</f>
        <v/>
      </c>
      <c r="AP26" s="42">
        <f>AP20+AP21+AP22+AP23+AP24+AP25</f>
        <v/>
      </c>
      <c r="AQ26" s="42">
        <f>AQ20+AQ21+AQ22+AQ23+AQ24+AQ25</f>
        <v/>
      </c>
      <c r="AR26" s="42">
        <f>AR20+AR21+AR22+AR23+AR24+AR25</f>
        <v/>
      </c>
      <c r="AS26" s="42">
        <f>AS20+AS21+AS22+AS23+AS24+AS25</f>
        <v/>
      </c>
      <c r="AT26" s="42">
        <f>AT20+AT21+AT22+AT23+AT24+AT25</f>
        <v/>
      </c>
      <c r="AU26" s="42">
        <f>AU20+AU21+AU22+AU23+AU24+AU25</f>
        <v/>
      </c>
      <c r="AV26" s="42">
        <f>AV20+AV21+AV22+AV23+AV24+AV25</f>
        <v/>
      </c>
      <c r="AW26" s="42">
        <f>AW20+AW21+AW22+AW23+AW24+AW25</f>
        <v/>
      </c>
      <c r="AX26" s="42">
        <f>AX20+AX21+AX22+AX23+AX24+AX25</f>
        <v/>
      </c>
      <c r="AY26" s="42">
        <f>AY20+AY21+AY22+AY23+AY24+AY25</f>
        <v/>
      </c>
      <c r="AZ26" s="42">
        <f>AZ20+AZ21+AZ22+AZ23+AZ24+AZ25</f>
        <v/>
      </c>
      <c r="BA26" s="42">
        <f>BA20+BA21+BA22+BA23+BA24+BA25</f>
        <v/>
      </c>
      <c r="BB26" s="42">
        <f>BB20+BB21+BB22+BB23+BB24+BB25</f>
        <v/>
      </c>
      <c r="BC26" s="42">
        <f>BC20+BC21+BC22+BC23+BC24+BC25</f>
        <v/>
      </c>
      <c r="BD26" s="42">
        <f>BD20+BD21+BD22+BD23+BD24+BD25</f>
        <v/>
      </c>
      <c r="BE26" s="42">
        <f>BE20+BE21+BE22+BE23+BE24+BE25</f>
        <v/>
      </c>
      <c r="BF26" s="42">
        <f>BF20+BF21+BF22+BF23+BF24+BF25</f>
        <v/>
      </c>
      <c r="BG26" s="42">
        <f>BG20+BG21+BG22+BG23+BG24+BG25</f>
        <v/>
      </c>
      <c r="BH26" s="42">
        <f>BH20+BH21+BH22+BH23+BH24+BH25</f>
        <v/>
      </c>
      <c r="BI26" s="42">
        <f>BI20+BI21+BI22+BI23+BI24+BI25</f>
        <v/>
      </c>
      <c r="BJ26" s="42">
        <f>BJ20+BJ21+BJ22+BJ23+BJ24+BJ25</f>
        <v/>
      </c>
    </row>
    <row r="27">
      <c r="A27" s="3" t="inlineStr">
        <is>
          <t>Gross profit</t>
        </is>
      </c>
      <c r="B27" s="17" t="inlineStr">
        <is>
          <t>R</t>
        </is>
      </c>
      <c r="C27" s="42">
        <f>C17-C26</f>
        <v/>
      </c>
      <c r="D27" s="42">
        <f>D17-D26</f>
        <v/>
      </c>
      <c r="E27" s="42">
        <f>E17-E26</f>
        <v/>
      </c>
      <c r="F27" s="42">
        <f>F17-F26</f>
        <v/>
      </c>
      <c r="G27" s="42">
        <f>G17-G26</f>
        <v/>
      </c>
      <c r="H27" s="42">
        <f>H17-H26</f>
        <v/>
      </c>
      <c r="I27" s="42">
        <f>I17-I26</f>
        <v/>
      </c>
      <c r="J27" s="42">
        <f>J17-J26</f>
        <v/>
      </c>
      <c r="K27" s="42">
        <f>K17-K26</f>
        <v/>
      </c>
      <c r="L27" s="42">
        <f>L17-L26</f>
        <v/>
      </c>
      <c r="M27" s="42">
        <f>M17-M26</f>
        <v/>
      </c>
      <c r="N27" s="42">
        <f>N17-N26</f>
        <v/>
      </c>
      <c r="O27" s="42">
        <f>O17-O26</f>
        <v/>
      </c>
      <c r="P27" s="42">
        <f>P17-P26</f>
        <v/>
      </c>
      <c r="Q27" s="42">
        <f>Q17-Q26</f>
        <v/>
      </c>
      <c r="R27" s="42">
        <f>R17-R26</f>
        <v/>
      </c>
      <c r="S27" s="42">
        <f>S17-S26</f>
        <v/>
      </c>
      <c r="T27" s="42">
        <f>T17-T26</f>
        <v/>
      </c>
      <c r="U27" s="42">
        <f>U17-U26</f>
        <v/>
      </c>
      <c r="V27" s="42">
        <f>V17-V26</f>
        <v/>
      </c>
      <c r="W27" s="42">
        <f>W17-W26</f>
        <v/>
      </c>
      <c r="X27" s="42">
        <f>X17-X26</f>
        <v/>
      </c>
      <c r="Y27" s="42">
        <f>Y17-Y26</f>
        <v/>
      </c>
      <c r="Z27" s="42">
        <f>Z17-Z26</f>
        <v/>
      </c>
      <c r="AA27" s="42">
        <f>AA17-AA26</f>
        <v/>
      </c>
      <c r="AB27" s="42">
        <f>AB17-AB26</f>
        <v/>
      </c>
      <c r="AC27" s="42">
        <f>AC17-AC26</f>
        <v/>
      </c>
      <c r="AD27" s="42">
        <f>AD17-AD26</f>
        <v/>
      </c>
      <c r="AE27" s="42">
        <f>AE17-AE26</f>
        <v/>
      </c>
      <c r="AF27" s="42">
        <f>AF17-AF26</f>
        <v/>
      </c>
      <c r="AG27" s="42">
        <f>AG17-AG26</f>
        <v/>
      </c>
      <c r="AH27" s="42">
        <f>AH17-AH26</f>
        <v/>
      </c>
      <c r="AI27" s="42">
        <f>AI17-AI26</f>
        <v/>
      </c>
      <c r="AJ27" s="42">
        <f>AJ17-AJ26</f>
        <v/>
      </c>
      <c r="AK27" s="42">
        <f>AK17-AK26</f>
        <v/>
      </c>
      <c r="AL27" s="42">
        <f>AL17-AL26</f>
        <v/>
      </c>
      <c r="AM27" s="42">
        <f>AM17-AM26</f>
        <v/>
      </c>
      <c r="AN27" s="42">
        <f>AN17-AN26</f>
        <v/>
      </c>
      <c r="AO27" s="42">
        <f>AO17-AO26</f>
        <v/>
      </c>
      <c r="AP27" s="42">
        <f>AP17-AP26</f>
        <v/>
      </c>
      <c r="AQ27" s="42">
        <f>AQ17-AQ26</f>
        <v/>
      </c>
      <c r="AR27" s="42">
        <f>AR17-AR26</f>
        <v/>
      </c>
      <c r="AS27" s="42">
        <f>AS17-AS26</f>
        <v/>
      </c>
      <c r="AT27" s="42">
        <f>AT17-AT26</f>
        <v/>
      </c>
      <c r="AU27" s="42">
        <f>AU17-AU26</f>
        <v/>
      </c>
      <c r="AV27" s="42">
        <f>AV17-AV26</f>
        <v/>
      </c>
      <c r="AW27" s="42">
        <f>AW17-AW26</f>
        <v/>
      </c>
      <c r="AX27" s="42">
        <f>AX17-AX26</f>
        <v/>
      </c>
      <c r="AY27" s="42">
        <f>AY17-AY26</f>
        <v/>
      </c>
      <c r="AZ27" s="42">
        <f>AZ17-AZ26</f>
        <v/>
      </c>
      <c r="BA27" s="42">
        <f>BA17-BA26</f>
        <v/>
      </c>
      <c r="BB27" s="42">
        <f>BB17-BB26</f>
        <v/>
      </c>
      <c r="BC27" s="42">
        <f>BC17-BC26</f>
        <v/>
      </c>
      <c r="BD27" s="42">
        <f>BD17-BD26</f>
        <v/>
      </c>
      <c r="BE27" s="42">
        <f>BE17-BE26</f>
        <v/>
      </c>
      <c r="BF27" s="42">
        <f>BF17-BF26</f>
        <v/>
      </c>
      <c r="BG27" s="42">
        <f>BG17-BG26</f>
        <v/>
      </c>
      <c r="BH27" s="42">
        <f>BH17-BH26</f>
        <v/>
      </c>
      <c r="BI27" s="42">
        <f>BI17-BI26</f>
        <v/>
      </c>
      <c r="BJ27" s="42">
        <f>BJ17-BJ26</f>
        <v/>
      </c>
    </row>
    <row r="28">
      <c r="A28" s="4" t="inlineStr">
        <is>
          <t>Gross margin %</t>
        </is>
      </c>
      <c r="B28" s="17" t="inlineStr">
        <is>
          <t>%</t>
        </is>
      </c>
      <c r="C28" s="9">
        <f>IF(C17=0,0,C27/C17)</f>
        <v/>
      </c>
      <c r="D28" s="9">
        <f>IF(D17=0,0,D27/D17)</f>
        <v/>
      </c>
      <c r="E28" s="9">
        <f>IF(E17=0,0,E27/E17)</f>
        <v/>
      </c>
      <c r="F28" s="9">
        <f>IF(F17=0,0,F27/F17)</f>
        <v/>
      </c>
      <c r="G28" s="9">
        <f>IF(G17=0,0,G27/G17)</f>
        <v/>
      </c>
      <c r="H28" s="9">
        <f>IF(H17=0,0,H27/H17)</f>
        <v/>
      </c>
      <c r="I28" s="9">
        <f>IF(I17=0,0,I27/I17)</f>
        <v/>
      </c>
      <c r="J28" s="9">
        <f>IF(J17=0,0,J27/J17)</f>
        <v/>
      </c>
      <c r="K28" s="9">
        <f>IF(K17=0,0,K27/K17)</f>
        <v/>
      </c>
      <c r="L28" s="9">
        <f>IF(L17=0,0,L27/L17)</f>
        <v/>
      </c>
      <c r="M28" s="9">
        <f>IF(M17=0,0,M27/M17)</f>
        <v/>
      </c>
      <c r="N28" s="9">
        <f>IF(N17=0,0,N27/N17)</f>
        <v/>
      </c>
      <c r="O28" s="9">
        <f>IF(O17=0,0,O27/O17)</f>
        <v/>
      </c>
      <c r="P28" s="9">
        <f>IF(P17=0,0,P27/P17)</f>
        <v/>
      </c>
      <c r="Q28" s="9">
        <f>IF(Q17=0,0,Q27/Q17)</f>
        <v/>
      </c>
      <c r="R28" s="9">
        <f>IF(R17=0,0,R27/R17)</f>
        <v/>
      </c>
      <c r="S28" s="9">
        <f>IF(S17=0,0,S27/S17)</f>
        <v/>
      </c>
      <c r="T28" s="9">
        <f>IF(T17=0,0,T27/T17)</f>
        <v/>
      </c>
      <c r="U28" s="9">
        <f>IF(U17=0,0,U27/U17)</f>
        <v/>
      </c>
      <c r="V28" s="9">
        <f>IF(V17=0,0,V27/V17)</f>
        <v/>
      </c>
      <c r="W28" s="9">
        <f>IF(W17=0,0,W27/W17)</f>
        <v/>
      </c>
      <c r="X28" s="9">
        <f>IF(X17=0,0,X27/X17)</f>
        <v/>
      </c>
      <c r="Y28" s="9">
        <f>IF(Y17=0,0,Y27/Y17)</f>
        <v/>
      </c>
      <c r="Z28" s="9">
        <f>IF(Z17=0,0,Z27/Z17)</f>
        <v/>
      </c>
      <c r="AA28" s="9">
        <f>IF(AA17=0,0,AA27/AA17)</f>
        <v/>
      </c>
      <c r="AB28" s="9">
        <f>IF(AB17=0,0,AB27/AB17)</f>
        <v/>
      </c>
      <c r="AC28" s="9">
        <f>IF(AC17=0,0,AC27/AC17)</f>
        <v/>
      </c>
      <c r="AD28" s="9">
        <f>IF(AD17=0,0,AD27/AD17)</f>
        <v/>
      </c>
      <c r="AE28" s="9">
        <f>IF(AE17=0,0,AE27/AE17)</f>
        <v/>
      </c>
      <c r="AF28" s="9">
        <f>IF(AF17=0,0,AF27/AF17)</f>
        <v/>
      </c>
      <c r="AG28" s="9">
        <f>IF(AG17=0,0,AG27/AG17)</f>
        <v/>
      </c>
      <c r="AH28" s="9">
        <f>IF(AH17=0,0,AH27/AH17)</f>
        <v/>
      </c>
      <c r="AI28" s="9">
        <f>IF(AI17=0,0,AI27/AI17)</f>
        <v/>
      </c>
      <c r="AJ28" s="9">
        <f>IF(AJ17=0,0,AJ27/AJ17)</f>
        <v/>
      </c>
      <c r="AK28" s="9">
        <f>IF(AK17=0,0,AK27/AK17)</f>
        <v/>
      </c>
      <c r="AL28" s="9">
        <f>IF(AL17=0,0,AL27/AL17)</f>
        <v/>
      </c>
      <c r="AM28" s="9">
        <f>IF(AM17=0,0,AM27/AM17)</f>
        <v/>
      </c>
      <c r="AN28" s="9">
        <f>IF(AN17=0,0,AN27/AN17)</f>
        <v/>
      </c>
      <c r="AO28" s="9">
        <f>IF(AO17=0,0,AO27/AO17)</f>
        <v/>
      </c>
      <c r="AP28" s="9">
        <f>IF(AP17=0,0,AP27/AP17)</f>
        <v/>
      </c>
      <c r="AQ28" s="9">
        <f>IF(AQ17=0,0,AQ27/AQ17)</f>
        <v/>
      </c>
      <c r="AR28" s="9">
        <f>IF(AR17=0,0,AR27/AR17)</f>
        <v/>
      </c>
      <c r="AS28" s="9">
        <f>IF(AS17=0,0,AS27/AS17)</f>
        <v/>
      </c>
      <c r="AT28" s="9">
        <f>IF(AT17=0,0,AT27/AT17)</f>
        <v/>
      </c>
      <c r="AU28" s="9">
        <f>IF(AU17=0,0,AU27/AU17)</f>
        <v/>
      </c>
      <c r="AV28" s="9">
        <f>IF(AV17=0,0,AV27/AV17)</f>
        <v/>
      </c>
      <c r="AW28" s="9">
        <f>IF(AW17=0,0,AW27/AW17)</f>
        <v/>
      </c>
      <c r="AX28" s="9">
        <f>IF(AX17=0,0,AX27/AX17)</f>
        <v/>
      </c>
      <c r="AY28" s="9">
        <f>IF(AY17=0,0,AY27/AY17)</f>
        <v/>
      </c>
      <c r="AZ28" s="9">
        <f>IF(AZ17=0,0,AZ27/AZ17)</f>
        <v/>
      </c>
      <c r="BA28" s="9">
        <f>IF(BA17=0,0,BA27/BA17)</f>
        <v/>
      </c>
      <c r="BB28" s="9">
        <f>IF(BB17=0,0,BB27/BB17)</f>
        <v/>
      </c>
      <c r="BC28" s="9">
        <f>IF(BC17=0,0,BC27/BC17)</f>
        <v/>
      </c>
      <c r="BD28" s="9">
        <f>IF(BD17=0,0,BD27/BD17)</f>
        <v/>
      </c>
      <c r="BE28" s="9">
        <f>IF(BE17=0,0,BE27/BE17)</f>
        <v/>
      </c>
      <c r="BF28" s="9">
        <f>IF(BF17=0,0,BF27/BF17)</f>
        <v/>
      </c>
      <c r="BG28" s="9">
        <f>IF(BG17=0,0,BG27/BG17)</f>
        <v/>
      </c>
      <c r="BH28" s="9">
        <f>IF(BH17=0,0,BH27/BH17)</f>
        <v/>
      </c>
      <c r="BI28" s="9">
        <f>IF(BI17=0,0,BI27/BI17)</f>
        <v/>
      </c>
      <c r="BJ28" s="9">
        <f>IF(BJ17=0,0,BJ27/BJ17)</f>
        <v/>
      </c>
    </row>
    <row r="29"/>
    <row r="30">
      <c r="A30" s="19" t="inlineStr">
        <is>
          <t>Operating expenses</t>
        </is>
      </c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19" t="n"/>
      <c r="AS30" s="19" t="n"/>
      <c r="AT30" s="19" t="n"/>
      <c r="AU30" s="19" t="n"/>
      <c r="AV30" s="19" t="n"/>
      <c r="AW30" s="19" t="n"/>
      <c r="AX30" s="19" t="n"/>
      <c r="AY30" s="19" t="n"/>
      <c r="AZ30" s="19" t="n"/>
      <c r="BA30" s="19" t="n"/>
      <c r="BB30" s="19" t="n"/>
      <c r="BC30" s="19" t="n"/>
      <c r="BD30" s="19" t="n"/>
      <c r="BE30" s="19" t="n"/>
      <c r="BF30" s="19" t="n"/>
      <c r="BG30" s="19" t="n"/>
      <c r="BH30" s="19" t="n"/>
      <c r="BI30" s="19" t="n"/>
      <c r="BJ30" s="19" t="n"/>
    </row>
    <row r="31">
      <c r="A31" s="4" t="inlineStr">
        <is>
          <t>Payroll: Leadership</t>
        </is>
      </c>
      <c r="B31" s="17" t="inlineStr">
        <is>
          <t>R</t>
        </is>
      </c>
      <c r="C31" s="8">
        <f>Costs!C144</f>
        <v/>
      </c>
      <c r="D31" s="8">
        <f>Costs!D144</f>
        <v/>
      </c>
      <c r="E31" s="8">
        <f>Costs!E144</f>
        <v/>
      </c>
      <c r="F31" s="8">
        <f>Costs!F144</f>
        <v/>
      </c>
      <c r="G31" s="8">
        <f>Costs!G144</f>
        <v/>
      </c>
      <c r="H31" s="8">
        <f>Costs!H144</f>
        <v/>
      </c>
      <c r="I31" s="8">
        <f>Costs!I144</f>
        <v/>
      </c>
      <c r="J31" s="8">
        <f>Costs!J144</f>
        <v/>
      </c>
      <c r="K31" s="8">
        <f>Costs!K144</f>
        <v/>
      </c>
      <c r="L31" s="8">
        <f>Costs!L144</f>
        <v/>
      </c>
      <c r="M31" s="8">
        <f>Costs!M144</f>
        <v/>
      </c>
      <c r="N31" s="8">
        <f>Costs!N144</f>
        <v/>
      </c>
      <c r="O31" s="8">
        <f>Costs!O144</f>
        <v/>
      </c>
      <c r="P31" s="8">
        <f>Costs!P144</f>
        <v/>
      </c>
      <c r="Q31" s="8">
        <f>Costs!Q144</f>
        <v/>
      </c>
      <c r="R31" s="8">
        <f>Costs!R144</f>
        <v/>
      </c>
      <c r="S31" s="8">
        <f>Costs!S144</f>
        <v/>
      </c>
      <c r="T31" s="8">
        <f>Costs!T144</f>
        <v/>
      </c>
      <c r="U31" s="8">
        <f>Costs!U144</f>
        <v/>
      </c>
      <c r="V31" s="8">
        <f>Costs!V144</f>
        <v/>
      </c>
      <c r="W31" s="8">
        <f>Costs!W144</f>
        <v/>
      </c>
      <c r="X31" s="8">
        <f>Costs!X144</f>
        <v/>
      </c>
      <c r="Y31" s="8">
        <f>Costs!Y144</f>
        <v/>
      </c>
      <c r="Z31" s="8">
        <f>Costs!Z144</f>
        <v/>
      </c>
      <c r="AA31" s="8">
        <f>Costs!AA144</f>
        <v/>
      </c>
      <c r="AB31" s="8">
        <f>Costs!AB144</f>
        <v/>
      </c>
      <c r="AC31" s="8">
        <f>Costs!AC144</f>
        <v/>
      </c>
      <c r="AD31" s="8">
        <f>Costs!AD144</f>
        <v/>
      </c>
      <c r="AE31" s="8">
        <f>Costs!AE144</f>
        <v/>
      </c>
      <c r="AF31" s="8">
        <f>Costs!AF144</f>
        <v/>
      </c>
      <c r="AG31" s="8">
        <f>Costs!AG144</f>
        <v/>
      </c>
      <c r="AH31" s="8">
        <f>Costs!AH144</f>
        <v/>
      </c>
      <c r="AI31" s="8">
        <f>Costs!AI144</f>
        <v/>
      </c>
      <c r="AJ31" s="8">
        <f>Costs!AJ144</f>
        <v/>
      </c>
      <c r="AK31" s="8">
        <f>Costs!AK144</f>
        <v/>
      </c>
      <c r="AL31" s="8">
        <f>Costs!AL144</f>
        <v/>
      </c>
      <c r="AM31" s="8">
        <f>Costs!AM144</f>
        <v/>
      </c>
      <c r="AN31" s="8">
        <f>Costs!AN144</f>
        <v/>
      </c>
      <c r="AO31" s="8">
        <f>Costs!AO144</f>
        <v/>
      </c>
      <c r="AP31" s="8">
        <f>Costs!AP144</f>
        <v/>
      </c>
      <c r="AQ31" s="8">
        <f>Costs!AQ144</f>
        <v/>
      </c>
      <c r="AR31" s="8">
        <f>Costs!AR144</f>
        <v/>
      </c>
      <c r="AS31" s="8">
        <f>Costs!AS144</f>
        <v/>
      </c>
      <c r="AT31" s="8">
        <f>Costs!AT144</f>
        <v/>
      </c>
      <c r="AU31" s="8">
        <f>Costs!AU144</f>
        <v/>
      </c>
      <c r="AV31" s="8">
        <f>Costs!AV144</f>
        <v/>
      </c>
      <c r="AW31" s="8">
        <f>Costs!AW144</f>
        <v/>
      </c>
      <c r="AX31" s="8">
        <f>Costs!AX144</f>
        <v/>
      </c>
      <c r="AY31" s="8">
        <f>Costs!AY144</f>
        <v/>
      </c>
      <c r="AZ31" s="8">
        <f>Costs!AZ144</f>
        <v/>
      </c>
      <c r="BA31" s="8">
        <f>Costs!BA144</f>
        <v/>
      </c>
      <c r="BB31" s="8">
        <f>Costs!BB144</f>
        <v/>
      </c>
      <c r="BC31" s="8">
        <f>Costs!BC144</f>
        <v/>
      </c>
      <c r="BD31" s="8">
        <f>Costs!BD144</f>
        <v/>
      </c>
      <c r="BE31" s="8">
        <f>Costs!BE144</f>
        <v/>
      </c>
      <c r="BF31" s="8">
        <f>Costs!BF144</f>
        <v/>
      </c>
      <c r="BG31" s="8">
        <f>Costs!BG144</f>
        <v/>
      </c>
      <c r="BH31" s="8">
        <f>Costs!BH144</f>
        <v/>
      </c>
      <c r="BI31" s="8">
        <f>Costs!BI144</f>
        <v/>
      </c>
      <c r="BJ31" s="8">
        <f>Costs!BJ144</f>
        <v/>
      </c>
    </row>
    <row r="32">
      <c r="A32" s="4" t="inlineStr">
        <is>
          <t>Payroll: Engineering &amp; product</t>
        </is>
      </c>
      <c r="B32" s="17" t="inlineStr">
        <is>
          <t>R</t>
        </is>
      </c>
      <c r="C32" s="8">
        <f>Costs!C145</f>
        <v/>
      </c>
      <c r="D32" s="8">
        <f>Costs!D145</f>
        <v/>
      </c>
      <c r="E32" s="8">
        <f>Costs!E145</f>
        <v/>
      </c>
      <c r="F32" s="8">
        <f>Costs!F145</f>
        <v/>
      </c>
      <c r="G32" s="8">
        <f>Costs!G145</f>
        <v/>
      </c>
      <c r="H32" s="8">
        <f>Costs!H145</f>
        <v/>
      </c>
      <c r="I32" s="8">
        <f>Costs!I145</f>
        <v/>
      </c>
      <c r="J32" s="8">
        <f>Costs!J145</f>
        <v/>
      </c>
      <c r="K32" s="8">
        <f>Costs!K145</f>
        <v/>
      </c>
      <c r="L32" s="8">
        <f>Costs!L145</f>
        <v/>
      </c>
      <c r="M32" s="8">
        <f>Costs!M145</f>
        <v/>
      </c>
      <c r="N32" s="8">
        <f>Costs!N145</f>
        <v/>
      </c>
      <c r="O32" s="8">
        <f>Costs!O145</f>
        <v/>
      </c>
      <c r="P32" s="8">
        <f>Costs!P145</f>
        <v/>
      </c>
      <c r="Q32" s="8">
        <f>Costs!Q145</f>
        <v/>
      </c>
      <c r="R32" s="8">
        <f>Costs!R145</f>
        <v/>
      </c>
      <c r="S32" s="8">
        <f>Costs!S145</f>
        <v/>
      </c>
      <c r="T32" s="8">
        <f>Costs!T145</f>
        <v/>
      </c>
      <c r="U32" s="8">
        <f>Costs!U145</f>
        <v/>
      </c>
      <c r="V32" s="8">
        <f>Costs!V145</f>
        <v/>
      </c>
      <c r="W32" s="8">
        <f>Costs!W145</f>
        <v/>
      </c>
      <c r="X32" s="8">
        <f>Costs!X145</f>
        <v/>
      </c>
      <c r="Y32" s="8">
        <f>Costs!Y145</f>
        <v/>
      </c>
      <c r="Z32" s="8">
        <f>Costs!Z145</f>
        <v/>
      </c>
      <c r="AA32" s="8">
        <f>Costs!AA145</f>
        <v/>
      </c>
      <c r="AB32" s="8">
        <f>Costs!AB145</f>
        <v/>
      </c>
      <c r="AC32" s="8">
        <f>Costs!AC145</f>
        <v/>
      </c>
      <c r="AD32" s="8">
        <f>Costs!AD145</f>
        <v/>
      </c>
      <c r="AE32" s="8">
        <f>Costs!AE145</f>
        <v/>
      </c>
      <c r="AF32" s="8">
        <f>Costs!AF145</f>
        <v/>
      </c>
      <c r="AG32" s="8">
        <f>Costs!AG145</f>
        <v/>
      </c>
      <c r="AH32" s="8">
        <f>Costs!AH145</f>
        <v/>
      </c>
      <c r="AI32" s="8">
        <f>Costs!AI145</f>
        <v/>
      </c>
      <c r="AJ32" s="8">
        <f>Costs!AJ145</f>
        <v/>
      </c>
      <c r="AK32" s="8">
        <f>Costs!AK145</f>
        <v/>
      </c>
      <c r="AL32" s="8">
        <f>Costs!AL145</f>
        <v/>
      </c>
      <c r="AM32" s="8">
        <f>Costs!AM145</f>
        <v/>
      </c>
      <c r="AN32" s="8">
        <f>Costs!AN145</f>
        <v/>
      </c>
      <c r="AO32" s="8">
        <f>Costs!AO145</f>
        <v/>
      </c>
      <c r="AP32" s="8">
        <f>Costs!AP145</f>
        <v/>
      </c>
      <c r="AQ32" s="8">
        <f>Costs!AQ145</f>
        <v/>
      </c>
      <c r="AR32" s="8">
        <f>Costs!AR145</f>
        <v/>
      </c>
      <c r="AS32" s="8">
        <f>Costs!AS145</f>
        <v/>
      </c>
      <c r="AT32" s="8">
        <f>Costs!AT145</f>
        <v/>
      </c>
      <c r="AU32" s="8">
        <f>Costs!AU145</f>
        <v/>
      </c>
      <c r="AV32" s="8">
        <f>Costs!AV145</f>
        <v/>
      </c>
      <c r="AW32" s="8">
        <f>Costs!AW145</f>
        <v/>
      </c>
      <c r="AX32" s="8">
        <f>Costs!AX145</f>
        <v/>
      </c>
      <c r="AY32" s="8">
        <f>Costs!AY145</f>
        <v/>
      </c>
      <c r="AZ32" s="8">
        <f>Costs!AZ145</f>
        <v/>
      </c>
      <c r="BA32" s="8">
        <f>Costs!BA145</f>
        <v/>
      </c>
      <c r="BB32" s="8">
        <f>Costs!BB145</f>
        <v/>
      </c>
      <c r="BC32" s="8">
        <f>Costs!BC145</f>
        <v/>
      </c>
      <c r="BD32" s="8">
        <f>Costs!BD145</f>
        <v/>
      </c>
      <c r="BE32" s="8">
        <f>Costs!BE145</f>
        <v/>
      </c>
      <c r="BF32" s="8">
        <f>Costs!BF145</f>
        <v/>
      </c>
      <c r="BG32" s="8">
        <f>Costs!BG145</f>
        <v/>
      </c>
      <c r="BH32" s="8">
        <f>Costs!BH145</f>
        <v/>
      </c>
      <c r="BI32" s="8">
        <f>Costs!BI145</f>
        <v/>
      </c>
      <c r="BJ32" s="8">
        <f>Costs!BJ145</f>
        <v/>
      </c>
    </row>
    <row r="33">
      <c r="A33" s="4" t="inlineStr">
        <is>
          <t>Payroll: Marketing</t>
        </is>
      </c>
      <c r="B33" s="17" t="inlineStr">
        <is>
          <t>R</t>
        </is>
      </c>
      <c r="C33" s="8">
        <f>Costs!C146</f>
        <v/>
      </c>
      <c r="D33" s="8">
        <f>Costs!D146</f>
        <v/>
      </c>
      <c r="E33" s="8">
        <f>Costs!E146</f>
        <v/>
      </c>
      <c r="F33" s="8">
        <f>Costs!F146</f>
        <v/>
      </c>
      <c r="G33" s="8">
        <f>Costs!G146</f>
        <v/>
      </c>
      <c r="H33" s="8">
        <f>Costs!H146</f>
        <v/>
      </c>
      <c r="I33" s="8">
        <f>Costs!I146</f>
        <v/>
      </c>
      <c r="J33" s="8">
        <f>Costs!J146</f>
        <v/>
      </c>
      <c r="K33" s="8">
        <f>Costs!K146</f>
        <v/>
      </c>
      <c r="L33" s="8">
        <f>Costs!L146</f>
        <v/>
      </c>
      <c r="M33" s="8">
        <f>Costs!M146</f>
        <v/>
      </c>
      <c r="N33" s="8">
        <f>Costs!N146</f>
        <v/>
      </c>
      <c r="O33" s="8">
        <f>Costs!O146</f>
        <v/>
      </c>
      <c r="P33" s="8">
        <f>Costs!P146</f>
        <v/>
      </c>
      <c r="Q33" s="8">
        <f>Costs!Q146</f>
        <v/>
      </c>
      <c r="R33" s="8">
        <f>Costs!R146</f>
        <v/>
      </c>
      <c r="S33" s="8">
        <f>Costs!S146</f>
        <v/>
      </c>
      <c r="T33" s="8">
        <f>Costs!T146</f>
        <v/>
      </c>
      <c r="U33" s="8">
        <f>Costs!U146</f>
        <v/>
      </c>
      <c r="V33" s="8">
        <f>Costs!V146</f>
        <v/>
      </c>
      <c r="W33" s="8">
        <f>Costs!W146</f>
        <v/>
      </c>
      <c r="X33" s="8">
        <f>Costs!X146</f>
        <v/>
      </c>
      <c r="Y33" s="8">
        <f>Costs!Y146</f>
        <v/>
      </c>
      <c r="Z33" s="8">
        <f>Costs!Z146</f>
        <v/>
      </c>
      <c r="AA33" s="8">
        <f>Costs!AA146</f>
        <v/>
      </c>
      <c r="AB33" s="8">
        <f>Costs!AB146</f>
        <v/>
      </c>
      <c r="AC33" s="8">
        <f>Costs!AC146</f>
        <v/>
      </c>
      <c r="AD33" s="8">
        <f>Costs!AD146</f>
        <v/>
      </c>
      <c r="AE33" s="8">
        <f>Costs!AE146</f>
        <v/>
      </c>
      <c r="AF33" s="8">
        <f>Costs!AF146</f>
        <v/>
      </c>
      <c r="AG33" s="8">
        <f>Costs!AG146</f>
        <v/>
      </c>
      <c r="AH33" s="8">
        <f>Costs!AH146</f>
        <v/>
      </c>
      <c r="AI33" s="8">
        <f>Costs!AI146</f>
        <v/>
      </c>
      <c r="AJ33" s="8">
        <f>Costs!AJ146</f>
        <v/>
      </c>
      <c r="AK33" s="8">
        <f>Costs!AK146</f>
        <v/>
      </c>
      <c r="AL33" s="8">
        <f>Costs!AL146</f>
        <v/>
      </c>
      <c r="AM33" s="8">
        <f>Costs!AM146</f>
        <v/>
      </c>
      <c r="AN33" s="8">
        <f>Costs!AN146</f>
        <v/>
      </c>
      <c r="AO33" s="8">
        <f>Costs!AO146</f>
        <v/>
      </c>
      <c r="AP33" s="8">
        <f>Costs!AP146</f>
        <v/>
      </c>
      <c r="AQ33" s="8">
        <f>Costs!AQ146</f>
        <v/>
      </c>
      <c r="AR33" s="8">
        <f>Costs!AR146</f>
        <v/>
      </c>
      <c r="AS33" s="8">
        <f>Costs!AS146</f>
        <v/>
      </c>
      <c r="AT33" s="8">
        <f>Costs!AT146</f>
        <v/>
      </c>
      <c r="AU33" s="8">
        <f>Costs!AU146</f>
        <v/>
      </c>
      <c r="AV33" s="8">
        <f>Costs!AV146</f>
        <v/>
      </c>
      <c r="AW33" s="8">
        <f>Costs!AW146</f>
        <v/>
      </c>
      <c r="AX33" s="8">
        <f>Costs!AX146</f>
        <v/>
      </c>
      <c r="AY33" s="8">
        <f>Costs!AY146</f>
        <v/>
      </c>
      <c r="AZ33" s="8">
        <f>Costs!AZ146</f>
        <v/>
      </c>
      <c r="BA33" s="8">
        <f>Costs!BA146</f>
        <v/>
      </c>
      <c r="BB33" s="8">
        <f>Costs!BB146</f>
        <v/>
      </c>
      <c r="BC33" s="8">
        <f>Costs!BC146</f>
        <v/>
      </c>
      <c r="BD33" s="8">
        <f>Costs!BD146</f>
        <v/>
      </c>
      <c r="BE33" s="8">
        <f>Costs!BE146</f>
        <v/>
      </c>
      <c r="BF33" s="8">
        <f>Costs!BF146</f>
        <v/>
      </c>
      <c r="BG33" s="8">
        <f>Costs!BG146</f>
        <v/>
      </c>
      <c r="BH33" s="8">
        <f>Costs!BH146</f>
        <v/>
      </c>
      <c r="BI33" s="8">
        <f>Costs!BI146</f>
        <v/>
      </c>
      <c r="BJ33" s="8">
        <f>Costs!BJ146</f>
        <v/>
      </c>
    </row>
    <row r="34">
      <c r="A34" s="4" t="inlineStr">
        <is>
          <t>Payroll: Sales &amp; partnerships</t>
        </is>
      </c>
      <c r="B34" s="17" t="inlineStr">
        <is>
          <t>R</t>
        </is>
      </c>
      <c r="C34" s="8">
        <f>Costs!C147</f>
        <v/>
      </c>
      <c r="D34" s="8">
        <f>Costs!D147</f>
        <v/>
      </c>
      <c r="E34" s="8">
        <f>Costs!E147</f>
        <v/>
      </c>
      <c r="F34" s="8">
        <f>Costs!F147</f>
        <v/>
      </c>
      <c r="G34" s="8">
        <f>Costs!G147</f>
        <v/>
      </c>
      <c r="H34" s="8">
        <f>Costs!H147</f>
        <v/>
      </c>
      <c r="I34" s="8">
        <f>Costs!I147</f>
        <v/>
      </c>
      <c r="J34" s="8">
        <f>Costs!J147</f>
        <v/>
      </c>
      <c r="K34" s="8">
        <f>Costs!K147</f>
        <v/>
      </c>
      <c r="L34" s="8">
        <f>Costs!L147</f>
        <v/>
      </c>
      <c r="M34" s="8">
        <f>Costs!M147</f>
        <v/>
      </c>
      <c r="N34" s="8">
        <f>Costs!N147</f>
        <v/>
      </c>
      <c r="O34" s="8">
        <f>Costs!O147</f>
        <v/>
      </c>
      <c r="P34" s="8">
        <f>Costs!P147</f>
        <v/>
      </c>
      <c r="Q34" s="8">
        <f>Costs!Q147</f>
        <v/>
      </c>
      <c r="R34" s="8">
        <f>Costs!R147</f>
        <v/>
      </c>
      <c r="S34" s="8">
        <f>Costs!S147</f>
        <v/>
      </c>
      <c r="T34" s="8">
        <f>Costs!T147</f>
        <v/>
      </c>
      <c r="U34" s="8">
        <f>Costs!U147</f>
        <v/>
      </c>
      <c r="V34" s="8">
        <f>Costs!V147</f>
        <v/>
      </c>
      <c r="W34" s="8">
        <f>Costs!W147</f>
        <v/>
      </c>
      <c r="X34" s="8">
        <f>Costs!X147</f>
        <v/>
      </c>
      <c r="Y34" s="8">
        <f>Costs!Y147</f>
        <v/>
      </c>
      <c r="Z34" s="8">
        <f>Costs!Z147</f>
        <v/>
      </c>
      <c r="AA34" s="8">
        <f>Costs!AA147</f>
        <v/>
      </c>
      <c r="AB34" s="8">
        <f>Costs!AB147</f>
        <v/>
      </c>
      <c r="AC34" s="8">
        <f>Costs!AC147</f>
        <v/>
      </c>
      <c r="AD34" s="8">
        <f>Costs!AD147</f>
        <v/>
      </c>
      <c r="AE34" s="8">
        <f>Costs!AE147</f>
        <v/>
      </c>
      <c r="AF34" s="8">
        <f>Costs!AF147</f>
        <v/>
      </c>
      <c r="AG34" s="8">
        <f>Costs!AG147</f>
        <v/>
      </c>
      <c r="AH34" s="8">
        <f>Costs!AH147</f>
        <v/>
      </c>
      <c r="AI34" s="8">
        <f>Costs!AI147</f>
        <v/>
      </c>
      <c r="AJ34" s="8">
        <f>Costs!AJ147</f>
        <v/>
      </c>
      <c r="AK34" s="8">
        <f>Costs!AK147</f>
        <v/>
      </c>
      <c r="AL34" s="8">
        <f>Costs!AL147</f>
        <v/>
      </c>
      <c r="AM34" s="8">
        <f>Costs!AM147</f>
        <v/>
      </c>
      <c r="AN34" s="8">
        <f>Costs!AN147</f>
        <v/>
      </c>
      <c r="AO34" s="8">
        <f>Costs!AO147</f>
        <v/>
      </c>
      <c r="AP34" s="8">
        <f>Costs!AP147</f>
        <v/>
      </c>
      <c r="AQ34" s="8">
        <f>Costs!AQ147</f>
        <v/>
      </c>
      <c r="AR34" s="8">
        <f>Costs!AR147</f>
        <v/>
      </c>
      <c r="AS34" s="8">
        <f>Costs!AS147</f>
        <v/>
      </c>
      <c r="AT34" s="8">
        <f>Costs!AT147</f>
        <v/>
      </c>
      <c r="AU34" s="8">
        <f>Costs!AU147</f>
        <v/>
      </c>
      <c r="AV34" s="8">
        <f>Costs!AV147</f>
        <v/>
      </c>
      <c r="AW34" s="8">
        <f>Costs!AW147</f>
        <v/>
      </c>
      <c r="AX34" s="8">
        <f>Costs!AX147</f>
        <v/>
      </c>
      <c r="AY34" s="8">
        <f>Costs!AY147</f>
        <v/>
      </c>
      <c r="AZ34" s="8">
        <f>Costs!AZ147</f>
        <v/>
      </c>
      <c r="BA34" s="8">
        <f>Costs!BA147</f>
        <v/>
      </c>
      <c r="BB34" s="8">
        <f>Costs!BB147</f>
        <v/>
      </c>
      <c r="BC34" s="8">
        <f>Costs!BC147</f>
        <v/>
      </c>
      <c r="BD34" s="8">
        <f>Costs!BD147</f>
        <v/>
      </c>
      <c r="BE34" s="8">
        <f>Costs!BE147</f>
        <v/>
      </c>
      <c r="BF34" s="8">
        <f>Costs!BF147</f>
        <v/>
      </c>
      <c r="BG34" s="8">
        <f>Costs!BG147</f>
        <v/>
      </c>
      <c r="BH34" s="8">
        <f>Costs!BH147</f>
        <v/>
      </c>
      <c r="BI34" s="8">
        <f>Costs!BI147</f>
        <v/>
      </c>
      <c r="BJ34" s="8">
        <f>Costs!BJ147</f>
        <v/>
      </c>
    </row>
    <row r="35">
      <c r="A35" s="4" t="inlineStr">
        <is>
          <t>Payroll: G&amp;A &amp; compliance</t>
        </is>
      </c>
      <c r="B35" s="17" t="inlineStr">
        <is>
          <t>R</t>
        </is>
      </c>
      <c r="C35" s="8">
        <f>Costs!C149</f>
        <v/>
      </c>
      <c r="D35" s="8">
        <f>Costs!D149</f>
        <v/>
      </c>
      <c r="E35" s="8">
        <f>Costs!E149</f>
        <v/>
      </c>
      <c r="F35" s="8">
        <f>Costs!F149</f>
        <v/>
      </c>
      <c r="G35" s="8">
        <f>Costs!G149</f>
        <v/>
      </c>
      <c r="H35" s="8">
        <f>Costs!H149</f>
        <v/>
      </c>
      <c r="I35" s="8">
        <f>Costs!I149</f>
        <v/>
      </c>
      <c r="J35" s="8">
        <f>Costs!J149</f>
        <v/>
      </c>
      <c r="K35" s="8">
        <f>Costs!K149</f>
        <v/>
      </c>
      <c r="L35" s="8">
        <f>Costs!L149</f>
        <v/>
      </c>
      <c r="M35" s="8">
        <f>Costs!M149</f>
        <v/>
      </c>
      <c r="N35" s="8">
        <f>Costs!N149</f>
        <v/>
      </c>
      <c r="O35" s="8">
        <f>Costs!O149</f>
        <v/>
      </c>
      <c r="P35" s="8">
        <f>Costs!P149</f>
        <v/>
      </c>
      <c r="Q35" s="8">
        <f>Costs!Q149</f>
        <v/>
      </c>
      <c r="R35" s="8">
        <f>Costs!R149</f>
        <v/>
      </c>
      <c r="S35" s="8">
        <f>Costs!S149</f>
        <v/>
      </c>
      <c r="T35" s="8">
        <f>Costs!T149</f>
        <v/>
      </c>
      <c r="U35" s="8">
        <f>Costs!U149</f>
        <v/>
      </c>
      <c r="V35" s="8">
        <f>Costs!V149</f>
        <v/>
      </c>
      <c r="W35" s="8">
        <f>Costs!W149</f>
        <v/>
      </c>
      <c r="X35" s="8">
        <f>Costs!X149</f>
        <v/>
      </c>
      <c r="Y35" s="8">
        <f>Costs!Y149</f>
        <v/>
      </c>
      <c r="Z35" s="8">
        <f>Costs!Z149</f>
        <v/>
      </c>
      <c r="AA35" s="8">
        <f>Costs!AA149</f>
        <v/>
      </c>
      <c r="AB35" s="8">
        <f>Costs!AB149</f>
        <v/>
      </c>
      <c r="AC35" s="8">
        <f>Costs!AC149</f>
        <v/>
      </c>
      <c r="AD35" s="8">
        <f>Costs!AD149</f>
        <v/>
      </c>
      <c r="AE35" s="8">
        <f>Costs!AE149</f>
        <v/>
      </c>
      <c r="AF35" s="8">
        <f>Costs!AF149</f>
        <v/>
      </c>
      <c r="AG35" s="8">
        <f>Costs!AG149</f>
        <v/>
      </c>
      <c r="AH35" s="8">
        <f>Costs!AH149</f>
        <v/>
      </c>
      <c r="AI35" s="8">
        <f>Costs!AI149</f>
        <v/>
      </c>
      <c r="AJ35" s="8">
        <f>Costs!AJ149</f>
        <v/>
      </c>
      <c r="AK35" s="8">
        <f>Costs!AK149</f>
        <v/>
      </c>
      <c r="AL35" s="8">
        <f>Costs!AL149</f>
        <v/>
      </c>
      <c r="AM35" s="8">
        <f>Costs!AM149</f>
        <v/>
      </c>
      <c r="AN35" s="8">
        <f>Costs!AN149</f>
        <v/>
      </c>
      <c r="AO35" s="8">
        <f>Costs!AO149</f>
        <v/>
      </c>
      <c r="AP35" s="8">
        <f>Costs!AP149</f>
        <v/>
      </c>
      <c r="AQ35" s="8">
        <f>Costs!AQ149</f>
        <v/>
      </c>
      <c r="AR35" s="8">
        <f>Costs!AR149</f>
        <v/>
      </c>
      <c r="AS35" s="8">
        <f>Costs!AS149</f>
        <v/>
      </c>
      <c r="AT35" s="8">
        <f>Costs!AT149</f>
        <v/>
      </c>
      <c r="AU35" s="8">
        <f>Costs!AU149</f>
        <v/>
      </c>
      <c r="AV35" s="8">
        <f>Costs!AV149</f>
        <v/>
      </c>
      <c r="AW35" s="8">
        <f>Costs!AW149</f>
        <v/>
      </c>
      <c r="AX35" s="8">
        <f>Costs!AX149</f>
        <v/>
      </c>
      <c r="AY35" s="8">
        <f>Costs!AY149</f>
        <v/>
      </c>
      <c r="AZ35" s="8">
        <f>Costs!AZ149</f>
        <v/>
      </c>
      <c r="BA35" s="8">
        <f>Costs!BA149</f>
        <v/>
      </c>
      <c r="BB35" s="8">
        <f>Costs!BB149</f>
        <v/>
      </c>
      <c r="BC35" s="8">
        <f>Costs!BC149</f>
        <v/>
      </c>
      <c r="BD35" s="8">
        <f>Costs!BD149</f>
        <v/>
      </c>
      <c r="BE35" s="8">
        <f>Costs!BE149</f>
        <v/>
      </c>
      <c r="BF35" s="8">
        <f>Costs!BF149</f>
        <v/>
      </c>
      <c r="BG35" s="8">
        <f>Costs!BG149</f>
        <v/>
      </c>
      <c r="BH35" s="8">
        <f>Costs!BH149</f>
        <v/>
      </c>
      <c r="BI35" s="8">
        <f>Costs!BI149</f>
        <v/>
      </c>
      <c r="BJ35" s="8">
        <f>Costs!BJ149</f>
        <v/>
      </c>
    </row>
    <row r="36">
      <c r="A36" s="4" t="inlineStr">
        <is>
          <t>Payroll: Country teams</t>
        </is>
      </c>
      <c r="B36" s="17" t="inlineStr">
        <is>
          <t>R</t>
        </is>
      </c>
      <c r="C36" s="8">
        <f>Costs!C150</f>
        <v/>
      </c>
      <c r="D36" s="8">
        <f>Costs!D150</f>
        <v/>
      </c>
      <c r="E36" s="8">
        <f>Costs!E150</f>
        <v/>
      </c>
      <c r="F36" s="8">
        <f>Costs!F150</f>
        <v/>
      </c>
      <c r="G36" s="8">
        <f>Costs!G150</f>
        <v/>
      </c>
      <c r="H36" s="8">
        <f>Costs!H150</f>
        <v/>
      </c>
      <c r="I36" s="8">
        <f>Costs!I150</f>
        <v/>
      </c>
      <c r="J36" s="8">
        <f>Costs!J150</f>
        <v/>
      </c>
      <c r="K36" s="8">
        <f>Costs!K150</f>
        <v/>
      </c>
      <c r="L36" s="8">
        <f>Costs!L150</f>
        <v/>
      </c>
      <c r="M36" s="8">
        <f>Costs!M150</f>
        <v/>
      </c>
      <c r="N36" s="8">
        <f>Costs!N150</f>
        <v/>
      </c>
      <c r="O36" s="8">
        <f>Costs!O150</f>
        <v/>
      </c>
      <c r="P36" s="8">
        <f>Costs!P150</f>
        <v/>
      </c>
      <c r="Q36" s="8">
        <f>Costs!Q150</f>
        <v/>
      </c>
      <c r="R36" s="8">
        <f>Costs!R150</f>
        <v/>
      </c>
      <c r="S36" s="8">
        <f>Costs!S150</f>
        <v/>
      </c>
      <c r="T36" s="8">
        <f>Costs!T150</f>
        <v/>
      </c>
      <c r="U36" s="8">
        <f>Costs!U150</f>
        <v/>
      </c>
      <c r="V36" s="8">
        <f>Costs!V150</f>
        <v/>
      </c>
      <c r="W36" s="8">
        <f>Costs!W150</f>
        <v/>
      </c>
      <c r="X36" s="8">
        <f>Costs!X150</f>
        <v/>
      </c>
      <c r="Y36" s="8">
        <f>Costs!Y150</f>
        <v/>
      </c>
      <c r="Z36" s="8">
        <f>Costs!Z150</f>
        <v/>
      </c>
      <c r="AA36" s="8">
        <f>Costs!AA150</f>
        <v/>
      </c>
      <c r="AB36" s="8">
        <f>Costs!AB150</f>
        <v/>
      </c>
      <c r="AC36" s="8">
        <f>Costs!AC150</f>
        <v/>
      </c>
      <c r="AD36" s="8">
        <f>Costs!AD150</f>
        <v/>
      </c>
      <c r="AE36" s="8">
        <f>Costs!AE150</f>
        <v/>
      </c>
      <c r="AF36" s="8">
        <f>Costs!AF150</f>
        <v/>
      </c>
      <c r="AG36" s="8">
        <f>Costs!AG150</f>
        <v/>
      </c>
      <c r="AH36" s="8">
        <f>Costs!AH150</f>
        <v/>
      </c>
      <c r="AI36" s="8">
        <f>Costs!AI150</f>
        <v/>
      </c>
      <c r="AJ36" s="8">
        <f>Costs!AJ150</f>
        <v/>
      </c>
      <c r="AK36" s="8">
        <f>Costs!AK150</f>
        <v/>
      </c>
      <c r="AL36" s="8">
        <f>Costs!AL150</f>
        <v/>
      </c>
      <c r="AM36" s="8">
        <f>Costs!AM150</f>
        <v/>
      </c>
      <c r="AN36" s="8">
        <f>Costs!AN150</f>
        <v/>
      </c>
      <c r="AO36" s="8">
        <f>Costs!AO150</f>
        <v/>
      </c>
      <c r="AP36" s="8">
        <f>Costs!AP150</f>
        <v/>
      </c>
      <c r="AQ36" s="8">
        <f>Costs!AQ150</f>
        <v/>
      </c>
      <c r="AR36" s="8">
        <f>Costs!AR150</f>
        <v/>
      </c>
      <c r="AS36" s="8">
        <f>Costs!AS150</f>
        <v/>
      </c>
      <c r="AT36" s="8">
        <f>Costs!AT150</f>
        <v/>
      </c>
      <c r="AU36" s="8">
        <f>Costs!AU150</f>
        <v/>
      </c>
      <c r="AV36" s="8">
        <f>Costs!AV150</f>
        <v/>
      </c>
      <c r="AW36" s="8">
        <f>Costs!AW150</f>
        <v/>
      </c>
      <c r="AX36" s="8">
        <f>Costs!AX150</f>
        <v/>
      </c>
      <c r="AY36" s="8">
        <f>Costs!AY150</f>
        <v/>
      </c>
      <c r="AZ36" s="8">
        <f>Costs!AZ150</f>
        <v/>
      </c>
      <c r="BA36" s="8">
        <f>Costs!BA150</f>
        <v/>
      </c>
      <c r="BB36" s="8">
        <f>Costs!BB150</f>
        <v/>
      </c>
      <c r="BC36" s="8">
        <f>Costs!BC150</f>
        <v/>
      </c>
      <c r="BD36" s="8">
        <f>Costs!BD150</f>
        <v/>
      </c>
      <c r="BE36" s="8">
        <f>Costs!BE150</f>
        <v/>
      </c>
      <c r="BF36" s="8">
        <f>Costs!BF150</f>
        <v/>
      </c>
      <c r="BG36" s="8">
        <f>Costs!BG150</f>
        <v/>
      </c>
      <c r="BH36" s="8">
        <f>Costs!BH150</f>
        <v/>
      </c>
      <c r="BI36" s="8">
        <f>Costs!BI150</f>
        <v/>
      </c>
      <c r="BJ36" s="8">
        <f>Costs!BJ150</f>
        <v/>
      </c>
    </row>
    <row r="37">
      <c r="A37" s="3" t="inlineStr">
        <is>
          <t>Total payroll (excl. customer success in COGS)</t>
        </is>
      </c>
      <c r="B37" s="17" t="inlineStr">
        <is>
          <t>R</t>
        </is>
      </c>
      <c r="C37" s="42">
        <f>C31+C32+C33+C34+C35+C36</f>
        <v/>
      </c>
      <c r="D37" s="42">
        <f>D31+D32+D33+D34+D35+D36</f>
        <v/>
      </c>
      <c r="E37" s="42">
        <f>E31+E32+E33+E34+E35+E36</f>
        <v/>
      </c>
      <c r="F37" s="42">
        <f>F31+F32+F33+F34+F35+F36</f>
        <v/>
      </c>
      <c r="G37" s="42">
        <f>G31+G32+G33+G34+G35+G36</f>
        <v/>
      </c>
      <c r="H37" s="42">
        <f>H31+H32+H33+H34+H35+H36</f>
        <v/>
      </c>
      <c r="I37" s="42">
        <f>I31+I32+I33+I34+I35+I36</f>
        <v/>
      </c>
      <c r="J37" s="42">
        <f>J31+J32+J33+J34+J35+J36</f>
        <v/>
      </c>
      <c r="K37" s="42">
        <f>K31+K32+K33+K34+K35+K36</f>
        <v/>
      </c>
      <c r="L37" s="42">
        <f>L31+L32+L33+L34+L35+L36</f>
        <v/>
      </c>
      <c r="M37" s="42">
        <f>M31+M32+M33+M34+M35+M36</f>
        <v/>
      </c>
      <c r="N37" s="42">
        <f>N31+N32+N33+N34+N35+N36</f>
        <v/>
      </c>
      <c r="O37" s="42">
        <f>O31+O32+O33+O34+O35+O36</f>
        <v/>
      </c>
      <c r="P37" s="42">
        <f>P31+P32+P33+P34+P35+P36</f>
        <v/>
      </c>
      <c r="Q37" s="42">
        <f>Q31+Q32+Q33+Q34+Q35+Q36</f>
        <v/>
      </c>
      <c r="R37" s="42">
        <f>R31+R32+R33+R34+R35+R36</f>
        <v/>
      </c>
      <c r="S37" s="42">
        <f>S31+S32+S33+S34+S35+S36</f>
        <v/>
      </c>
      <c r="T37" s="42">
        <f>T31+T32+T33+T34+T35+T36</f>
        <v/>
      </c>
      <c r="U37" s="42">
        <f>U31+U32+U33+U34+U35+U36</f>
        <v/>
      </c>
      <c r="V37" s="42">
        <f>V31+V32+V33+V34+V35+V36</f>
        <v/>
      </c>
      <c r="W37" s="42">
        <f>W31+W32+W33+W34+W35+W36</f>
        <v/>
      </c>
      <c r="X37" s="42">
        <f>X31+X32+X33+X34+X35+X36</f>
        <v/>
      </c>
      <c r="Y37" s="42">
        <f>Y31+Y32+Y33+Y34+Y35+Y36</f>
        <v/>
      </c>
      <c r="Z37" s="42">
        <f>Z31+Z32+Z33+Z34+Z35+Z36</f>
        <v/>
      </c>
      <c r="AA37" s="42">
        <f>AA31+AA32+AA33+AA34+AA35+AA36</f>
        <v/>
      </c>
      <c r="AB37" s="42">
        <f>AB31+AB32+AB33+AB34+AB35+AB36</f>
        <v/>
      </c>
      <c r="AC37" s="42">
        <f>AC31+AC32+AC33+AC34+AC35+AC36</f>
        <v/>
      </c>
      <c r="AD37" s="42">
        <f>AD31+AD32+AD33+AD34+AD35+AD36</f>
        <v/>
      </c>
      <c r="AE37" s="42">
        <f>AE31+AE32+AE33+AE34+AE35+AE36</f>
        <v/>
      </c>
      <c r="AF37" s="42">
        <f>AF31+AF32+AF33+AF34+AF35+AF36</f>
        <v/>
      </c>
      <c r="AG37" s="42">
        <f>AG31+AG32+AG33+AG34+AG35+AG36</f>
        <v/>
      </c>
      <c r="AH37" s="42">
        <f>AH31+AH32+AH33+AH34+AH35+AH36</f>
        <v/>
      </c>
      <c r="AI37" s="42">
        <f>AI31+AI32+AI33+AI34+AI35+AI36</f>
        <v/>
      </c>
      <c r="AJ37" s="42">
        <f>AJ31+AJ32+AJ33+AJ34+AJ35+AJ36</f>
        <v/>
      </c>
      <c r="AK37" s="42">
        <f>AK31+AK32+AK33+AK34+AK35+AK36</f>
        <v/>
      </c>
      <c r="AL37" s="42">
        <f>AL31+AL32+AL33+AL34+AL35+AL36</f>
        <v/>
      </c>
      <c r="AM37" s="42">
        <f>AM31+AM32+AM33+AM34+AM35+AM36</f>
        <v/>
      </c>
      <c r="AN37" s="42">
        <f>AN31+AN32+AN33+AN34+AN35+AN36</f>
        <v/>
      </c>
      <c r="AO37" s="42">
        <f>AO31+AO32+AO33+AO34+AO35+AO36</f>
        <v/>
      </c>
      <c r="AP37" s="42">
        <f>AP31+AP32+AP33+AP34+AP35+AP36</f>
        <v/>
      </c>
      <c r="AQ37" s="42">
        <f>AQ31+AQ32+AQ33+AQ34+AQ35+AQ36</f>
        <v/>
      </c>
      <c r="AR37" s="42">
        <f>AR31+AR32+AR33+AR34+AR35+AR36</f>
        <v/>
      </c>
      <c r="AS37" s="42">
        <f>AS31+AS32+AS33+AS34+AS35+AS36</f>
        <v/>
      </c>
      <c r="AT37" s="42">
        <f>AT31+AT32+AT33+AT34+AT35+AT36</f>
        <v/>
      </c>
      <c r="AU37" s="42">
        <f>AU31+AU32+AU33+AU34+AU35+AU36</f>
        <v/>
      </c>
      <c r="AV37" s="42">
        <f>AV31+AV32+AV33+AV34+AV35+AV36</f>
        <v/>
      </c>
      <c r="AW37" s="42">
        <f>AW31+AW32+AW33+AW34+AW35+AW36</f>
        <v/>
      </c>
      <c r="AX37" s="42">
        <f>AX31+AX32+AX33+AX34+AX35+AX36</f>
        <v/>
      </c>
      <c r="AY37" s="42">
        <f>AY31+AY32+AY33+AY34+AY35+AY36</f>
        <v/>
      </c>
      <c r="AZ37" s="42">
        <f>AZ31+AZ32+AZ33+AZ34+AZ35+AZ36</f>
        <v/>
      </c>
      <c r="BA37" s="42">
        <f>BA31+BA32+BA33+BA34+BA35+BA36</f>
        <v/>
      </c>
      <c r="BB37" s="42">
        <f>BB31+BB32+BB33+BB34+BB35+BB36</f>
        <v/>
      </c>
      <c r="BC37" s="42">
        <f>BC31+BC32+BC33+BC34+BC35+BC36</f>
        <v/>
      </c>
      <c r="BD37" s="42">
        <f>BD31+BD32+BD33+BD34+BD35+BD36</f>
        <v/>
      </c>
      <c r="BE37" s="42">
        <f>BE31+BE32+BE33+BE34+BE35+BE36</f>
        <v/>
      </c>
      <c r="BF37" s="42">
        <f>BF31+BF32+BF33+BF34+BF35+BF36</f>
        <v/>
      </c>
      <c r="BG37" s="42">
        <f>BG31+BG32+BG33+BG34+BG35+BG36</f>
        <v/>
      </c>
      <c r="BH37" s="42">
        <f>BH31+BH32+BH33+BH34+BH35+BH36</f>
        <v/>
      </c>
      <c r="BI37" s="42">
        <f>BI31+BI32+BI33+BI34+BI35+BI36</f>
        <v/>
      </c>
      <c r="BJ37" s="42">
        <f>BJ31+BJ32+BJ33+BJ34+BJ35+BJ36</f>
        <v/>
      </c>
    </row>
    <row r="38">
      <c r="A38" s="4" t="inlineStr">
        <is>
          <t>Marketing &amp; sales programmes</t>
        </is>
      </c>
      <c r="B38" s="17" t="inlineStr">
        <is>
          <t>R</t>
        </is>
      </c>
      <c r="C38" s="8">
        <f>Costs!C175</f>
        <v/>
      </c>
      <c r="D38" s="8">
        <f>Costs!D175</f>
        <v/>
      </c>
      <c r="E38" s="8">
        <f>Costs!E175</f>
        <v/>
      </c>
      <c r="F38" s="8">
        <f>Costs!F175</f>
        <v/>
      </c>
      <c r="G38" s="8">
        <f>Costs!G175</f>
        <v/>
      </c>
      <c r="H38" s="8">
        <f>Costs!H175</f>
        <v/>
      </c>
      <c r="I38" s="8">
        <f>Costs!I175</f>
        <v/>
      </c>
      <c r="J38" s="8">
        <f>Costs!J175</f>
        <v/>
      </c>
      <c r="K38" s="8">
        <f>Costs!K175</f>
        <v/>
      </c>
      <c r="L38" s="8">
        <f>Costs!L175</f>
        <v/>
      </c>
      <c r="M38" s="8">
        <f>Costs!M175</f>
        <v/>
      </c>
      <c r="N38" s="8">
        <f>Costs!N175</f>
        <v/>
      </c>
      <c r="O38" s="8">
        <f>Costs!O175</f>
        <v/>
      </c>
      <c r="P38" s="8">
        <f>Costs!P175</f>
        <v/>
      </c>
      <c r="Q38" s="8">
        <f>Costs!Q175</f>
        <v/>
      </c>
      <c r="R38" s="8">
        <f>Costs!R175</f>
        <v/>
      </c>
      <c r="S38" s="8">
        <f>Costs!S175</f>
        <v/>
      </c>
      <c r="T38" s="8">
        <f>Costs!T175</f>
        <v/>
      </c>
      <c r="U38" s="8">
        <f>Costs!U175</f>
        <v/>
      </c>
      <c r="V38" s="8">
        <f>Costs!V175</f>
        <v/>
      </c>
      <c r="W38" s="8">
        <f>Costs!W175</f>
        <v/>
      </c>
      <c r="X38" s="8">
        <f>Costs!X175</f>
        <v/>
      </c>
      <c r="Y38" s="8">
        <f>Costs!Y175</f>
        <v/>
      </c>
      <c r="Z38" s="8">
        <f>Costs!Z175</f>
        <v/>
      </c>
      <c r="AA38" s="8">
        <f>Costs!AA175</f>
        <v/>
      </c>
      <c r="AB38" s="8">
        <f>Costs!AB175</f>
        <v/>
      </c>
      <c r="AC38" s="8">
        <f>Costs!AC175</f>
        <v/>
      </c>
      <c r="AD38" s="8">
        <f>Costs!AD175</f>
        <v/>
      </c>
      <c r="AE38" s="8">
        <f>Costs!AE175</f>
        <v/>
      </c>
      <c r="AF38" s="8">
        <f>Costs!AF175</f>
        <v/>
      </c>
      <c r="AG38" s="8">
        <f>Costs!AG175</f>
        <v/>
      </c>
      <c r="AH38" s="8">
        <f>Costs!AH175</f>
        <v/>
      </c>
      <c r="AI38" s="8">
        <f>Costs!AI175</f>
        <v/>
      </c>
      <c r="AJ38" s="8">
        <f>Costs!AJ175</f>
        <v/>
      </c>
      <c r="AK38" s="8">
        <f>Costs!AK175</f>
        <v/>
      </c>
      <c r="AL38" s="8">
        <f>Costs!AL175</f>
        <v/>
      </c>
      <c r="AM38" s="8">
        <f>Costs!AM175</f>
        <v/>
      </c>
      <c r="AN38" s="8">
        <f>Costs!AN175</f>
        <v/>
      </c>
      <c r="AO38" s="8">
        <f>Costs!AO175</f>
        <v/>
      </c>
      <c r="AP38" s="8">
        <f>Costs!AP175</f>
        <v/>
      </c>
      <c r="AQ38" s="8">
        <f>Costs!AQ175</f>
        <v/>
      </c>
      <c r="AR38" s="8">
        <f>Costs!AR175</f>
        <v/>
      </c>
      <c r="AS38" s="8">
        <f>Costs!AS175</f>
        <v/>
      </c>
      <c r="AT38" s="8">
        <f>Costs!AT175</f>
        <v/>
      </c>
      <c r="AU38" s="8">
        <f>Costs!AU175</f>
        <v/>
      </c>
      <c r="AV38" s="8">
        <f>Costs!AV175</f>
        <v/>
      </c>
      <c r="AW38" s="8">
        <f>Costs!AW175</f>
        <v/>
      </c>
      <c r="AX38" s="8">
        <f>Costs!AX175</f>
        <v/>
      </c>
      <c r="AY38" s="8">
        <f>Costs!AY175</f>
        <v/>
      </c>
      <c r="AZ38" s="8">
        <f>Costs!AZ175</f>
        <v/>
      </c>
      <c r="BA38" s="8">
        <f>Costs!BA175</f>
        <v/>
      </c>
      <c r="BB38" s="8">
        <f>Costs!BB175</f>
        <v/>
      </c>
      <c r="BC38" s="8">
        <f>Costs!BC175</f>
        <v/>
      </c>
      <c r="BD38" s="8">
        <f>Costs!BD175</f>
        <v/>
      </c>
      <c r="BE38" s="8">
        <f>Costs!BE175</f>
        <v/>
      </c>
      <c r="BF38" s="8">
        <f>Costs!BF175</f>
        <v/>
      </c>
      <c r="BG38" s="8">
        <f>Costs!BG175</f>
        <v/>
      </c>
      <c r="BH38" s="8">
        <f>Costs!BH175</f>
        <v/>
      </c>
      <c r="BI38" s="8">
        <f>Costs!BI175</f>
        <v/>
      </c>
      <c r="BJ38" s="8">
        <f>Costs!BJ175</f>
        <v/>
      </c>
    </row>
    <row r="39">
      <c r="A39" s="4" t="inlineStr">
        <is>
          <t>G&amp;A (non-payroll)</t>
        </is>
      </c>
      <c r="B39" s="17" t="inlineStr">
        <is>
          <t>R</t>
        </is>
      </c>
      <c r="C39" s="8">
        <f>Costs!C181</f>
        <v/>
      </c>
      <c r="D39" s="8">
        <f>Costs!D181</f>
        <v/>
      </c>
      <c r="E39" s="8">
        <f>Costs!E181</f>
        <v/>
      </c>
      <c r="F39" s="8">
        <f>Costs!F181</f>
        <v/>
      </c>
      <c r="G39" s="8">
        <f>Costs!G181</f>
        <v/>
      </c>
      <c r="H39" s="8">
        <f>Costs!H181</f>
        <v/>
      </c>
      <c r="I39" s="8">
        <f>Costs!I181</f>
        <v/>
      </c>
      <c r="J39" s="8">
        <f>Costs!J181</f>
        <v/>
      </c>
      <c r="K39" s="8">
        <f>Costs!K181</f>
        <v/>
      </c>
      <c r="L39" s="8">
        <f>Costs!L181</f>
        <v/>
      </c>
      <c r="M39" s="8">
        <f>Costs!M181</f>
        <v/>
      </c>
      <c r="N39" s="8">
        <f>Costs!N181</f>
        <v/>
      </c>
      <c r="O39" s="8">
        <f>Costs!O181</f>
        <v/>
      </c>
      <c r="P39" s="8">
        <f>Costs!P181</f>
        <v/>
      </c>
      <c r="Q39" s="8">
        <f>Costs!Q181</f>
        <v/>
      </c>
      <c r="R39" s="8">
        <f>Costs!R181</f>
        <v/>
      </c>
      <c r="S39" s="8">
        <f>Costs!S181</f>
        <v/>
      </c>
      <c r="T39" s="8">
        <f>Costs!T181</f>
        <v/>
      </c>
      <c r="U39" s="8">
        <f>Costs!U181</f>
        <v/>
      </c>
      <c r="V39" s="8">
        <f>Costs!V181</f>
        <v/>
      </c>
      <c r="W39" s="8">
        <f>Costs!W181</f>
        <v/>
      </c>
      <c r="X39" s="8">
        <f>Costs!X181</f>
        <v/>
      </c>
      <c r="Y39" s="8">
        <f>Costs!Y181</f>
        <v/>
      </c>
      <c r="Z39" s="8">
        <f>Costs!Z181</f>
        <v/>
      </c>
      <c r="AA39" s="8">
        <f>Costs!AA181</f>
        <v/>
      </c>
      <c r="AB39" s="8">
        <f>Costs!AB181</f>
        <v/>
      </c>
      <c r="AC39" s="8">
        <f>Costs!AC181</f>
        <v/>
      </c>
      <c r="AD39" s="8">
        <f>Costs!AD181</f>
        <v/>
      </c>
      <c r="AE39" s="8">
        <f>Costs!AE181</f>
        <v/>
      </c>
      <c r="AF39" s="8">
        <f>Costs!AF181</f>
        <v/>
      </c>
      <c r="AG39" s="8">
        <f>Costs!AG181</f>
        <v/>
      </c>
      <c r="AH39" s="8">
        <f>Costs!AH181</f>
        <v/>
      </c>
      <c r="AI39" s="8">
        <f>Costs!AI181</f>
        <v/>
      </c>
      <c r="AJ39" s="8">
        <f>Costs!AJ181</f>
        <v/>
      </c>
      <c r="AK39" s="8">
        <f>Costs!AK181</f>
        <v/>
      </c>
      <c r="AL39" s="8">
        <f>Costs!AL181</f>
        <v/>
      </c>
      <c r="AM39" s="8">
        <f>Costs!AM181</f>
        <v/>
      </c>
      <c r="AN39" s="8">
        <f>Costs!AN181</f>
        <v/>
      </c>
      <c r="AO39" s="8">
        <f>Costs!AO181</f>
        <v/>
      </c>
      <c r="AP39" s="8">
        <f>Costs!AP181</f>
        <v/>
      </c>
      <c r="AQ39" s="8">
        <f>Costs!AQ181</f>
        <v/>
      </c>
      <c r="AR39" s="8">
        <f>Costs!AR181</f>
        <v/>
      </c>
      <c r="AS39" s="8">
        <f>Costs!AS181</f>
        <v/>
      </c>
      <c r="AT39" s="8">
        <f>Costs!AT181</f>
        <v/>
      </c>
      <c r="AU39" s="8">
        <f>Costs!AU181</f>
        <v/>
      </c>
      <c r="AV39" s="8">
        <f>Costs!AV181</f>
        <v/>
      </c>
      <c r="AW39" s="8">
        <f>Costs!AW181</f>
        <v/>
      </c>
      <c r="AX39" s="8">
        <f>Costs!AX181</f>
        <v/>
      </c>
      <c r="AY39" s="8">
        <f>Costs!AY181</f>
        <v/>
      </c>
      <c r="AZ39" s="8">
        <f>Costs!AZ181</f>
        <v/>
      </c>
      <c r="BA39" s="8">
        <f>Costs!BA181</f>
        <v/>
      </c>
      <c r="BB39" s="8">
        <f>Costs!BB181</f>
        <v/>
      </c>
      <c r="BC39" s="8">
        <f>Costs!BC181</f>
        <v/>
      </c>
      <c r="BD39" s="8">
        <f>Costs!BD181</f>
        <v/>
      </c>
      <c r="BE39" s="8">
        <f>Costs!BE181</f>
        <v/>
      </c>
      <c r="BF39" s="8">
        <f>Costs!BF181</f>
        <v/>
      </c>
      <c r="BG39" s="8">
        <f>Costs!BG181</f>
        <v/>
      </c>
      <c r="BH39" s="8">
        <f>Costs!BH181</f>
        <v/>
      </c>
      <c r="BI39" s="8">
        <f>Costs!BI181</f>
        <v/>
      </c>
      <c r="BJ39" s="8">
        <f>Costs!BJ181</f>
        <v/>
      </c>
    </row>
    <row r="40">
      <c r="A40" s="4" t="inlineStr">
        <is>
          <t>Meta, legal &amp; compliance</t>
        </is>
      </c>
      <c r="B40" s="17" t="inlineStr">
        <is>
          <t>R</t>
        </is>
      </c>
      <c r="C40" s="8">
        <f>Costs!C182</f>
        <v/>
      </c>
      <c r="D40" s="8">
        <f>Costs!D182</f>
        <v/>
      </c>
      <c r="E40" s="8">
        <f>Costs!E182</f>
        <v/>
      </c>
      <c r="F40" s="8">
        <f>Costs!F182</f>
        <v/>
      </c>
      <c r="G40" s="8">
        <f>Costs!G182</f>
        <v/>
      </c>
      <c r="H40" s="8">
        <f>Costs!H182</f>
        <v/>
      </c>
      <c r="I40" s="8">
        <f>Costs!I182</f>
        <v/>
      </c>
      <c r="J40" s="8">
        <f>Costs!J182</f>
        <v/>
      </c>
      <c r="K40" s="8">
        <f>Costs!K182</f>
        <v/>
      </c>
      <c r="L40" s="8">
        <f>Costs!L182</f>
        <v/>
      </c>
      <c r="M40" s="8">
        <f>Costs!M182</f>
        <v/>
      </c>
      <c r="N40" s="8">
        <f>Costs!N182</f>
        <v/>
      </c>
      <c r="O40" s="8">
        <f>Costs!O182</f>
        <v/>
      </c>
      <c r="P40" s="8">
        <f>Costs!P182</f>
        <v/>
      </c>
      <c r="Q40" s="8">
        <f>Costs!Q182</f>
        <v/>
      </c>
      <c r="R40" s="8">
        <f>Costs!R182</f>
        <v/>
      </c>
      <c r="S40" s="8">
        <f>Costs!S182</f>
        <v/>
      </c>
      <c r="T40" s="8">
        <f>Costs!T182</f>
        <v/>
      </c>
      <c r="U40" s="8">
        <f>Costs!U182</f>
        <v/>
      </c>
      <c r="V40" s="8">
        <f>Costs!V182</f>
        <v/>
      </c>
      <c r="W40" s="8">
        <f>Costs!W182</f>
        <v/>
      </c>
      <c r="X40" s="8">
        <f>Costs!X182</f>
        <v/>
      </c>
      <c r="Y40" s="8">
        <f>Costs!Y182</f>
        <v/>
      </c>
      <c r="Z40" s="8">
        <f>Costs!Z182</f>
        <v/>
      </c>
      <c r="AA40" s="8">
        <f>Costs!AA182</f>
        <v/>
      </c>
      <c r="AB40" s="8">
        <f>Costs!AB182</f>
        <v/>
      </c>
      <c r="AC40" s="8">
        <f>Costs!AC182</f>
        <v/>
      </c>
      <c r="AD40" s="8">
        <f>Costs!AD182</f>
        <v/>
      </c>
      <c r="AE40" s="8">
        <f>Costs!AE182</f>
        <v/>
      </c>
      <c r="AF40" s="8">
        <f>Costs!AF182</f>
        <v/>
      </c>
      <c r="AG40" s="8">
        <f>Costs!AG182</f>
        <v/>
      </c>
      <c r="AH40" s="8">
        <f>Costs!AH182</f>
        <v/>
      </c>
      <c r="AI40" s="8">
        <f>Costs!AI182</f>
        <v/>
      </c>
      <c r="AJ40" s="8">
        <f>Costs!AJ182</f>
        <v/>
      </c>
      <c r="AK40" s="8">
        <f>Costs!AK182</f>
        <v/>
      </c>
      <c r="AL40" s="8">
        <f>Costs!AL182</f>
        <v/>
      </c>
      <c r="AM40" s="8">
        <f>Costs!AM182</f>
        <v/>
      </c>
      <c r="AN40" s="8">
        <f>Costs!AN182</f>
        <v/>
      </c>
      <c r="AO40" s="8">
        <f>Costs!AO182</f>
        <v/>
      </c>
      <c r="AP40" s="8">
        <f>Costs!AP182</f>
        <v/>
      </c>
      <c r="AQ40" s="8">
        <f>Costs!AQ182</f>
        <v/>
      </c>
      <c r="AR40" s="8">
        <f>Costs!AR182</f>
        <v/>
      </c>
      <c r="AS40" s="8">
        <f>Costs!AS182</f>
        <v/>
      </c>
      <c r="AT40" s="8">
        <f>Costs!AT182</f>
        <v/>
      </c>
      <c r="AU40" s="8">
        <f>Costs!AU182</f>
        <v/>
      </c>
      <c r="AV40" s="8">
        <f>Costs!AV182</f>
        <v/>
      </c>
      <c r="AW40" s="8">
        <f>Costs!AW182</f>
        <v/>
      </c>
      <c r="AX40" s="8">
        <f>Costs!AX182</f>
        <v/>
      </c>
      <c r="AY40" s="8">
        <f>Costs!AY182</f>
        <v/>
      </c>
      <c r="AZ40" s="8">
        <f>Costs!AZ182</f>
        <v/>
      </c>
      <c r="BA40" s="8">
        <f>Costs!BA182</f>
        <v/>
      </c>
      <c r="BB40" s="8">
        <f>Costs!BB182</f>
        <v/>
      </c>
      <c r="BC40" s="8">
        <f>Costs!BC182</f>
        <v/>
      </c>
      <c r="BD40" s="8">
        <f>Costs!BD182</f>
        <v/>
      </c>
      <c r="BE40" s="8">
        <f>Costs!BE182</f>
        <v/>
      </c>
      <c r="BF40" s="8">
        <f>Costs!BF182</f>
        <v/>
      </c>
      <c r="BG40" s="8">
        <f>Costs!BG182</f>
        <v/>
      </c>
      <c r="BH40" s="8">
        <f>Costs!BH182</f>
        <v/>
      </c>
      <c r="BI40" s="8">
        <f>Costs!BI182</f>
        <v/>
      </c>
      <c r="BJ40" s="8">
        <f>Costs!BJ182</f>
        <v/>
      </c>
    </row>
    <row r="41">
      <c r="A41" s="4" t="inlineStr">
        <is>
          <t>Software &amp; tools</t>
        </is>
      </c>
      <c r="B41" s="17" t="inlineStr">
        <is>
          <t>R</t>
        </is>
      </c>
      <c r="C41" s="8">
        <f>Costs!C183</f>
        <v/>
      </c>
      <c r="D41" s="8">
        <f>Costs!D183</f>
        <v/>
      </c>
      <c r="E41" s="8">
        <f>Costs!E183</f>
        <v/>
      </c>
      <c r="F41" s="8">
        <f>Costs!F183</f>
        <v/>
      </c>
      <c r="G41" s="8">
        <f>Costs!G183</f>
        <v/>
      </c>
      <c r="H41" s="8">
        <f>Costs!H183</f>
        <v/>
      </c>
      <c r="I41" s="8">
        <f>Costs!I183</f>
        <v/>
      </c>
      <c r="J41" s="8">
        <f>Costs!J183</f>
        <v/>
      </c>
      <c r="K41" s="8">
        <f>Costs!K183</f>
        <v/>
      </c>
      <c r="L41" s="8">
        <f>Costs!L183</f>
        <v/>
      </c>
      <c r="M41" s="8">
        <f>Costs!M183</f>
        <v/>
      </c>
      <c r="N41" s="8">
        <f>Costs!N183</f>
        <v/>
      </c>
      <c r="O41" s="8">
        <f>Costs!O183</f>
        <v/>
      </c>
      <c r="P41" s="8">
        <f>Costs!P183</f>
        <v/>
      </c>
      <c r="Q41" s="8">
        <f>Costs!Q183</f>
        <v/>
      </c>
      <c r="R41" s="8">
        <f>Costs!R183</f>
        <v/>
      </c>
      <c r="S41" s="8">
        <f>Costs!S183</f>
        <v/>
      </c>
      <c r="T41" s="8">
        <f>Costs!T183</f>
        <v/>
      </c>
      <c r="U41" s="8">
        <f>Costs!U183</f>
        <v/>
      </c>
      <c r="V41" s="8">
        <f>Costs!V183</f>
        <v/>
      </c>
      <c r="W41" s="8">
        <f>Costs!W183</f>
        <v/>
      </c>
      <c r="X41" s="8">
        <f>Costs!X183</f>
        <v/>
      </c>
      <c r="Y41" s="8">
        <f>Costs!Y183</f>
        <v/>
      </c>
      <c r="Z41" s="8">
        <f>Costs!Z183</f>
        <v/>
      </c>
      <c r="AA41" s="8">
        <f>Costs!AA183</f>
        <v/>
      </c>
      <c r="AB41" s="8">
        <f>Costs!AB183</f>
        <v/>
      </c>
      <c r="AC41" s="8">
        <f>Costs!AC183</f>
        <v/>
      </c>
      <c r="AD41" s="8">
        <f>Costs!AD183</f>
        <v/>
      </c>
      <c r="AE41" s="8">
        <f>Costs!AE183</f>
        <v/>
      </c>
      <c r="AF41" s="8">
        <f>Costs!AF183</f>
        <v/>
      </c>
      <c r="AG41" s="8">
        <f>Costs!AG183</f>
        <v/>
      </c>
      <c r="AH41" s="8">
        <f>Costs!AH183</f>
        <v/>
      </c>
      <c r="AI41" s="8">
        <f>Costs!AI183</f>
        <v/>
      </c>
      <c r="AJ41" s="8">
        <f>Costs!AJ183</f>
        <v/>
      </c>
      <c r="AK41" s="8">
        <f>Costs!AK183</f>
        <v/>
      </c>
      <c r="AL41" s="8">
        <f>Costs!AL183</f>
        <v/>
      </c>
      <c r="AM41" s="8">
        <f>Costs!AM183</f>
        <v/>
      </c>
      <c r="AN41" s="8">
        <f>Costs!AN183</f>
        <v/>
      </c>
      <c r="AO41" s="8">
        <f>Costs!AO183</f>
        <v/>
      </c>
      <c r="AP41" s="8">
        <f>Costs!AP183</f>
        <v/>
      </c>
      <c r="AQ41" s="8">
        <f>Costs!AQ183</f>
        <v/>
      </c>
      <c r="AR41" s="8">
        <f>Costs!AR183</f>
        <v/>
      </c>
      <c r="AS41" s="8">
        <f>Costs!AS183</f>
        <v/>
      </c>
      <c r="AT41" s="8">
        <f>Costs!AT183</f>
        <v/>
      </c>
      <c r="AU41" s="8">
        <f>Costs!AU183</f>
        <v/>
      </c>
      <c r="AV41" s="8">
        <f>Costs!AV183</f>
        <v/>
      </c>
      <c r="AW41" s="8">
        <f>Costs!AW183</f>
        <v/>
      </c>
      <c r="AX41" s="8">
        <f>Costs!AX183</f>
        <v/>
      </c>
      <c r="AY41" s="8">
        <f>Costs!AY183</f>
        <v/>
      </c>
      <c r="AZ41" s="8">
        <f>Costs!AZ183</f>
        <v/>
      </c>
      <c r="BA41" s="8">
        <f>Costs!BA183</f>
        <v/>
      </c>
      <c r="BB41" s="8">
        <f>Costs!BB183</f>
        <v/>
      </c>
      <c r="BC41" s="8">
        <f>Costs!BC183</f>
        <v/>
      </c>
      <c r="BD41" s="8">
        <f>Costs!BD183</f>
        <v/>
      </c>
      <c r="BE41" s="8">
        <f>Costs!BE183</f>
        <v/>
      </c>
      <c r="BF41" s="8">
        <f>Costs!BF183</f>
        <v/>
      </c>
      <c r="BG41" s="8">
        <f>Costs!BG183</f>
        <v/>
      </c>
      <c r="BH41" s="8">
        <f>Costs!BH183</f>
        <v/>
      </c>
      <c r="BI41" s="8">
        <f>Costs!BI183</f>
        <v/>
      </c>
      <c r="BJ41" s="8">
        <f>Costs!BJ183</f>
        <v/>
      </c>
    </row>
    <row r="42">
      <c r="A42" s="4" t="inlineStr">
        <is>
          <t>Travel</t>
        </is>
      </c>
      <c r="B42" s="17" t="inlineStr">
        <is>
          <t>R</t>
        </is>
      </c>
      <c r="C42" s="8">
        <f>Costs!C184</f>
        <v/>
      </c>
      <c r="D42" s="8">
        <f>Costs!D184</f>
        <v/>
      </c>
      <c r="E42" s="8">
        <f>Costs!E184</f>
        <v/>
      </c>
      <c r="F42" s="8">
        <f>Costs!F184</f>
        <v/>
      </c>
      <c r="G42" s="8">
        <f>Costs!G184</f>
        <v/>
      </c>
      <c r="H42" s="8">
        <f>Costs!H184</f>
        <v/>
      </c>
      <c r="I42" s="8">
        <f>Costs!I184</f>
        <v/>
      </c>
      <c r="J42" s="8">
        <f>Costs!J184</f>
        <v/>
      </c>
      <c r="K42" s="8">
        <f>Costs!K184</f>
        <v/>
      </c>
      <c r="L42" s="8">
        <f>Costs!L184</f>
        <v/>
      </c>
      <c r="M42" s="8">
        <f>Costs!M184</f>
        <v/>
      </c>
      <c r="N42" s="8">
        <f>Costs!N184</f>
        <v/>
      </c>
      <c r="O42" s="8">
        <f>Costs!O184</f>
        <v/>
      </c>
      <c r="P42" s="8">
        <f>Costs!P184</f>
        <v/>
      </c>
      <c r="Q42" s="8">
        <f>Costs!Q184</f>
        <v/>
      </c>
      <c r="R42" s="8">
        <f>Costs!R184</f>
        <v/>
      </c>
      <c r="S42" s="8">
        <f>Costs!S184</f>
        <v/>
      </c>
      <c r="T42" s="8">
        <f>Costs!T184</f>
        <v/>
      </c>
      <c r="U42" s="8">
        <f>Costs!U184</f>
        <v/>
      </c>
      <c r="V42" s="8">
        <f>Costs!V184</f>
        <v/>
      </c>
      <c r="W42" s="8">
        <f>Costs!W184</f>
        <v/>
      </c>
      <c r="X42" s="8">
        <f>Costs!X184</f>
        <v/>
      </c>
      <c r="Y42" s="8">
        <f>Costs!Y184</f>
        <v/>
      </c>
      <c r="Z42" s="8">
        <f>Costs!Z184</f>
        <v/>
      </c>
      <c r="AA42" s="8">
        <f>Costs!AA184</f>
        <v/>
      </c>
      <c r="AB42" s="8">
        <f>Costs!AB184</f>
        <v/>
      </c>
      <c r="AC42" s="8">
        <f>Costs!AC184</f>
        <v/>
      </c>
      <c r="AD42" s="8">
        <f>Costs!AD184</f>
        <v/>
      </c>
      <c r="AE42" s="8">
        <f>Costs!AE184</f>
        <v/>
      </c>
      <c r="AF42" s="8">
        <f>Costs!AF184</f>
        <v/>
      </c>
      <c r="AG42" s="8">
        <f>Costs!AG184</f>
        <v/>
      </c>
      <c r="AH42" s="8">
        <f>Costs!AH184</f>
        <v/>
      </c>
      <c r="AI42" s="8">
        <f>Costs!AI184</f>
        <v/>
      </c>
      <c r="AJ42" s="8">
        <f>Costs!AJ184</f>
        <v/>
      </c>
      <c r="AK42" s="8">
        <f>Costs!AK184</f>
        <v/>
      </c>
      <c r="AL42" s="8">
        <f>Costs!AL184</f>
        <v/>
      </c>
      <c r="AM42" s="8">
        <f>Costs!AM184</f>
        <v/>
      </c>
      <c r="AN42" s="8">
        <f>Costs!AN184</f>
        <v/>
      </c>
      <c r="AO42" s="8">
        <f>Costs!AO184</f>
        <v/>
      </c>
      <c r="AP42" s="8">
        <f>Costs!AP184</f>
        <v/>
      </c>
      <c r="AQ42" s="8">
        <f>Costs!AQ184</f>
        <v/>
      </c>
      <c r="AR42" s="8">
        <f>Costs!AR184</f>
        <v/>
      </c>
      <c r="AS42" s="8">
        <f>Costs!AS184</f>
        <v/>
      </c>
      <c r="AT42" s="8">
        <f>Costs!AT184</f>
        <v/>
      </c>
      <c r="AU42" s="8">
        <f>Costs!AU184</f>
        <v/>
      </c>
      <c r="AV42" s="8">
        <f>Costs!AV184</f>
        <v/>
      </c>
      <c r="AW42" s="8">
        <f>Costs!AW184</f>
        <v/>
      </c>
      <c r="AX42" s="8">
        <f>Costs!AX184</f>
        <v/>
      </c>
      <c r="AY42" s="8">
        <f>Costs!AY184</f>
        <v/>
      </c>
      <c r="AZ42" s="8">
        <f>Costs!AZ184</f>
        <v/>
      </c>
      <c r="BA42" s="8">
        <f>Costs!BA184</f>
        <v/>
      </c>
      <c r="BB42" s="8">
        <f>Costs!BB184</f>
        <v/>
      </c>
      <c r="BC42" s="8">
        <f>Costs!BC184</f>
        <v/>
      </c>
      <c r="BD42" s="8">
        <f>Costs!BD184</f>
        <v/>
      </c>
      <c r="BE42" s="8">
        <f>Costs!BE184</f>
        <v/>
      </c>
      <c r="BF42" s="8">
        <f>Costs!BF184</f>
        <v/>
      </c>
      <c r="BG42" s="8">
        <f>Costs!BG184</f>
        <v/>
      </c>
      <c r="BH42" s="8">
        <f>Costs!BH184</f>
        <v/>
      </c>
      <c r="BI42" s="8">
        <f>Costs!BI184</f>
        <v/>
      </c>
      <c r="BJ42" s="8">
        <f>Costs!BJ184</f>
        <v/>
      </c>
    </row>
    <row r="43">
      <c r="A43" s="3" t="inlineStr">
        <is>
          <t>Total operating expenses</t>
        </is>
      </c>
      <c r="B43" s="17" t="inlineStr">
        <is>
          <t>R</t>
        </is>
      </c>
      <c r="C43" s="42">
        <f>C37+C38+C39+C40+C41+C42</f>
        <v/>
      </c>
      <c r="D43" s="42">
        <f>D37+D38+D39+D40+D41+D42</f>
        <v/>
      </c>
      <c r="E43" s="42">
        <f>E37+E38+E39+E40+E41+E42</f>
        <v/>
      </c>
      <c r="F43" s="42">
        <f>F37+F38+F39+F40+F41+F42</f>
        <v/>
      </c>
      <c r="G43" s="42">
        <f>G37+G38+G39+G40+G41+G42</f>
        <v/>
      </c>
      <c r="H43" s="42">
        <f>H37+H38+H39+H40+H41+H42</f>
        <v/>
      </c>
      <c r="I43" s="42">
        <f>I37+I38+I39+I40+I41+I42</f>
        <v/>
      </c>
      <c r="J43" s="42">
        <f>J37+J38+J39+J40+J41+J42</f>
        <v/>
      </c>
      <c r="K43" s="42">
        <f>K37+K38+K39+K40+K41+K42</f>
        <v/>
      </c>
      <c r="L43" s="42">
        <f>L37+L38+L39+L40+L41+L42</f>
        <v/>
      </c>
      <c r="M43" s="42">
        <f>M37+M38+M39+M40+M41+M42</f>
        <v/>
      </c>
      <c r="N43" s="42">
        <f>N37+N38+N39+N40+N41+N42</f>
        <v/>
      </c>
      <c r="O43" s="42">
        <f>O37+O38+O39+O40+O41+O42</f>
        <v/>
      </c>
      <c r="P43" s="42">
        <f>P37+P38+P39+P40+P41+P42</f>
        <v/>
      </c>
      <c r="Q43" s="42">
        <f>Q37+Q38+Q39+Q40+Q41+Q42</f>
        <v/>
      </c>
      <c r="R43" s="42">
        <f>R37+R38+R39+R40+R41+R42</f>
        <v/>
      </c>
      <c r="S43" s="42">
        <f>S37+S38+S39+S40+S41+S42</f>
        <v/>
      </c>
      <c r="T43" s="42">
        <f>T37+T38+T39+T40+T41+T42</f>
        <v/>
      </c>
      <c r="U43" s="42">
        <f>U37+U38+U39+U40+U41+U42</f>
        <v/>
      </c>
      <c r="V43" s="42">
        <f>V37+V38+V39+V40+V41+V42</f>
        <v/>
      </c>
      <c r="W43" s="42">
        <f>W37+W38+W39+W40+W41+W42</f>
        <v/>
      </c>
      <c r="X43" s="42">
        <f>X37+X38+X39+X40+X41+X42</f>
        <v/>
      </c>
      <c r="Y43" s="42">
        <f>Y37+Y38+Y39+Y40+Y41+Y42</f>
        <v/>
      </c>
      <c r="Z43" s="42">
        <f>Z37+Z38+Z39+Z40+Z41+Z42</f>
        <v/>
      </c>
      <c r="AA43" s="42">
        <f>AA37+AA38+AA39+AA40+AA41+AA42</f>
        <v/>
      </c>
      <c r="AB43" s="42">
        <f>AB37+AB38+AB39+AB40+AB41+AB42</f>
        <v/>
      </c>
      <c r="AC43" s="42">
        <f>AC37+AC38+AC39+AC40+AC41+AC42</f>
        <v/>
      </c>
      <c r="AD43" s="42">
        <f>AD37+AD38+AD39+AD40+AD41+AD42</f>
        <v/>
      </c>
      <c r="AE43" s="42">
        <f>AE37+AE38+AE39+AE40+AE41+AE42</f>
        <v/>
      </c>
      <c r="AF43" s="42">
        <f>AF37+AF38+AF39+AF40+AF41+AF42</f>
        <v/>
      </c>
      <c r="AG43" s="42">
        <f>AG37+AG38+AG39+AG40+AG41+AG42</f>
        <v/>
      </c>
      <c r="AH43" s="42">
        <f>AH37+AH38+AH39+AH40+AH41+AH42</f>
        <v/>
      </c>
      <c r="AI43" s="42">
        <f>AI37+AI38+AI39+AI40+AI41+AI42</f>
        <v/>
      </c>
      <c r="AJ43" s="42">
        <f>AJ37+AJ38+AJ39+AJ40+AJ41+AJ42</f>
        <v/>
      </c>
      <c r="AK43" s="42">
        <f>AK37+AK38+AK39+AK40+AK41+AK42</f>
        <v/>
      </c>
      <c r="AL43" s="42">
        <f>AL37+AL38+AL39+AL40+AL41+AL42</f>
        <v/>
      </c>
      <c r="AM43" s="42">
        <f>AM37+AM38+AM39+AM40+AM41+AM42</f>
        <v/>
      </c>
      <c r="AN43" s="42">
        <f>AN37+AN38+AN39+AN40+AN41+AN42</f>
        <v/>
      </c>
      <c r="AO43" s="42">
        <f>AO37+AO38+AO39+AO40+AO41+AO42</f>
        <v/>
      </c>
      <c r="AP43" s="42">
        <f>AP37+AP38+AP39+AP40+AP41+AP42</f>
        <v/>
      </c>
      <c r="AQ43" s="42">
        <f>AQ37+AQ38+AQ39+AQ40+AQ41+AQ42</f>
        <v/>
      </c>
      <c r="AR43" s="42">
        <f>AR37+AR38+AR39+AR40+AR41+AR42</f>
        <v/>
      </c>
      <c r="AS43" s="42">
        <f>AS37+AS38+AS39+AS40+AS41+AS42</f>
        <v/>
      </c>
      <c r="AT43" s="42">
        <f>AT37+AT38+AT39+AT40+AT41+AT42</f>
        <v/>
      </c>
      <c r="AU43" s="42">
        <f>AU37+AU38+AU39+AU40+AU41+AU42</f>
        <v/>
      </c>
      <c r="AV43" s="42">
        <f>AV37+AV38+AV39+AV40+AV41+AV42</f>
        <v/>
      </c>
      <c r="AW43" s="42">
        <f>AW37+AW38+AW39+AW40+AW41+AW42</f>
        <v/>
      </c>
      <c r="AX43" s="42">
        <f>AX37+AX38+AX39+AX40+AX41+AX42</f>
        <v/>
      </c>
      <c r="AY43" s="42">
        <f>AY37+AY38+AY39+AY40+AY41+AY42</f>
        <v/>
      </c>
      <c r="AZ43" s="42">
        <f>AZ37+AZ38+AZ39+AZ40+AZ41+AZ42</f>
        <v/>
      </c>
      <c r="BA43" s="42">
        <f>BA37+BA38+BA39+BA40+BA41+BA42</f>
        <v/>
      </c>
      <c r="BB43" s="42">
        <f>BB37+BB38+BB39+BB40+BB41+BB42</f>
        <v/>
      </c>
      <c r="BC43" s="42">
        <f>BC37+BC38+BC39+BC40+BC41+BC42</f>
        <v/>
      </c>
      <c r="BD43" s="42">
        <f>BD37+BD38+BD39+BD40+BD41+BD42</f>
        <v/>
      </c>
      <c r="BE43" s="42">
        <f>BE37+BE38+BE39+BE40+BE41+BE42</f>
        <v/>
      </c>
      <c r="BF43" s="42">
        <f>BF37+BF38+BF39+BF40+BF41+BF42</f>
        <v/>
      </c>
      <c r="BG43" s="42">
        <f>BG37+BG38+BG39+BG40+BG41+BG42</f>
        <v/>
      </c>
      <c r="BH43" s="42">
        <f>BH37+BH38+BH39+BH40+BH41+BH42</f>
        <v/>
      </c>
      <c r="BI43" s="42">
        <f>BI37+BI38+BI39+BI40+BI41+BI42</f>
        <v/>
      </c>
      <c r="BJ43" s="42">
        <f>BJ37+BJ38+BJ39+BJ40+BJ41+BJ42</f>
        <v/>
      </c>
    </row>
    <row r="44"/>
    <row r="45">
      <c r="A45" s="19" t="inlineStr">
        <is>
          <t>Profit</t>
        </is>
      </c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19" t="n"/>
      <c r="AS45" s="19" t="n"/>
      <c r="AT45" s="19" t="n"/>
      <c r="AU45" s="19" t="n"/>
      <c r="AV45" s="19" t="n"/>
      <c r="AW45" s="19" t="n"/>
      <c r="AX45" s="19" t="n"/>
      <c r="AY45" s="19" t="n"/>
      <c r="AZ45" s="19" t="n"/>
      <c r="BA45" s="19" t="n"/>
      <c r="BB45" s="19" t="n"/>
      <c r="BC45" s="19" t="n"/>
      <c r="BD45" s="19" t="n"/>
      <c r="BE45" s="19" t="n"/>
      <c r="BF45" s="19" t="n"/>
      <c r="BG45" s="19" t="n"/>
      <c r="BH45" s="19" t="n"/>
      <c r="BI45" s="19" t="n"/>
      <c r="BJ45" s="19" t="n"/>
    </row>
    <row r="46">
      <c r="A46" s="3" t="inlineStr">
        <is>
          <t>EBITDA</t>
        </is>
      </c>
      <c r="B46" s="17" t="inlineStr">
        <is>
          <t>R</t>
        </is>
      </c>
      <c r="C46" s="42">
        <f>C27-C43</f>
        <v/>
      </c>
      <c r="D46" s="42">
        <f>D27-D43</f>
        <v/>
      </c>
      <c r="E46" s="42">
        <f>E27-E43</f>
        <v/>
      </c>
      <c r="F46" s="42">
        <f>F27-F43</f>
        <v/>
      </c>
      <c r="G46" s="42">
        <f>G27-G43</f>
        <v/>
      </c>
      <c r="H46" s="42">
        <f>H27-H43</f>
        <v/>
      </c>
      <c r="I46" s="42">
        <f>I27-I43</f>
        <v/>
      </c>
      <c r="J46" s="42">
        <f>J27-J43</f>
        <v/>
      </c>
      <c r="K46" s="42">
        <f>K27-K43</f>
        <v/>
      </c>
      <c r="L46" s="42">
        <f>L27-L43</f>
        <v/>
      </c>
      <c r="M46" s="42">
        <f>M27-M43</f>
        <v/>
      </c>
      <c r="N46" s="42">
        <f>N27-N43</f>
        <v/>
      </c>
      <c r="O46" s="42">
        <f>O27-O43</f>
        <v/>
      </c>
      <c r="P46" s="42">
        <f>P27-P43</f>
        <v/>
      </c>
      <c r="Q46" s="42">
        <f>Q27-Q43</f>
        <v/>
      </c>
      <c r="R46" s="42">
        <f>R27-R43</f>
        <v/>
      </c>
      <c r="S46" s="42">
        <f>S27-S43</f>
        <v/>
      </c>
      <c r="T46" s="42">
        <f>T27-T43</f>
        <v/>
      </c>
      <c r="U46" s="42">
        <f>U27-U43</f>
        <v/>
      </c>
      <c r="V46" s="42">
        <f>V27-V43</f>
        <v/>
      </c>
      <c r="W46" s="42">
        <f>W27-W43</f>
        <v/>
      </c>
      <c r="X46" s="42">
        <f>X27-X43</f>
        <v/>
      </c>
      <c r="Y46" s="42">
        <f>Y27-Y43</f>
        <v/>
      </c>
      <c r="Z46" s="42">
        <f>Z27-Z43</f>
        <v/>
      </c>
      <c r="AA46" s="42">
        <f>AA27-AA43</f>
        <v/>
      </c>
      <c r="AB46" s="42">
        <f>AB27-AB43</f>
        <v/>
      </c>
      <c r="AC46" s="42">
        <f>AC27-AC43</f>
        <v/>
      </c>
      <c r="AD46" s="42">
        <f>AD27-AD43</f>
        <v/>
      </c>
      <c r="AE46" s="42">
        <f>AE27-AE43</f>
        <v/>
      </c>
      <c r="AF46" s="42">
        <f>AF27-AF43</f>
        <v/>
      </c>
      <c r="AG46" s="42">
        <f>AG27-AG43</f>
        <v/>
      </c>
      <c r="AH46" s="42">
        <f>AH27-AH43</f>
        <v/>
      </c>
      <c r="AI46" s="42">
        <f>AI27-AI43</f>
        <v/>
      </c>
      <c r="AJ46" s="42">
        <f>AJ27-AJ43</f>
        <v/>
      </c>
      <c r="AK46" s="42">
        <f>AK27-AK43</f>
        <v/>
      </c>
      <c r="AL46" s="42">
        <f>AL27-AL43</f>
        <v/>
      </c>
      <c r="AM46" s="42">
        <f>AM27-AM43</f>
        <v/>
      </c>
      <c r="AN46" s="42">
        <f>AN27-AN43</f>
        <v/>
      </c>
      <c r="AO46" s="42">
        <f>AO27-AO43</f>
        <v/>
      </c>
      <c r="AP46" s="42">
        <f>AP27-AP43</f>
        <v/>
      </c>
      <c r="AQ46" s="42">
        <f>AQ27-AQ43</f>
        <v/>
      </c>
      <c r="AR46" s="42">
        <f>AR27-AR43</f>
        <v/>
      </c>
      <c r="AS46" s="42">
        <f>AS27-AS43</f>
        <v/>
      </c>
      <c r="AT46" s="42">
        <f>AT27-AT43</f>
        <v/>
      </c>
      <c r="AU46" s="42">
        <f>AU27-AU43</f>
        <v/>
      </c>
      <c r="AV46" s="42">
        <f>AV27-AV43</f>
        <v/>
      </c>
      <c r="AW46" s="42">
        <f>AW27-AW43</f>
        <v/>
      </c>
      <c r="AX46" s="42">
        <f>AX27-AX43</f>
        <v/>
      </c>
      <c r="AY46" s="42">
        <f>AY27-AY43</f>
        <v/>
      </c>
      <c r="AZ46" s="42">
        <f>AZ27-AZ43</f>
        <v/>
      </c>
      <c r="BA46" s="42">
        <f>BA27-BA43</f>
        <v/>
      </c>
      <c r="BB46" s="42">
        <f>BB27-BB43</f>
        <v/>
      </c>
      <c r="BC46" s="42">
        <f>BC27-BC43</f>
        <v/>
      </c>
      <c r="BD46" s="42">
        <f>BD27-BD43</f>
        <v/>
      </c>
      <c r="BE46" s="42">
        <f>BE27-BE43</f>
        <v/>
      </c>
      <c r="BF46" s="42">
        <f>BF27-BF43</f>
        <v/>
      </c>
      <c r="BG46" s="42">
        <f>BG27-BG43</f>
        <v/>
      </c>
      <c r="BH46" s="42">
        <f>BH27-BH43</f>
        <v/>
      </c>
      <c r="BI46" s="42">
        <f>BI27-BI43</f>
        <v/>
      </c>
      <c r="BJ46" s="42">
        <f>BJ27-BJ43</f>
        <v/>
      </c>
    </row>
    <row r="47">
      <c r="A47" s="4" t="inlineStr">
        <is>
          <t>EBITDA margin %</t>
        </is>
      </c>
      <c r="B47" s="17" t="inlineStr">
        <is>
          <t>%</t>
        </is>
      </c>
      <c r="C47" s="9">
        <f>IF(C17=0,0,C46/C17)</f>
        <v/>
      </c>
      <c r="D47" s="9">
        <f>IF(D17=0,0,D46/D17)</f>
        <v/>
      </c>
      <c r="E47" s="9">
        <f>IF(E17=0,0,E46/E17)</f>
        <v/>
      </c>
      <c r="F47" s="9">
        <f>IF(F17=0,0,F46/F17)</f>
        <v/>
      </c>
      <c r="G47" s="9">
        <f>IF(G17=0,0,G46/G17)</f>
        <v/>
      </c>
      <c r="H47" s="9">
        <f>IF(H17=0,0,H46/H17)</f>
        <v/>
      </c>
      <c r="I47" s="9">
        <f>IF(I17=0,0,I46/I17)</f>
        <v/>
      </c>
      <c r="J47" s="9">
        <f>IF(J17=0,0,J46/J17)</f>
        <v/>
      </c>
      <c r="K47" s="9">
        <f>IF(K17=0,0,K46/K17)</f>
        <v/>
      </c>
      <c r="L47" s="9">
        <f>IF(L17=0,0,L46/L17)</f>
        <v/>
      </c>
      <c r="M47" s="9">
        <f>IF(M17=0,0,M46/M17)</f>
        <v/>
      </c>
      <c r="N47" s="9">
        <f>IF(N17=0,0,N46/N17)</f>
        <v/>
      </c>
      <c r="O47" s="9">
        <f>IF(O17=0,0,O46/O17)</f>
        <v/>
      </c>
      <c r="P47" s="9">
        <f>IF(P17=0,0,P46/P17)</f>
        <v/>
      </c>
      <c r="Q47" s="9">
        <f>IF(Q17=0,0,Q46/Q17)</f>
        <v/>
      </c>
      <c r="R47" s="9">
        <f>IF(R17=0,0,R46/R17)</f>
        <v/>
      </c>
      <c r="S47" s="9">
        <f>IF(S17=0,0,S46/S17)</f>
        <v/>
      </c>
      <c r="T47" s="9">
        <f>IF(T17=0,0,T46/T17)</f>
        <v/>
      </c>
      <c r="U47" s="9">
        <f>IF(U17=0,0,U46/U17)</f>
        <v/>
      </c>
      <c r="V47" s="9">
        <f>IF(V17=0,0,V46/V17)</f>
        <v/>
      </c>
      <c r="W47" s="9">
        <f>IF(W17=0,0,W46/W17)</f>
        <v/>
      </c>
      <c r="X47" s="9">
        <f>IF(X17=0,0,X46/X17)</f>
        <v/>
      </c>
      <c r="Y47" s="9">
        <f>IF(Y17=0,0,Y46/Y17)</f>
        <v/>
      </c>
      <c r="Z47" s="9">
        <f>IF(Z17=0,0,Z46/Z17)</f>
        <v/>
      </c>
      <c r="AA47" s="9">
        <f>IF(AA17=0,0,AA46/AA17)</f>
        <v/>
      </c>
      <c r="AB47" s="9">
        <f>IF(AB17=0,0,AB46/AB17)</f>
        <v/>
      </c>
      <c r="AC47" s="9">
        <f>IF(AC17=0,0,AC46/AC17)</f>
        <v/>
      </c>
      <c r="AD47" s="9">
        <f>IF(AD17=0,0,AD46/AD17)</f>
        <v/>
      </c>
      <c r="AE47" s="9">
        <f>IF(AE17=0,0,AE46/AE17)</f>
        <v/>
      </c>
      <c r="AF47" s="9">
        <f>IF(AF17=0,0,AF46/AF17)</f>
        <v/>
      </c>
      <c r="AG47" s="9">
        <f>IF(AG17=0,0,AG46/AG17)</f>
        <v/>
      </c>
      <c r="AH47" s="9">
        <f>IF(AH17=0,0,AH46/AH17)</f>
        <v/>
      </c>
      <c r="AI47" s="9">
        <f>IF(AI17=0,0,AI46/AI17)</f>
        <v/>
      </c>
      <c r="AJ47" s="9">
        <f>IF(AJ17=0,0,AJ46/AJ17)</f>
        <v/>
      </c>
      <c r="AK47" s="9">
        <f>IF(AK17=0,0,AK46/AK17)</f>
        <v/>
      </c>
      <c r="AL47" s="9">
        <f>IF(AL17=0,0,AL46/AL17)</f>
        <v/>
      </c>
      <c r="AM47" s="9">
        <f>IF(AM17=0,0,AM46/AM17)</f>
        <v/>
      </c>
      <c r="AN47" s="9">
        <f>IF(AN17=0,0,AN46/AN17)</f>
        <v/>
      </c>
      <c r="AO47" s="9">
        <f>IF(AO17=0,0,AO46/AO17)</f>
        <v/>
      </c>
      <c r="AP47" s="9">
        <f>IF(AP17=0,0,AP46/AP17)</f>
        <v/>
      </c>
      <c r="AQ47" s="9">
        <f>IF(AQ17=0,0,AQ46/AQ17)</f>
        <v/>
      </c>
      <c r="AR47" s="9">
        <f>IF(AR17=0,0,AR46/AR17)</f>
        <v/>
      </c>
      <c r="AS47" s="9">
        <f>IF(AS17=0,0,AS46/AS17)</f>
        <v/>
      </c>
      <c r="AT47" s="9">
        <f>IF(AT17=0,0,AT46/AT17)</f>
        <v/>
      </c>
      <c r="AU47" s="9">
        <f>IF(AU17=0,0,AU46/AU17)</f>
        <v/>
      </c>
      <c r="AV47" s="9">
        <f>IF(AV17=0,0,AV46/AV17)</f>
        <v/>
      </c>
      <c r="AW47" s="9">
        <f>IF(AW17=0,0,AW46/AW17)</f>
        <v/>
      </c>
      <c r="AX47" s="9">
        <f>IF(AX17=0,0,AX46/AX17)</f>
        <v/>
      </c>
      <c r="AY47" s="9">
        <f>IF(AY17=0,0,AY46/AY17)</f>
        <v/>
      </c>
      <c r="AZ47" s="9">
        <f>IF(AZ17=0,0,AZ46/AZ17)</f>
        <v/>
      </c>
      <c r="BA47" s="9">
        <f>IF(BA17=0,0,BA46/BA17)</f>
        <v/>
      </c>
      <c r="BB47" s="9">
        <f>IF(BB17=0,0,BB46/BB17)</f>
        <v/>
      </c>
      <c r="BC47" s="9">
        <f>IF(BC17=0,0,BC46/BC17)</f>
        <v/>
      </c>
      <c r="BD47" s="9">
        <f>IF(BD17=0,0,BD46/BD17)</f>
        <v/>
      </c>
      <c r="BE47" s="9">
        <f>IF(BE17=0,0,BE46/BE17)</f>
        <v/>
      </c>
      <c r="BF47" s="9">
        <f>IF(BF17=0,0,BF46/BF17)</f>
        <v/>
      </c>
      <c r="BG47" s="9">
        <f>IF(BG17=0,0,BG46/BG17)</f>
        <v/>
      </c>
      <c r="BH47" s="9">
        <f>IF(BH17=0,0,BH46/BH17)</f>
        <v/>
      </c>
      <c r="BI47" s="9">
        <f>IF(BI17=0,0,BI46/BI17)</f>
        <v/>
      </c>
      <c r="BJ47" s="9">
        <f>IF(BJ17=0,0,BJ46/BJ17)</f>
        <v/>
      </c>
    </row>
    <row r="48">
      <c r="A48" s="4" t="inlineStr">
        <is>
          <t>Cumulative EBITDA (assessed-loss tracker; D&amp;A and interest ignored)</t>
        </is>
      </c>
      <c r="B48" s="17" t="inlineStr">
        <is>
          <t>R</t>
        </is>
      </c>
      <c r="C48" s="8">
        <f>C46</f>
        <v/>
      </c>
      <c r="D48" s="8">
        <f>C48+D46</f>
        <v/>
      </c>
      <c r="E48" s="8">
        <f>D48+E46</f>
        <v/>
      </c>
      <c r="F48" s="8">
        <f>E48+F46</f>
        <v/>
      </c>
      <c r="G48" s="8">
        <f>F48+G46</f>
        <v/>
      </c>
      <c r="H48" s="8">
        <f>G48+H46</f>
        <v/>
      </c>
      <c r="I48" s="8">
        <f>H48+I46</f>
        <v/>
      </c>
      <c r="J48" s="8">
        <f>I48+J46</f>
        <v/>
      </c>
      <c r="K48" s="8">
        <f>J48+K46</f>
        <v/>
      </c>
      <c r="L48" s="8">
        <f>K48+L46</f>
        <v/>
      </c>
      <c r="M48" s="8">
        <f>L48+M46</f>
        <v/>
      </c>
      <c r="N48" s="8">
        <f>M48+N46</f>
        <v/>
      </c>
      <c r="O48" s="8">
        <f>N48+O46</f>
        <v/>
      </c>
      <c r="P48" s="8">
        <f>O48+P46</f>
        <v/>
      </c>
      <c r="Q48" s="8">
        <f>P48+Q46</f>
        <v/>
      </c>
      <c r="R48" s="8">
        <f>Q48+R46</f>
        <v/>
      </c>
      <c r="S48" s="8">
        <f>R48+S46</f>
        <v/>
      </c>
      <c r="T48" s="8">
        <f>S48+T46</f>
        <v/>
      </c>
      <c r="U48" s="8">
        <f>T48+U46</f>
        <v/>
      </c>
      <c r="V48" s="8">
        <f>U48+V46</f>
        <v/>
      </c>
      <c r="W48" s="8">
        <f>V48+W46</f>
        <v/>
      </c>
      <c r="X48" s="8">
        <f>W48+X46</f>
        <v/>
      </c>
      <c r="Y48" s="8">
        <f>X48+Y46</f>
        <v/>
      </c>
      <c r="Z48" s="8">
        <f>Y48+Z46</f>
        <v/>
      </c>
      <c r="AA48" s="8">
        <f>Z48+AA46</f>
        <v/>
      </c>
      <c r="AB48" s="8">
        <f>AA48+AB46</f>
        <v/>
      </c>
      <c r="AC48" s="8">
        <f>AB48+AC46</f>
        <v/>
      </c>
      <c r="AD48" s="8">
        <f>AC48+AD46</f>
        <v/>
      </c>
      <c r="AE48" s="8">
        <f>AD48+AE46</f>
        <v/>
      </c>
      <c r="AF48" s="8">
        <f>AE48+AF46</f>
        <v/>
      </c>
      <c r="AG48" s="8">
        <f>AF48+AG46</f>
        <v/>
      </c>
      <c r="AH48" s="8">
        <f>AG48+AH46</f>
        <v/>
      </c>
      <c r="AI48" s="8">
        <f>AH48+AI46</f>
        <v/>
      </c>
      <c r="AJ48" s="8">
        <f>AI48+AJ46</f>
        <v/>
      </c>
      <c r="AK48" s="8">
        <f>AJ48+AK46</f>
        <v/>
      </c>
      <c r="AL48" s="8">
        <f>AK48+AL46</f>
        <v/>
      </c>
      <c r="AM48" s="8">
        <f>AL48+AM46</f>
        <v/>
      </c>
      <c r="AN48" s="8">
        <f>AM48+AN46</f>
        <v/>
      </c>
      <c r="AO48" s="8">
        <f>AN48+AO46</f>
        <v/>
      </c>
      <c r="AP48" s="8">
        <f>AO48+AP46</f>
        <v/>
      </c>
      <c r="AQ48" s="8">
        <f>AP48+AQ46</f>
        <v/>
      </c>
      <c r="AR48" s="8">
        <f>AQ48+AR46</f>
        <v/>
      </c>
      <c r="AS48" s="8">
        <f>AR48+AS46</f>
        <v/>
      </c>
      <c r="AT48" s="8">
        <f>AS48+AT46</f>
        <v/>
      </c>
      <c r="AU48" s="8">
        <f>AT48+AU46</f>
        <v/>
      </c>
      <c r="AV48" s="8">
        <f>AU48+AV46</f>
        <v/>
      </c>
      <c r="AW48" s="8">
        <f>AV48+AW46</f>
        <v/>
      </c>
      <c r="AX48" s="8">
        <f>AW48+AX46</f>
        <v/>
      </c>
      <c r="AY48" s="8">
        <f>AX48+AY46</f>
        <v/>
      </c>
      <c r="AZ48" s="8">
        <f>AY48+AZ46</f>
        <v/>
      </c>
      <c r="BA48" s="8">
        <f>AZ48+BA46</f>
        <v/>
      </c>
      <c r="BB48" s="8">
        <f>BA48+BB46</f>
        <v/>
      </c>
      <c r="BC48" s="8">
        <f>BB48+BC46</f>
        <v/>
      </c>
      <c r="BD48" s="8">
        <f>BC48+BD46</f>
        <v/>
      </c>
      <c r="BE48" s="8">
        <f>BD48+BE46</f>
        <v/>
      </c>
      <c r="BF48" s="8">
        <f>BE48+BF46</f>
        <v/>
      </c>
      <c r="BG48" s="8">
        <f>BF48+BG46</f>
        <v/>
      </c>
      <c r="BH48" s="8">
        <f>BG48+BH46</f>
        <v/>
      </c>
      <c r="BI48" s="8">
        <f>BH48+BI46</f>
        <v/>
      </c>
      <c r="BJ48" s="8">
        <f>BI48+BJ46</f>
        <v/>
      </c>
    </row>
    <row r="49">
      <c r="A49" s="4" t="inlineStr">
        <is>
          <t>Income tax (27% once cumulatively profitable)</t>
        </is>
      </c>
      <c r="B49" s="17" t="inlineStr">
        <is>
          <t>R</t>
        </is>
      </c>
      <c r="C49" s="8">
        <f>Assumptions!$B$11*MAX(0,C48)</f>
        <v/>
      </c>
      <c r="D49" s="8">
        <f>Assumptions!$B$11*(MAX(0,D48)-MAX(0,C48))</f>
        <v/>
      </c>
      <c r="E49" s="8">
        <f>Assumptions!$B$11*(MAX(0,E48)-MAX(0,D48))</f>
        <v/>
      </c>
      <c r="F49" s="8">
        <f>Assumptions!$B$11*(MAX(0,F48)-MAX(0,E48))</f>
        <v/>
      </c>
      <c r="G49" s="8">
        <f>Assumptions!$B$11*(MAX(0,G48)-MAX(0,F48))</f>
        <v/>
      </c>
      <c r="H49" s="8">
        <f>Assumptions!$B$11*(MAX(0,H48)-MAX(0,G48))</f>
        <v/>
      </c>
      <c r="I49" s="8">
        <f>Assumptions!$B$11*(MAX(0,I48)-MAX(0,H48))</f>
        <v/>
      </c>
      <c r="J49" s="8">
        <f>Assumptions!$B$11*(MAX(0,J48)-MAX(0,I48))</f>
        <v/>
      </c>
      <c r="K49" s="8">
        <f>Assumptions!$B$11*(MAX(0,K48)-MAX(0,J48))</f>
        <v/>
      </c>
      <c r="L49" s="8">
        <f>Assumptions!$B$11*(MAX(0,L48)-MAX(0,K48))</f>
        <v/>
      </c>
      <c r="M49" s="8">
        <f>Assumptions!$B$11*(MAX(0,M48)-MAX(0,L48))</f>
        <v/>
      </c>
      <c r="N49" s="8">
        <f>Assumptions!$B$11*(MAX(0,N48)-MAX(0,M48))</f>
        <v/>
      </c>
      <c r="O49" s="8">
        <f>Assumptions!$B$11*(MAX(0,O48)-MAX(0,N48))</f>
        <v/>
      </c>
      <c r="P49" s="8">
        <f>Assumptions!$B$11*(MAX(0,P48)-MAX(0,O48))</f>
        <v/>
      </c>
      <c r="Q49" s="8">
        <f>Assumptions!$B$11*(MAX(0,Q48)-MAX(0,P48))</f>
        <v/>
      </c>
      <c r="R49" s="8">
        <f>Assumptions!$B$11*(MAX(0,R48)-MAX(0,Q48))</f>
        <v/>
      </c>
      <c r="S49" s="8">
        <f>Assumptions!$B$11*(MAX(0,S48)-MAX(0,R48))</f>
        <v/>
      </c>
      <c r="T49" s="8">
        <f>Assumptions!$B$11*(MAX(0,T48)-MAX(0,S48))</f>
        <v/>
      </c>
      <c r="U49" s="8">
        <f>Assumptions!$B$11*(MAX(0,U48)-MAX(0,T48))</f>
        <v/>
      </c>
      <c r="V49" s="8">
        <f>Assumptions!$B$11*(MAX(0,V48)-MAX(0,U48))</f>
        <v/>
      </c>
      <c r="W49" s="8">
        <f>Assumptions!$B$11*(MAX(0,W48)-MAX(0,V48))</f>
        <v/>
      </c>
      <c r="X49" s="8">
        <f>Assumptions!$B$11*(MAX(0,X48)-MAX(0,W48))</f>
        <v/>
      </c>
      <c r="Y49" s="8">
        <f>Assumptions!$B$11*(MAX(0,Y48)-MAX(0,X48))</f>
        <v/>
      </c>
      <c r="Z49" s="8">
        <f>Assumptions!$B$11*(MAX(0,Z48)-MAX(0,Y48))</f>
        <v/>
      </c>
      <c r="AA49" s="8">
        <f>Assumptions!$B$11*(MAX(0,AA48)-MAX(0,Z48))</f>
        <v/>
      </c>
      <c r="AB49" s="8">
        <f>Assumptions!$B$11*(MAX(0,AB48)-MAX(0,AA48))</f>
        <v/>
      </c>
      <c r="AC49" s="8">
        <f>Assumptions!$B$11*(MAX(0,AC48)-MAX(0,AB48))</f>
        <v/>
      </c>
      <c r="AD49" s="8">
        <f>Assumptions!$B$11*(MAX(0,AD48)-MAX(0,AC48))</f>
        <v/>
      </c>
      <c r="AE49" s="8">
        <f>Assumptions!$B$11*(MAX(0,AE48)-MAX(0,AD48))</f>
        <v/>
      </c>
      <c r="AF49" s="8">
        <f>Assumptions!$B$11*(MAX(0,AF48)-MAX(0,AE48))</f>
        <v/>
      </c>
      <c r="AG49" s="8">
        <f>Assumptions!$B$11*(MAX(0,AG48)-MAX(0,AF48))</f>
        <v/>
      </c>
      <c r="AH49" s="8">
        <f>Assumptions!$B$11*(MAX(0,AH48)-MAX(0,AG48))</f>
        <v/>
      </c>
      <c r="AI49" s="8">
        <f>Assumptions!$B$11*(MAX(0,AI48)-MAX(0,AH48))</f>
        <v/>
      </c>
      <c r="AJ49" s="8">
        <f>Assumptions!$B$11*(MAX(0,AJ48)-MAX(0,AI48))</f>
        <v/>
      </c>
      <c r="AK49" s="8">
        <f>Assumptions!$B$11*(MAX(0,AK48)-MAX(0,AJ48))</f>
        <v/>
      </c>
      <c r="AL49" s="8">
        <f>Assumptions!$B$11*(MAX(0,AL48)-MAX(0,AK48))</f>
        <v/>
      </c>
      <c r="AM49" s="8">
        <f>Assumptions!$B$11*(MAX(0,AM48)-MAX(0,AL48))</f>
        <v/>
      </c>
      <c r="AN49" s="8">
        <f>Assumptions!$B$11*(MAX(0,AN48)-MAX(0,AM48))</f>
        <v/>
      </c>
      <c r="AO49" s="8">
        <f>Assumptions!$B$11*(MAX(0,AO48)-MAX(0,AN48))</f>
        <v/>
      </c>
      <c r="AP49" s="8">
        <f>Assumptions!$B$11*(MAX(0,AP48)-MAX(0,AO48))</f>
        <v/>
      </c>
      <c r="AQ49" s="8">
        <f>Assumptions!$B$11*(MAX(0,AQ48)-MAX(0,AP48))</f>
        <v/>
      </c>
      <c r="AR49" s="8">
        <f>Assumptions!$B$11*(MAX(0,AR48)-MAX(0,AQ48))</f>
        <v/>
      </c>
      <c r="AS49" s="8">
        <f>Assumptions!$B$11*(MAX(0,AS48)-MAX(0,AR48))</f>
        <v/>
      </c>
      <c r="AT49" s="8">
        <f>Assumptions!$B$11*(MAX(0,AT48)-MAX(0,AS48))</f>
        <v/>
      </c>
      <c r="AU49" s="8">
        <f>Assumptions!$B$11*(MAX(0,AU48)-MAX(0,AT48))</f>
        <v/>
      </c>
      <c r="AV49" s="8">
        <f>Assumptions!$B$11*(MAX(0,AV48)-MAX(0,AU48))</f>
        <v/>
      </c>
      <c r="AW49" s="8">
        <f>Assumptions!$B$11*(MAX(0,AW48)-MAX(0,AV48))</f>
        <v/>
      </c>
      <c r="AX49" s="8">
        <f>Assumptions!$B$11*(MAX(0,AX48)-MAX(0,AW48))</f>
        <v/>
      </c>
      <c r="AY49" s="8">
        <f>Assumptions!$B$11*(MAX(0,AY48)-MAX(0,AX48))</f>
        <v/>
      </c>
      <c r="AZ49" s="8">
        <f>Assumptions!$B$11*(MAX(0,AZ48)-MAX(0,AY48))</f>
        <v/>
      </c>
      <c r="BA49" s="8">
        <f>Assumptions!$B$11*(MAX(0,BA48)-MAX(0,AZ48))</f>
        <v/>
      </c>
      <c r="BB49" s="8">
        <f>Assumptions!$B$11*(MAX(0,BB48)-MAX(0,BA48))</f>
        <v/>
      </c>
      <c r="BC49" s="8">
        <f>Assumptions!$B$11*(MAX(0,BC48)-MAX(0,BB48))</f>
        <v/>
      </c>
      <c r="BD49" s="8">
        <f>Assumptions!$B$11*(MAX(0,BD48)-MAX(0,BC48))</f>
        <v/>
      </c>
      <c r="BE49" s="8">
        <f>Assumptions!$B$11*(MAX(0,BE48)-MAX(0,BD48))</f>
        <v/>
      </c>
      <c r="BF49" s="8">
        <f>Assumptions!$B$11*(MAX(0,BF48)-MAX(0,BE48))</f>
        <v/>
      </c>
      <c r="BG49" s="8">
        <f>Assumptions!$B$11*(MAX(0,BG48)-MAX(0,BF48))</f>
        <v/>
      </c>
      <c r="BH49" s="8">
        <f>Assumptions!$B$11*(MAX(0,BH48)-MAX(0,BG48))</f>
        <v/>
      </c>
      <c r="BI49" s="8">
        <f>Assumptions!$B$11*(MAX(0,BI48)-MAX(0,BH48))</f>
        <v/>
      </c>
      <c r="BJ49" s="8">
        <f>Assumptions!$B$11*(MAX(0,BJ48)-MAX(0,BI48))</f>
        <v/>
      </c>
    </row>
    <row r="50">
      <c r="A50" s="3" t="inlineStr">
        <is>
          <t>Net income</t>
        </is>
      </c>
      <c r="B50" s="17" t="inlineStr">
        <is>
          <t>R</t>
        </is>
      </c>
      <c r="C50" s="42">
        <f>C46-C49</f>
        <v/>
      </c>
      <c r="D50" s="42">
        <f>D46-D49</f>
        <v/>
      </c>
      <c r="E50" s="42">
        <f>E46-E49</f>
        <v/>
      </c>
      <c r="F50" s="42">
        <f>F46-F49</f>
        <v/>
      </c>
      <c r="G50" s="42">
        <f>G46-G49</f>
        <v/>
      </c>
      <c r="H50" s="42">
        <f>H46-H49</f>
        <v/>
      </c>
      <c r="I50" s="42">
        <f>I46-I49</f>
        <v/>
      </c>
      <c r="J50" s="42">
        <f>J46-J49</f>
        <v/>
      </c>
      <c r="K50" s="42">
        <f>K46-K49</f>
        <v/>
      </c>
      <c r="L50" s="42">
        <f>L46-L49</f>
        <v/>
      </c>
      <c r="M50" s="42">
        <f>M46-M49</f>
        <v/>
      </c>
      <c r="N50" s="42">
        <f>N46-N49</f>
        <v/>
      </c>
      <c r="O50" s="42">
        <f>O46-O49</f>
        <v/>
      </c>
      <c r="P50" s="42">
        <f>P46-P49</f>
        <v/>
      </c>
      <c r="Q50" s="42">
        <f>Q46-Q49</f>
        <v/>
      </c>
      <c r="R50" s="42">
        <f>R46-R49</f>
        <v/>
      </c>
      <c r="S50" s="42">
        <f>S46-S49</f>
        <v/>
      </c>
      <c r="T50" s="42">
        <f>T46-T49</f>
        <v/>
      </c>
      <c r="U50" s="42">
        <f>U46-U49</f>
        <v/>
      </c>
      <c r="V50" s="42">
        <f>V46-V49</f>
        <v/>
      </c>
      <c r="W50" s="42">
        <f>W46-W49</f>
        <v/>
      </c>
      <c r="X50" s="42">
        <f>X46-X49</f>
        <v/>
      </c>
      <c r="Y50" s="42">
        <f>Y46-Y49</f>
        <v/>
      </c>
      <c r="Z50" s="42">
        <f>Z46-Z49</f>
        <v/>
      </c>
      <c r="AA50" s="42">
        <f>AA46-AA49</f>
        <v/>
      </c>
      <c r="AB50" s="42">
        <f>AB46-AB49</f>
        <v/>
      </c>
      <c r="AC50" s="42">
        <f>AC46-AC49</f>
        <v/>
      </c>
      <c r="AD50" s="42">
        <f>AD46-AD49</f>
        <v/>
      </c>
      <c r="AE50" s="42">
        <f>AE46-AE49</f>
        <v/>
      </c>
      <c r="AF50" s="42">
        <f>AF46-AF49</f>
        <v/>
      </c>
      <c r="AG50" s="42">
        <f>AG46-AG49</f>
        <v/>
      </c>
      <c r="AH50" s="42">
        <f>AH46-AH49</f>
        <v/>
      </c>
      <c r="AI50" s="42">
        <f>AI46-AI49</f>
        <v/>
      </c>
      <c r="AJ50" s="42">
        <f>AJ46-AJ49</f>
        <v/>
      </c>
      <c r="AK50" s="42">
        <f>AK46-AK49</f>
        <v/>
      </c>
      <c r="AL50" s="42">
        <f>AL46-AL49</f>
        <v/>
      </c>
      <c r="AM50" s="42">
        <f>AM46-AM49</f>
        <v/>
      </c>
      <c r="AN50" s="42">
        <f>AN46-AN49</f>
        <v/>
      </c>
      <c r="AO50" s="42">
        <f>AO46-AO49</f>
        <v/>
      </c>
      <c r="AP50" s="42">
        <f>AP46-AP49</f>
        <v/>
      </c>
      <c r="AQ50" s="42">
        <f>AQ46-AQ49</f>
        <v/>
      </c>
      <c r="AR50" s="42">
        <f>AR46-AR49</f>
        <v/>
      </c>
      <c r="AS50" s="42">
        <f>AS46-AS49</f>
        <v/>
      </c>
      <c r="AT50" s="42">
        <f>AT46-AT49</f>
        <v/>
      </c>
      <c r="AU50" s="42">
        <f>AU46-AU49</f>
        <v/>
      </c>
      <c r="AV50" s="42">
        <f>AV46-AV49</f>
        <v/>
      </c>
      <c r="AW50" s="42">
        <f>AW46-AW49</f>
        <v/>
      </c>
      <c r="AX50" s="42">
        <f>AX46-AX49</f>
        <v/>
      </c>
      <c r="AY50" s="42">
        <f>AY46-AY49</f>
        <v/>
      </c>
      <c r="AZ50" s="42">
        <f>AZ46-AZ49</f>
        <v/>
      </c>
      <c r="BA50" s="42">
        <f>BA46-BA49</f>
        <v/>
      </c>
      <c r="BB50" s="42">
        <f>BB46-BB49</f>
        <v/>
      </c>
      <c r="BC50" s="42">
        <f>BC46-BC49</f>
        <v/>
      </c>
      <c r="BD50" s="42">
        <f>BD46-BD49</f>
        <v/>
      </c>
      <c r="BE50" s="42">
        <f>BE46-BE49</f>
        <v/>
      </c>
      <c r="BF50" s="42">
        <f>BF46-BF49</f>
        <v/>
      </c>
      <c r="BG50" s="42">
        <f>BG46-BG49</f>
        <v/>
      </c>
      <c r="BH50" s="42">
        <f>BH46-BH49</f>
        <v/>
      </c>
      <c r="BI50" s="42">
        <f>BI46-BI49</f>
        <v/>
      </c>
      <c r="BJ50" s="42">
        <f>BJ46-BJ49</f>
        <v/>
      </c>
    </row>
    <row r="51"/>
    <row r="52">
      <c r="A52" s="19" t="inlineStr">
        <is>
          <t>Memo: software gross margin (net subscriptions, top-ups, setup fees; excl. WhatsApp pass-through &amp; commerce)</t>
        </is>
      </c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19" t="n"/>
      <c r="AS52" s="19" t="n"/>
      <c r="AT52" s="19" t="n"/>
      <c r="AU52" s="19" t="n"/>
      <c r="AV52" s="19" t="n"/>
      <c r="AW52" s="19" t="n"/>
      <c r="AX52" s="19" t="n"/>
      <c r="AY52" s="19" t="n"/>
      <c r="AZ52" s="19" t="n"/>
      <c r="BA52" s="19" t="n"/>
      <c r="BB52" s="19" t="n"/>
      <c r="BC52" s="19" t="n"/>
      <c r="BD52" s="19" t="n"/>
      <c r="BE52" s="19" t="n"/>
      <c r="BF52" s="19" t="n"/>
      <c r="BG52" s="19" t="n"/>
      <c r="BH52" s="19" t="n"/>
      <c r="BI52" s="19" t="n"/>
      <c r="BJ52" s="19" t="n"/>
    </row>
    <row r="53">
      <c r="A53" s="4" t="inlineStr">
        <is>
          <t>Software revenue</t>
        </is>
      </c>
      <c r="B53" s="17" t="inlineStr">
        <is>
          <t>R</t>
        </is>
      </c>
      <c r="C53" s="8">
        <f>C11+C12+C15+C16</f>
        <v/>
      </c>
      <c r="D53" s="8">
        <f>D11+D12+D15+D16</f>
        <v/>
      </c>
      <c r="E53" s="8">
        <f>E11+E12+E15+E16</f>
        <v/>
      </c>
      <c r="F53" s="8">
        <f>F11+F12+F15+F16</f>
        <v/>
      </c>
      <c r="G53" s="8">
        <f>G11+G12+G15+G16</f>
        <v/>
      </c>
      <c r="H53" s="8">
        <f>H11+H12+H15+H16</f>
        <v/>
      </c>
      <c r="I53" s="8">
        <f>I11+I12+I15+I16</f>
        <v/>
      </c>
      <c r="J53" s="8">
        <f>J11+J12+J15+J16</f>
        <v/>
      </c>
      <c r="K53" s="8">
        <f>K11+K12+K15+K16</f>
        <v/>
      </c>
      <c r="L53" s="8">
        <f>L11+L12+L15+L16</f>
        <v/>
      </c>
      <c r="M53" s="8">
        <f>M11+M12+M15+M16</f>
        <v/>
      </c>
      <c r="N53" s="8">
        <f>N11+N12+N15+N16</f>
        <v/>
      </c>
      <c r="O53" s="8">
        <f>O11+O12+O15+O16</f>
        <v/>
      </c>
      <c r="P53" s="8">
        <f>P11+P12+P15+P16</f>
        <v/>
      </c>
      <c r="Q53" s="8">
        <f>Q11+Q12+Q15+Q16</f>
        <v/>
      </c>
      <c r="R53" s="8">
        <f>R11+R12+R15+R16</f>
        <v/>
      </c>
      <c r="S53" s="8">
        <f>S11+S12+S15+S16</f>
        <v/>
      </c>
      <c r="T53" s="8">
        <f>T11+T12+T15+T16</f>
        <v/>
      </c>
      <c r="U53" s="8">
        <f>U11+U12+U15+U16</f>
        <v/>
      </c>
      <c r="V53" s="8">
        <f>V11+V12+V15+V16</f>
        <v/>
      </c>
      <c r="W53" s="8">
        <f>W11+W12+W15+W16</f>
        <v/>
      </c>
      <c r="X53" s="8">
        <f>X11+X12+X15+X16</f>
        <v/>
      </c>
      <c r="Y53" s="8">
        <f>Y11+Y12+Y15+Y16</f>
        <v/>
      </c>
      <c r="Z53" s="8">
        <f>Z11+Z12+Z15+Z16</f>
        <v/>
      </c>
      <c r="AA53" s="8">
        <f>AA11+AA12+AA15+AA16</f>
        <v/>
      </c>
      <c r="AB53" s="8">
        <f>AB11+AB12+AB15+AB16</f>
        <v/>
      </c>
      <c r="AC53" s="8">
        <f>AC11+AC12+AC15+AC16</f>
        <v/>
      </c>
      <c r="AD53" s="8">
        <f>AD11+AD12+AD15+AD16</f>
        <v/>
      </c>
      <c r="AE53" s="8">
        <f>AE11+AE12+AE15+AE16</f>
        <v/>
      </c>
      <c r="AF53" s="8">
        <f>AF11+AF12+AF15+AF16</f>
        <v/>
      </c>
      <c r="AG53" s="8">
        <f>AG11+AG12+AG15+AG16</f>
        <v/>
      </c>
      <c r="AH53" s="8">
        <f>AH11+AH12+AH15+AH16</f>
        <v/>
      </c>
      <c r="AI53" s="8">
        <f>AI11+AI12+AI15+AI16</f>
        <v/>
      </c>
      <c r="AJ53" s="8">
        <f>AJ11+AJ12+AJ15+AJ16</f>
        <v/>
      </c>
      <c r="AK53" s="8">
        <f>AK11+AK12+AK15+AK16</f>
        <v/>
      </c>
      <c r="AL53" s="8">
        <f>AL11+AL12+AL15+AL16</f>
        <v/>
      </c>
      <c r="AM53" s="8">
        <f>AM11+AM12+AM15+AM16</f>
        <v/>
      </c>
      <c r="AN53" s="8">
        <f>AN11+AN12+AN15+AN16</f>
        <v/>
      </c>
      <c r="AO53" s="8">
        <f>AO11+AO12+AO15+AO16</f>
        <v/>
      </c>
      <c r="AP53" s="8">
        <f>AP11+AP12+AP15+AP16</f>
        <v/>
      </c>
      <c r="AQ53" s="8">
        <f>AQ11+AQ12+AQ15+AQ16</f>
        <v/>
      </c>
      <c r="AR53" s="8">
        <f>AR11+AR12+AR15+AR16</f>
        <v/>
      </c>
      <c r="AS53" s="8">
        <f>AS11+AS12+AS15+AS16</f>
        <v/>
      </c>
      <c r="AT53" s="8">
        <f>AT11+AT12+AT15+AT16</f>
        <v/>
      </c>
      <c r="AU53" s="8">
        <f>AU11+AU12+AU15+AU16</f>
        <v/>
      </c>
      <c r="AV53" s="8">
        <f>AV11+AV12+AV15+AV16</f>
        <v/>
      </c>
      <c r="AW53" s="8">
        <f>AW11+AW12+AW15+AW16</f>
        <v/>
      </c>
      <c r="AX53" s="8">
        <f>AX11+AX12+AX15+AX16</f>
        <v/>
      </c>
      <c r="AY53" s="8">
        <f>AY11+AY12+AY15+AY16</f>
        <v/>
      </c>
      <c r="AZ53" s="8">
        <f>AZ11+AZ12+AZ15+AZ16</f>
        <v/>
      </c>
      <c r="BA53" s="8">
        <f>BA11+BA12+BA15+BA16</f>
        <v/>
      </c>
      <c r="BB53" s="8">
        <f>BB11+BB12+BB15+BB16</f>
        <v/>
      </c>
      <c r="BC53" s="8">
        <f>BC11+BC12+BC15+BC16</f>
        <v/>
      </c>
      <c r="BD53" s="8">
        <f>BD11+BD12+BD15+BD16</f>
        <v/>
      </c>
      <c r="BE53" s="8">
        <f>BE11+BE12+BE15+BE16</f>
        <v/>
      </c>
      <c r="BF53" s="8">
        <f>BF11+BF12+BF15+BF16</f>
        <v/>
      </c>
      <c r="BG53" s="8">
        <f>BG11+BG12+BG15+BG16</f>
        <v/>
      </c>
      <c r="BH53" s="8">
        <f>BH11+BH12+BH15+BH16</f>
        <v/>
      </c>
      <c r="BI53" s="8">
        <f>BI11+BI12+BI15+BI16</f>
        <v/>
      </c>
      <c r="BJ53" s="8">
        <f>BJ11+BJ12+BJ15+BJ16</f>
        <v/>
      </c>
    </row>
    <row r="54">
      <c r="A54" s="4" t="inlineStr">
        <is>
          <t>Software COGS</t>
        </is>
      </c>
      <c r="B54" s="17" t="inlineStr">
        <is>
          <t>R</t>
        </is>
      </c>
      <c r="C54" s="8">
        <f>C20+C21+C24+C25+C53*Costs!C161</f>
        <v/>
      </c>
      <c r="D54" s="8">
        <f>D20+D21+D24+D25+D53*Costs!D161</f>
        <v/>
      </c>
      <c r="E54" s="8">
        <f>E20+E21+E24+E25+E53*Costs!E161</f>
        <v/>
      </c>
      <c r="F54" s="8">
        <f>F20+F21+F24+F25+F53*Costs!F161</f>
        <v/>
      </c>
      <c r="G54" s="8">
        <f>G20+G21+G24+G25+G53*Costs!G161</f>
        <v/>
      </c>
      <c r="H54" s="8">
        <f>H20+H21+H24+H25+H53*Costs!H161</f>
        <v/>
      </c>
      <c r="I54" s="8">
        <f>I20+I21+I24+I25+I53*Costs!I161</f>
        <v/>
      </c>
      <c r="J54" s="8">
        <f>J20+J21+J24+J25+J53*Costs!J161</f>
        <v/>
      </c>
      <c r="K54" s="8">
        <f>K20+K21+K24+K25+K53*Costs!K161</f>
        <v/>
      </c>
      <c r="L54" s="8">
        <f>L20+L21+L24+L25+L53*Costs!L161</f>
        <v/>
      </c>
      <c r="M54" s="8">
        <f>M20+M21+M24+M25+M53*Costs!M161</f>
        <v/>
      </c>
      <c r="N54" s="8">
        <f>N20+N21+N24+N25+N53*Costs!N161</f>
        <v/>
      </c>
      <c r="O54" s="8">
        <f>O20+O21+O24+O25+O53*Costs!O161</f>
        <v/>
      </c>
      <c r="P54" s="8">
        <f>P20+P21+P24+P25+P53*Costs!P161</f>
        <v/>
      </c>
      <c r="Q54" s="8">
        <f>Q20+Q21+Q24+Q25+Q53*Costs!Q161</f>
        <v/>
      </c>
      <c r="R54" s="8">
        <f>R20+R21+R24+R25+R53*Costs!R161</f>
        <v/>
      </c>
      <c r="S54" s="8">
        <f>S20+S21+S24+S25+S53*Costs!S161</f>
        <v/>
      </c>
      <c r="T54" s="8">
        <f>T20+T21+T24+T25+T53*Costs!T161</f>
        <v/>
      </c>
      <c r="U54" s="8">
        <f>U20+U21+U24+U25+U53*Costs!U161</f>
        <v/>
      </c>
      <c r="V54" s="8">
        <f>V20+V21+V24+V25+V53*Costs!V161</f>
        <v/>
      </c>
      <c r="W54" s="8">
        <f>W20+W21+W24+W25+W53*Costs!W161</f>
        <v/>
      </c>
      <c r="X54" s="8">
        <f>X20+X21+X24+X25+X53*Costs!X161</f>
        <v/>
      </c>
      <c r="Y54" s="8">
        <f>Y20+Y21+Y24+Y25+Y53*Costs!Y161</f>
        <v/>
      </c>
      <c r="Z54" s="8">
        <f>Z20+Z21+Z24+Z25+Z53*Costs!Z161</f>
        <v/>
      </c>
      <c r="AA54" s="8">
        <f>AA20+AA21+AA24+AA25+AA53*Costs!AA161</f>
        <v/>
      </c>
      <c r="AB54" s="8">
        <f>AB20+AB21+AB24+AB25+AB53*Costs!AB161</f>
        <v/>
      </c>
      <c r="AC54" s="8">
        <f>AC20+AC21+AC24+AC25+AC53*Costs!AC161</f>
        <v/>
      </c>
      <c r="AD54" s="8">
        <f>AD20+AD21+AD24+AD25+AD53*Costs!AD161</f>
        <v/>
      </c>
      <c r="AE54" s="8">
        <f>AE20+AE21+AE24+AE25+AE53*Costs!AE161</f>
        <v/>
      </c>
      <c r="AF54" s="8">
        <f>AF20+AF21+AF24+AF25+AF53*Costs!AF161</f>
        <v/>
      </c>
      <c r="AG54" s="8">
        <f>AG20+AG21+AG24+AG25+AG53*Costs!AG161</f>
        <v/>
      </c>
      <c r="AH54" s="8">
        <f>AH20+AH21+AH24+AH25+AH53*Costs!AH161</f>
        <v/>
      </c>
      <c r="AI54" s="8">
        <f>AI20+AI21+AI24+AI25+AI53*Costs!AI161</f>
        <v/>
      </c>
      <c r="AJ54" s="8">
        <f>AJ20+AJ21+AJ24+AJ25+AJ53*Costs!AJ161</f>
        <v/>
      </c>
      <c r="AK54" s="8">
        <f>AK20+AK21+AK24+AK25+AK53*Costs!AK161</f>
        <v/>
      </c>
      <c r="AL54" s="8">
        <f>AL20+AL21+AL24+AL25+AL53*Costs!AL161</f>
        <v/>
      </c>
      <c r="AM54" s="8">
        <f>AM20+AM21+AM24+AM25+AM53*Costs!AM161</f>
        <v/>
      </c>
      <c r="AN54" s="8">
        <f>AN20+AN21+AN24+AN25+AN53*Costs!AN161</f>
        <v/>
      </c>
      <c r="AO54" s="8">
        <f>AO20+AO21+AO24+AO25+AO53*Costs!AO161</f>
        <v/>
      </c>
      <c r="AP54" s="8">
        <f>AP20+AP21+AP24+AP25+AP53*Costs!AP161</f>
        <v/>
      </c>
      <c r="AQ54" s="8">
        <f>AQ20+AQ21+AQ24+AQ25+AQ53*Costs!AQ161</f>
        <v/>
      </c>
      <c r="AR54" s="8">
        <f>AR20+AR21+AR24+AR25+AR53*Costs!AR161</f>
        <v/>
      </c>
      <c r="AS54" s="8">
        <f>AS20+AS21+AS24+AS25+AS53*Costs!AS161</f>
        <v/>
      </c>
      <c r="AT54" s="8">
        <f>AT20+AT21+AT24+AT25+AT53*Costs!AT161</f>
        <v/>
      </c>
      <c r="AU54" s="8">
        <f>AU20+AU21+AU24+AU25+AU53*Costs!AU161</f>
        <v/>
      </c>
      <c r="AV54" s="8">
        <f>AV20+AV21+AV24+AV25+AV53*Costs!AV161</f>
        <v/>
      </c>
      <c r="AW54" s="8">
        <f>AW20+AW21+AW24+AW25+AW53*Costs!AW161</f>
        <v/>
      </c>
      <c r="AX54" s="8">
        <f>AX20+AX21+AX24+AX25+AX53*Costs!AX161</f>
        <v/>
      </c>
      <c r="AY54" s="8">
        <f>AY20+AY21+AY24+AY25+AY53*Costs!AY161</f>
        <v/>
      </c>
      <c r="AZ54" s="8">
        <f>AZ20+AZ21+AZ24+AZ25+AZ53*Costs!AZ161</f>
        <v/>
      </c>
      <c r="BA54" s="8">
        <f>BA20+BA21+BA24+BA25+BA53*Costs!BA161</f>
        <v/>
      </c>
      <c r="BB54" s="8">
        <f>BB20+BB21+BB24+BB25+BB53*Costs!BB161</f>
        <v/>
      </c>
      <c r="BC54" s="8">
        <f>BC20+BC21+BC24+BC25+BC53*Costs!BC161</f>
        <v/>
      </c>
      <c r="BD54" s="8">
        <f>BD20+BD21+BD24+BD25+BD53*Costs!BD161</f>
        <v/>
      </c>
      <c r="BE54" s="8">
        <f>BE20+BE21+BE24+BE25+BE53*Costs!BE161</f>
        <v/>
      </c>
      <c r="BF54" s="8">
        <f>BF20+BF21+BF24+BF25+BF53*Costs!BF161</f>
        <v/>
      </c>
      <c r="BG54" s="8">
        <f>BG20+BG21+BG24+BG25+BG53*Costs!BG161</f>
        <v/>
      </c>
      <c r="BH54" s="8">
        <f>BH20+BH21+BH24+BH25+BH53*Costs!BH161</f>
        <v/>
      </c>
      <c r="BI54" s="8">
        <f>BI20+BI21+BI24+BI25+BI53*Costs!BI161</f>
        <v/>
      </c>
      <c r="BJ54" s="8">
        <f>BJ20+BJ21+BJ24+BJ25+BJ53*Costs!BJ161</f>
        <v/>
      </c>
    </row>
    <row r="55">
      <c r="A55" s="4" t="inlineStr">
        <is>
          <t>Software gross margin %</t>
        </is>
      </c>
      <c r="B55" s="17" t="inlineStr">
        <is>
          <t>%</t>
        </is>
      </c>
      <c r="C55" s="9">
        <f>IF(C53=0,0,1-C54/C53)</f>
        <v/>
      </c>
      <c r="D55" s="9">
        <f>IF(D53=0,0,1-D54/D53)</f>
        <v/>
      </c>
      <c r="E55" s="9">
        <f>IF(E53=0,0,1-E54/E53)</f>
        <v/>
      </c>
      <c r="F55" s="9">
        <f>IF(F53=0,0,1-F54/F53)</f>
        <v/>
      </c>
      <c r="G55" s="9">
        <f>IF(G53=0,0,1-G54/G53)</f>
        <v/>
      </c>
      <c r="H55" s="9">
        <f>IF(H53=0,0,1-H54/H53)</f>
        <v/>
      </c>
      <c r="I55" s="9">
        <f>IF(I53=0,0,1-I54/I53)</f>
        <v/>
      </c>
      <c r="J55" s="9">
        <f>IF(J53=0,0,1-J54/J53)</f>
        <v/>
      </c>
      <c r="K55" s="9">
        <f>IF(K53=0,0,1-K54/K53)</f>
        <v/>
      </c>
      <c r="L55" s="9">
        <f>IF(L53=0,0,1-L54/L53)</f>
        <v/>
      </c>
      <c r="M55" s="9">
        <f>IF(M53=0,0,1-M54/M53)</f>
        <v/>
      </c>
      <c r="N55" s="9">
        <f>IF(N53=0,0,1-N54/N53)</f>
        <v/>
      </c>
      <c r="O55" s="9">
        <f>IF(O53=0,0,1-O54/O53)</f>
        <v/>
      </c>
      <c r="P55" s="9">
        <f>IF(P53=0,0,1-P54/P53)</f>
        <v/>
      </c>
      <c r="Q55" s="9">
        <f>IF(Q53=0,0,1-Q54/Q53)</f>
        <v/>
      </c>
      <c r="R55" s="9">
        <f>IF(R53=0,0,1-R54/R53)</f>
        <v/>
      </c>
      <c r="S55" s="9">
        <f>IF(S53=0,0,1-S54/S53)</f>
        <v/>
      </c>
      <c r="T55" s="9">
        <f>IF(T53=0,0,1-T54/T53)</f>
        <v/>
      </c>
      <c r="U55" s="9">
        <f>IF(U53=0,0,1-U54/U53)</f>
        <v/>
      </c>
      <c r="V55" s="9">
        <f>IF(V53=0,0,1-V54/V53)</f>
        <v/>
      </c>
      <c r="W55" s="9">
        <f>IF(W53=0,0,1-W54/W53)</f>
        <v/>
      </c>
      <c r="X55" s="9">
        <f>IF(X53=0,0,1-X54/X53)</f>
        <v/>
      </c>
      <c r="Y55" s="9">
        <f>IF(Y53=0,0,1-Y54/Y53)</f>
        <v/>
      </c>
      <c r="Z55" s="9">
        <f>IF(Z53=0,0,1-Z54/Z53)</f>
        <v/>
      </c>
      <c r="AA55" s="9">
        <f>IF(AA53=0,0,1-AA54/AA53)</f>
        <v/>
      </c>
      <c r="AB55" s="9">
        <f>IF(AB53=0,0,1-AB54/AB53)</f>
        <v/>
      </c>
      <c r="AC55" s="9">
        <f>IF(AC53=0,0,1-AC54/AC53)</f>
        <v/>
      </c>
      <c r="AD55" s="9">
        <f>IF(AD53=0,0,1-AD54/AD53)</f>
        <v/>
      </c>
      <c r="AE55" s="9">
        <f>IF(AE53=0,0,1-AE54/AE53)</f>
        <v/>
      </c>
      <c r="AF55" s="9">
        <f>IF(AF53=0,0,1-AF54/AF53)</f>
        <v/>
      </c>
      <c r="AG55" s="9">
        <f>IF(AG53=0,0,1-AG54/AG53)</f>
        <v/>
      </c>
      <c r="AH55" s="9">
        <f>IF(AH53=0,0,1-AH54/AH53)</f>
        <v/>
      </c>
      <c r="AI55" s="9">
        <f>IF(AI53=0,0,1-AI54/AI53)</f>
        <v/>
      </c>
      <c r="AJ55" s="9">
        <f>IF(AJ53=0,0,1-AJ54/AJ53)</f>
        <v/>
      </c>
      <c r="AK55" s="9">
        <f>IF(AK53=0,0,1-AK54/AK53)</f>
        <v/>
      </c>
      <c r="AL55" s="9">
        <f>IF(AL53=0,0,1-AL54/AL53)</f>
        <v/>
      </c>
      <c r="AM55" s="9">
        <f>IF(AM53=0,0,1-AM54/AM53)</f>
        <v/>
      </c>
      <c r="AN55" s="9">
        <f>IF(AN53=0,0,1-AN54/AN53)</f>
        <v/>
      </c>
      <c r="AO55" s="9">
        <f>IF(AO53=0,0,1-AO54/AO53)</f>
        <v/>
      </c>
      <c r="AP55" s="9">
        <f>IF(AP53=0,0,1-AP54/AP53)</f>
        <v/>
      </c>
      <c r="AQ55" s="9">
        <f>IF(AQ53=0,0,1-AQ54/AQ53)</f>
        <v/>
      </c>
      <c r="AR55" s="9">
        <f>IF(AR53=0,0,1-AR54/AR53)</f>
        <v/>
      </c>
      <c r="AS55" s="9">
        <f>IF(AS53=0,0,1-AS54/AS53)</f>
        <v/>
      </c>
      <c r="AT55" s="9">
        <f>IF(AT53=0,0,1-AT54/AT53)</f>
        <v/>
      </c>
      <c r="AU55" s="9">
        <f>IF(AU53=0,0,1-AU54/AU53)</f>
        <v/>
      </c>
      <c r="AV55" s="9">
        <f>IF(AV53=0,0,1-AV54/AV53)</f>
        <v/>
      </c>
      <c r="AW55" s="9">
        <f>IF(AW53=0,0,1-AW54/AW53)</f>
        <v/>
      </c>
      <c r="AX55" s="9">
        <f>IF(AX53=0,0,1-AX54/AX53)</f>
        <v/>
      </c>
      <c r="AY55" s="9">
        <f>IF(AY53=0,0,1-AY54/AY53)</f>
        <v/>
      </c>
      <c r="AZ55" s="9">
        <f>IF(AZ53=0,0,1-AZ54/AZ53)</f>
        <v/>
      </c>
      <c r="BA55" s="9">
        <f>IF(BA53=0,0,1-BA54/BA53)</f>
        <v/>
      </c>
      <c r="BB55" s="9">
        <f>IF(BB53=0,0,1-BB54/BB53)</f>
        <v/>
      </c>
      <c r="BC55" s="9">
        <f>IF(BC53=0,0,1-BC54/BC53)</f>
        <v/>
      </c>
      <c r="BD55" s="9">
        <f>IF(BD53=0,0,1-BD54/BD53)</f>
        <v/>
      </c>
      <c r="BE55" s="9">
        <f>IF(BE53=0,0,1-BE54/BE53)</f>
        <v/>
      </c>
      <c r="BF55" s="9">
        <f>IF(BF53=0,0,1-BF54/BF53)</f>
        <v/>
      </c>
      <c r="BG55" s="9">
        <f>IF(BG53=0,0,1-BG54/BG53)</f>
        <v/>
      </c>
      <c r="BH55" s="9">
        <f>IF(BH53=0,0,1-BH54/BH53)</f>
        <v/>
      </c>
      <c r="BI55" s="9">
        <f>IF(BI53=0,0,1-BI54/BI53)</f>
        <v/>
      </c>
      <c r="BJ55" s="9">
        <f>IF(BJ53=0,0,1-BJ54/BJ53)</f>
        <v/>
      </c>
    </row>
    <row r="56">
      <c r="A56" s="4" t="inlineStr">
        <is>
          <t>Sales &amp; marketing total (programmes + marketing &amp; sales payroll)</t>
        </is>
      </c>
      <c r="B56" s="17" t="inlineStr">
        <is>
          <t>R</t>
        </is>
      </c>
      <c r="C56" s="8">
        <f>C38+C33+C34</f>
        <v/>
      </c>
      <c r="D56" s="8">
        <f>D38+D33+D34</f>
        <v/>
      </c>
      <c r="E56" s="8">
        <f>E38+E33+E34</f>
        <v/>
      </c>
      <c r="F56" s="8">
        <f>F38+F33+F34</f>
        <v/>
      </c>
      <c r="G56" s="8">
        <f>G38+G33+G34</f>
        <v/>
      </c>
      <c r="H56" s="8">
        <f>H38+H33+H34</f>
        <v/>
      </c>
      <c r="I56" s="8">
        <f>I38+I33+I34</f>
        <v/>
      </c>
      <c r="J56" s="8">
        <f>J38+J33+J34</f>
        <v/>
      </c>
      <c r="K56" s="8">
        <f>K38+K33+K34</f>
        <v/>
      </c>
      <c r="L56" s="8">
        <f>L38+L33+L34</f>
        <v/>
      </c>
      <c r="M56" s="8">
        <f>M38+M33+M34</f>
        <v/>
      </c>
      <c r="N56" s="8">
        <f>N38+N33+N34</f>
        <v/>
      </c>
      <c r="O56" s="8">
        <f>O38+O33+O34</f>
        <v/>
      </c>
      <c r="P56" s="8">
        <f>P38+P33+P34</f>
        <v/>
      </c>
      <c r="Q56" s="8">
        <f>Q38+Q33+Q34</f>
        <v/>
      </c>
      <c r="R56" s="8">
        <f>R38+R33+R34</f>
        <v/>
      </c>
      <c r="S56" s="8">
        <f>S38+S33+S34</f>
        <v/>
      </c>
      <c r="T56" s="8">
        <f>T38+T33+T34</f>
        <v/>
      </c>
      <c r="U56" s="8">
        <f>U38+U33+U34</f>
        <v/>
      </c>
      <c r="V56" s="8">
        <f>V38+V33+V34</f>
        <v/>
      </c>
      <c r="W56" s="8">
        <f>W38+W33+W34</f>
        <v/>
      </c>
      <c r="X56" s="8">
        <f>X38+X33+X34</f>
        <v/>
      </c>
      <c r="Y56" s="8">
        <f>Y38+Y33+Y34</f>
        <v/>
      </c>
      <c r="Z56" s="8">
        <f>Z38+Z33+Z34</f>
        <v/>
      </c>
      <c r="AA56" s="8">
        <f>AA38+AA33+AA34</f>
        <v/>
      </c>
      <c r="AB56" s="8">
        <f>AB38+AB33+AB34</f>
        <v/>
      </c>
      <c r="AC56" s="8">
        <f>AC38+AC33+AC34</f>
        <v/>
      </c>
      <c r="AD56" s="8">
        <f>AD38+AD33+AD34</f>
        <v/>
      </c>
      <c r="AE56" s="8">
        <f>AE38+AE33+AE34</f>
        <v/>
      </c>
      <c r="AF56" s="8">
        <f>AF38+AF33+AF34</f>
        <v/>
      </c>
      <c r="AG56" s="8">
        <f>AG38+AG33+AG34</f>
        <v/>
      </c>
      <c r="AH56" s="8">
        <f>AH38+AH33+AH34</f>
        <v/>
      </c>
      <c r="AI56" s="8">
        <f>AI38+AI33+AI34</f>
        <v/>
      </c>
      <c r="AJ56" s="8">
        <f>AJ38+AJ33+AJ34</f>
        <v/>
      </c>
      <c r="AK56" s="8">
        <f>AK38+AK33+AK34</f>
        <v/>
      </c>
      <c r="AL56" s="8">
        <f>AL38+AL33+AL34</f>
        <v/>
      </c>
      <c r="AM56" s="8">
        <f>AM38+AM33+AM34</f>
        <v/>
      </c>
      <c r="AN56" s="8">
        <f>AN38+AN33+AN34</f>
        <v/>
      </c>
      <c r="AO56" s="8">
        <f>AO38+AO33+AO34</f>
        <v/>
      </c>
      <c r="AP56" s="8">
        <f>AP38+AP33+AP34</f>
        <v/>
      </c>
      <c r="AQ56" s="8">
        <f>AQ38+AQ33+AQ34</f>
        <v/>
      </c>
      <c r="AR56" s="8">
        <f>AR38+AR33+AR34</f>
        <v/>
      </c>
      <c r="AS56" s="8">
        <f>AS38+AS33+AS34</f>
        <v/>
      </c>
      <c r="AT56" s="8">
        <f>AT38+AT33+AT34</f>
        <v/>
      </c>
      <c r="AU56" s="8">
        <f>AU38+AU33+AU34</f>
        <v/>
      </c>
      <c r="AV56" s="8">
        <f>AV38+AV33+AV34</f>
        <v/>
      </c>
      <c r="AW56" s="8">
        <f>AW38+AW33+AW34</f>
        <v/>
      </c>
      <c r="AX56" s="8">
        <f>AX38+AX33+AX34</f>
        <v/>
      </c>
      <c r="AY56" s="8">
        <f>AY38+AY33+AY34</f>
        <v/>
      </c>
      <c r="AZ56" s="8">
        <f>AZ38+AZ33+AZ34</f>
        <v/>
      </c>
      <c r="BA56" s="8">
        <f>BA38+BA33+BA34</f>
        <v/>
      </c>
      <c r="BB56" s="8">
        <f>BB38+BB33+BB34</f>
        <v/>
      </c>
      <c r="BC56" s="8">
        <f>BC38+BC33+BC34</f>
        <v/>
      </c>
      <c r="BD56" s="8">
        <f>BD38+BD33+BD34</f>
        <v/>
      </c>
      <c r="BE56" s="8">
        <f>BE38+BE33+BE34</f>
        <v/>
      </c>
      <c r="BF56" s="8">
        <f>BF38+BF33+BF34</f>
        <v/>
      </c>
      <c r="BG56" s="8">
        <f>BG38+BG33+BG34</f>
        <v/>
      </c>
      <c r="BH56" s="8">
        <f>BH38+BH33+BH34</f>
        <v/>
      </c>
      <c r="BI56" s="8">
        <f>BI38+BI33+BI34</f>
        <v/>
      </c>
      <c r="BJ56" s="8">
        <f>BJ38+BJ33+BJ34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7474F"/>
    <outlinePr summaryBelow="1" summaryRight="1"/>
    <pageSetUpPr/>
  </sheetPr>
  <dimension ref="A1:G10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2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6" t="inlineStr">
        <is>
          <t>Annual Summary</t>
        </is>
      </c>
    </row>
    <row r="2">
      <c r="A2" s="17" t="inlineStr">
        <is>
          <t>FY1-FY5 (Oct-Sep) roll-up of the monthly model, selected scenario.</t>
        </is>
      </c>
    </row>
    <row r="3"/>
    <row r="4">
      <c r="A4" s="6" t="inlineStr">
        <is>
          <t>R unless stated</t>
        </is>
      </c>
      <c r="B4" s="6" t="inlineStr">
        <is>
          <t>Unit</t>
        </is>
      </c>
      <c r="C4" s="38" t="inlineStr">
        <is>
          <t>FY1</t>
        </is>
      </c>
      <c r="D4" s="38" t="inlineStr">
        <is>
          <t>FY2</t>
        </is>
      </c>
      <c r="E4" s="38" t="inlineStr">
        <is>
          <t>FY3</t>
        </is>
      </c>
      <c r="F4" s="38" t="inlineStr">
        <is>
          <t>FY4</t>
        </is>
      </c>
      <c r="G4" s="38" t="inlineStr">
        <is>
          <t>FY5</t>
        </is>
      </c>
    </row>
    <row r="5">
      <c r="C5" s="46" t="inlineStr">
        <is>
          <t>Oct 2026 - Sep 2027</t>
        </is>
      </c>
      <c r="D5" s="46" t="inlineStr">
        <is>
          <t>Oct 2027 - Sep 2028</t>
        </is>
      </c>
      <c r="E5" s="46" t="inlineStr">
        <is>
          <t>Oct 2028 - Sep 2029</t>
        </is>
      </c>
      <c r="F5" s="46" t="inlineStr">
        <is>
          <t>Oct 2029 - Sep 2030</t>
        </is>
      </c>
      <c r="G5" s="46" t="inlineStr">
        <is>
          <t>Oct 2030 - Sep 2031</t>
        </is>
      </c>
    </row>
    <row r="6"/>
    <row r="7">
      <c r="A7" s="19" t="inlineStr">
        <is>
          <t>Revenue by stream (gross subscriptions -&gt; launch discounts -&gt; net)</t>
        </is>
      </c>
      <c r="B7" s="19" t="n"/>
      <c r="C7" s="19" t="n"/>
      <c r="D7" s="19" t="n"/>
      <c r="E7" s="19" t="n"/>
      <c r="F7" s="19" t="n"/>
      <c r="G7" s="19" t="n"/>
    </row>
    <row r="8">
      <c r="A8" s="4" t="inlineStr">
        <is>
          <t>Subscriptions (gross)</t>
        </is>
      </c>
      <c r="B8" s="17" t="inlineStr">
        <is>
          <t>R</t>
        </is>
      </c>
      <c r="C8" s="47">
        <f>SUM('P&amp;L'!C8:N8)</f>
        <v/>
      </c>
      <c r="D8" s="47">
        <f>SUM('P&amp;L'!O8:Z8)</f>
        <v/>
      </c>
      <c r="E8" s="47">
        <f>SUM('P&amp;L'!AA8:AL8)</f>
        <v/>
      </c>
      <c r="F8" s="47">
        <f>SUM('P&amp;L'!AM8:AX8)</f>
        <v/>
      </c>
      <c r="G8" s="47">
        <f>SUM('P&amp;L'!AY8:BJ8)</f>
        <v/>
      </c>
    </row>
    <row r="9">
      <c r="A9" s="4" t="inlineStr">
        <is>
          <t>less: Founding Member discount</t>
        </is>
      </c>
      <c r="B9" s="17" t="inlineStr">
        <is>
          <t>R</t>
        </is>
      </c>
      <c r="C9" s="47">
        <f>SUM('P&amp;L'!C9:N9)</f>
        <v/>
      </c>
      <c r="D9" s="47">
        <f>SUM('P&amp;L'!O9:Z9)</f>
        <v/>
      </c>
      <c r="E9" s="47">
        <f>SUM('P&amp;L'!AA9:AL9)</f>
        <v/>
      </c>
      <c r="F9" s="47">
        <f>SUM('P&amp;L'!AM9:AX9)</f>
        <v/>
      </c>
      <c r="G9" s="47">
        <f>SUM('P&amp;L'!AY9:BJ9)</f>
        <v/>
      </c>
    </row>
    <row r="10">
      <c r="A10" s="4" t="inlineStr">
        <is>
          <t>less: Pilot Founding terms discount</t>
        </is>
      </c>
      <c r="B10" s="17" t="inlineStr">
        <is>
          <t>R</t>
        </is>
      </c>
      <c r="C10" s="47">
        <f>SUM('P&amp;L'!C10:N10)</f>
        <v/>
      </c>
      <c r="D10" s="47">
        <f>SUM('P&amp;L'!O10:Z10)</f>
        <v/>
      </c>
      <c r="E10" s="47">
        <f>SUM('P&amp;L'!AA10:AL10)</f>
        <v/>
      </c>
      <c r="F10" s="47">
        <f>SUM('P&amp;L'!AM10:AX10)</f>
        <v/>
      </c>
      <c r="G10" s="47">
        <f>SUM('P&amp;L'!AY10:BJ10)</f>
        <v/>
      </c>
    </row>
    <row r="11">
      <c r="A11" s="3" t="inlineStr">
        <is>
          <t>Subscriptions (net)</t>
        </is>
      </c>
      <c r="B11" s="17" t="inlineStr">
        <is>
          <t>R</t>
        </is>
      </c>
      <c r="C11" s="48">
        <f>C8+C9+C10</f>
        <v/>
      </c>
      <c r="D11" s="48">
        <f>D8+D9+D10</f>
        <v/>
      </c>
      <c r="E11" s="48">
        <f>E8+E9+E10</f>
        <v/>
      </c>
      <c r="F11" s="48">
        <f>F8+F9+F10</f>
        <v/>
      </c>
      <c r="G11" s="48">
        <f>G8+G9+G10</f>
        <v/>
      </c>
    </row>
    <row r="12">
      <c r="A12" s="4" t="inlineStr">
        <is>
          <t>AI-credit top-ups</t>
        </is>
      </c>
      <c r="B12" s="17" t="inlineStr">
        <is>
          <t>R</t>
        </is>
      </c>
      <c r="C12" s="47">
        <f>SUM('P&amp;L'!C12:N12)</f>
        <v/>
      </c>
      <c r="D12" s="47">
        <f>SUM('P&amp;L'!O12:Z12)</f>
        <v/>
      </c>
      <c r="E12" s="47">
        <f>SUM('P&amp;L'!AA12:AL12)</f>
        <v/>
      </c>
      <c r="F12" s="47">
        <f>SUM('P&amp;L'!AM12:AX12)</f>
        <v/>
      </c>
      <c r="G12" s="47">
        <f>SUM('P&amp;L'!AY12:BJ12)</f>
        <v/>
      </c>
    </row>
    <row r="13">
      <c r="A13" s="4" t="inlineStr">
        <is>
          <t>WhatsApp messaging (pass-through + margin)</t>
        </is>
      </c>
      <c r="B13" s="17" t="inlineStr">
        <is>
          <t>R</t>
        </is>
      </c>
      <c r="C13" s="47">
        <f>SUM('P&amp;L'!C13:N13)</f>
        <v/>
      </c>
      <c r="D13" s="47">
        <f>SUM('P&amp;L'!O13:Z13)</f>
        <v/>
      </c>
      <c r="E13" s="47">
        <f>SUM('P&amp;L'!AA13:AL13)</f>
        <v/>
      </c>
      <c r="F13" s="47">
        <f>SUM('P&amp;L'!AM13:AX13)</f>
        <v/>
      </c>
      <c r="G13" s="47">
        <f>SUM('P&amp;L'!AY13:BJ13)</f>
        <v/>
      </c>
    </row>
    <row r="14">
      <c r="A14" s="4" t="inlineStr">
        <is>
          <t>Commerce platform fees (Upside only)</t>
        </is>
      </c>
      <c r="B14" s="17" t="inlineStr">
        <is>
          <t>R</t>
        </is>
      </c>
      <c r="C14" s="47">
        <f>SUM('P&amp;L'!C14:N14)</f>
        <v/>
      </c>
      <c r="D14" s="47">
        <f>SUM('P&amp;L'!O14:Z14)</f>
        <v/>
      </c>
      <c r="E14" s="47">
        <f>SUM('P&amp;L'!AA14:AL14)</f>
        <v/>
      </c>
      <c r="F14" s="47">
        <f>SUM('P&amp;L'!AM14:AX14)</f>
        <v/>
      </c>
      <c r="G14" s="47">
        <f>SUM('P&amp;L'!AY14:BJ14)</f>
        <v/>
      </c>
    </row>
    <row r="15">
      <c r="A15" s="4" t="inlineStr">
        <is>
          <t>Enterprise setup fees</t>
        </is>
      </c>
      <c r="B15" s="17" t="inlineStr">
        <is>
          <t>R</t>
        </is>
      </c>
      <c r="C15" s="47">
        <f>SUM('P&amp;L'!C15:N15)</f>
        <v/>
      </c>
      <c r="D15" s="47">
        <f>SUM('P&amp;L'!O15:Z15)</f>
        <v/>
      </c>
      <c r="E15" s="47">
        <f>SUM('P&amp;L'!AA15:AL15)</f>
        <v/>
      </c>
      <c r="F15" s="47">
        <f>SUM('P&amp;L'!AM15:AX15)</f>
        <v/>
      </c>
      <c r="G15" s="47">
        <f>SUM('P&amp;L'!AY15:BJ15)</f>
        <v/>
      </c>
    </row>
    <row r="16">
      <c r="A16" s="4" t="inlineStr">
        <is>
          <t>Agency white-label setup fees</t>
        </is>
      </c>
      <c r="B16" s="17" t="inlineStr">
        <is>
          <t>R</t>
        </is>
      </c>
      <c r="C16" s="47">
        <f>SUM('P&amp;L'!C16:N16)</f>
        <v/>
      </c>
      <c r="D16" s="47">
        <f>SUM('P&amp;L'!O16:Z16)</f>
        <v/>
      </c>
      <c r="E16" s="47">
        <f>SUM('P&amp;L'!AA16:AL16)</f>
        <v/>
      </c>
      <c r="F16" s="47">
        <f>SUM('P&amp;L'!AM16:AX16)</f>
        <v/>
      </c>
      <c r="G16" s="47">
        <f>SUM('P&amp;L'!AY16:BJ16)</f>
        <v/>
      </c>
    </row>
    <row r="17">
      <c r="A17" s="3" t="inlineStr">
        <is>
          <t>Total revenue</t>
        </is>
      </c>
      <c r="B17" s="17" t="inlineStr">
        <is>
          <t>R</t>
        </is>
      </c>
      <c r="C17" s="48">
        <f>C11+C12+C13+C14+C15+C16</f>
        <v/>
      </c>
      <c r="D17" s="48">
        <f>D11+D12+D13+D14+D15+D16</f>
        <v/>
      </c>
      <c r="E17" s="48">
        <f>E11+E12+E13+E14+E15+E16</f>
        <v/>
      </c>
      <c r="F17" s="48">
        <f>F11+F12+F13+F14+F15+F16</f>
        <v/>
      </c>
      <c r="G17" s="48">
        <f>G11+G12+G13+G14+G15+G16</f>
        <v/>
      </c>
    </row>
    <row r="18">
      <c r="A18" s="4" t="inlineStr">
        <is>
          <t>Total revenue (US$)</t>
        </is>
      </c>
      <c r="B18" s="17" t="inlineStr">
        <is>
          <t>US$</t>
        </is>
      </c>
      <c r="C18" s="49">
        <f>C17/Assumptions!$B$10</f>
        <v/>
      </c>
      <c r="D18" s="49">
        <f>D17/Assumptions!$B$10</f>
        <v/>
      </c>
      <c r="E18" s="49">
        <f>E17/Assumptions!$B$10</f>
        <v/>
      </c>
      <c r="F18" s="49">
        <f>F17/Assumptions!$B$10</f>
        <v/>
      </c>
      <c r="G18" s="49">
        <f>G17/Assumptions!$B$10</f>
        <v/>
      </c>
    </row>
    <row r="19">
      <c r="A19" s="4" t="inlineStr">
        <is>
          <t>Revenue growth y/y</t>
        </is>
      </c>
      <c r="B19" s="17" t="inlineStr">
        <is>
          <t>%</t>
        </is>
      </c>
      <c r="C19" s="50">
        <f>"n/a"</f>
        <v/>
      </c>
      <c r="D19" s="50">
        <f>IF(C17=0,0,(D17-C17)/C17)</f>
        <v/>
      </c>
      <c r="E19" s="50">
        <f>IF(D17=0,0,(E17-D17)/D17)</f>
        <v/>
      </c>
      <c r="F19" s="50">
        <f>IF(E17=0,0,(F17-E17)/E17)</f>
        <v/>
      </c>
      <c r="G19" s="50">
        <f>IF(F17=0,0,(G17-F17)/F17)</f>
        <v/>
      </c>
    </row>
    <row r="20"/>
    <row r="21">
      <c r="A21" s="19" t="inlineStr">
        <is>
          <t>Launch discounts (cost of the offer, positive = revenue given up)</t>
        </is>
      </c>
      <c r="B21" s="19" t="n"/>
      <c r="C21" s="19" t="n"/>
      <c r="D21" s="19" t="n"/>
      <c r="E21" s="19" t="n"/>
      <c r="F21" s="19" t="n"/>
      <c r="G21" s="19" t="n"/>
    </row>
    <row r="22">
      <c r="A22" s="4" t="inlineStr">
        <is>
          <t>Founding Member discount cost</t>
        </is>
      </c>
      <c r="B22" s="17" t="inlineStr">
        <is>
          <t>R</t>
        </is>
      </c>
      <c r="C22" s="47">
        <f>SUM(Revenue_Build!C375:N375)</f>
        <v/>
      </c>
      <c r="D22" s="47">
        <f>SUM(Revenue_Build!O375:Z375)</f>
        <v/>
      </c>
      <c r="E22" s="47">
        <f>SUM(Revenue_Build!AA375:AL375)</f>
        <v/>
      </c>
      <c r="F22" s="47">
        <f>SUM(Revenue_Build!AM375:AX375)</f>
        <v/>
      </c>
      <c r="G22" s="47">
        <f>SUM(Revenue_Build!AY375:BJ375)</f>
        <v/>
      </c>
    </row>
    <row r="23">
      <c r="A23" s="4" t="inlineStr">
        <is>
          <t>of which South Africa</t>
        </is>
      </c>
      <c r="B23" s="17" t="inlineStr">
        <is>
          <t>R</t>
        </is>
      </c>
      <c r="C23" s="47">
        <f>SUM(Revenue_Build!C359:N359)</f>
        <v/>
      </c>
      <c r="D23" s="47">
        <f>SUM(Revenue_Build!O359:Z359)</f>
        <v/>
      </c>
      <c r="E23" s="47">
        <f>SUM(Revenue_Build!AA359:AL359)</f>
        <v/>
      </c>
      <c r="F23" s="47">
        <f>SUM(Revenue_Build!AM359:AX359)</f>
        <v/>
      </c>
      <c r="G23" s="47">
        <f>SUM(Revenue_Build!AY359:BJ359)</f>
        <v/>
      </c>
    </row>
    <row r="24">
      <c r="A24" s="4" t="inlineStr">
        <is>
          <t>of which Nigeria</t>
        </is>
      </c>
      <c r="B24" s="17" t="inlineStr">
        <is>
          <t>R</t>
        </is>
      </c>
      <c r="C24" s="47">
        <f>SUM(Revenue_Build!C364:N364)</f>
        <v/>
      </c>
      <c r="D24" s="47">
        <f>SUM(Revenue_Build!O364:Z364)</f>
        <v/>
      </c>
      <c r="E24" s="47">
        <f>SUM(Revenue_Build!AA364:AL364)</f>
        <v/>
      </c>
      <c r="F24" s="47">
        <f>SUM(Revenue_Build!AM364:AX364)</f>
        <v/>
      </c>
      <c r="G24" s="47">
        <f>SUM(Revenue_Build!AY364:BJ364)</f>
        <v/>
      </c>
    </row>
    <row r="25">
      <c r="A25" s="4" t="inlineStr">
        <is>
          <t>of which Kenya</t>
        </is>
      </c>
      <c r="B25" s="17" t="inlineStr">
        <is>
          <t>R</t>
        </is>
      </c>
      <c r="C25" s="47">
        <f>SUM(Revenue_Build!C369:N369)</f>
        <v/>
      </c>
      <c r="D25" s="47">
        <f>SUM(Revenue_Build!O369:Z369)</f>
        <v/>
      </c>
      <c r="E25" s="47">
        <f>SUM(Revenue_Build!AA369:AL369)</f>
        <v/>
      </c>
      <c r="F25" s="47">
        <f>SUM(Revenue_Build!AM369:AX369)</f>
        <v/>
      </c>
      <c r="G25" s="47">
        <f>SUM(Revenue_Build!AY369:BJ369)</f>
        <v/>
      </c>
    </row>
    <row r="26">
      <c r="A26" s="4" t="inlineStr">
        <is>
          <t>of which Ghana</t>
        </is>
      </c>
      <c r="B26" s="17" t="inlineStr">
        <is>
          <t>R</t>
        </is>
      </c>
      <c r="C26" s="47">
        <f>SUM(Revenue_Build!C374:N374)</f>
        <v/>
      </c>
      <c r="D26" s="47">
        <f>SUM(Revenue_Build!O374:Z374)</f>
        <v/>
      </c>
      <c r="E26" s="47">
        <f>SUM(Revenue_Build!AA374:AL374)</f>
        <v/>
      </c>
      <c r="F26" s="47">
        <f>SUM(Revenue_Build!AM374:AX374)</f>
        <v/>
      </c>
      <c r="G26" s="47">
        <f>SUM(Revenue_Build!AY374:BJ374)</f>
        <v/>
      </c>
    </row>
    <row r="27">
      <c r="A27" s="4" t="inlineStr">
        <is>
          <t>Pilot Founding terms discount cost</t>
        </is>
      </c>
      <c r="B27" s="17" t="inlineStr">
        <is>
          <t>R</t>
        </is>
      </c>
      <c r="C27" s="47">
        <f>SUM(Revenue_Build!C379:N379)</f>
        <v/>
      </c>
      <c r="D27" s="47">
        <f>SUM(Revenue_Build!O379:Z379)</f>
        <v/>
      </c>
      <c r="E27" s="47">
        <f>SUM(Revenue_Build!AA379:AL379)</f>
        <v/>
      </c>
      <c r="F27" s="47">
        <f>SUM(Revenue_Build!AM379:AX379)</f>
        <v/>
      </c>
      <c r="G27" s="47">
        <f>SUM(Revenue_Build!AY379:BJ379)</f>
        <v/>
      </c>
    </row>
    <row r="28">
      <c r="A28" s="4" t="inlineStr">
        <is>
          <t>Launch discounts as % of gross subscriptions</t>
        </is>
      </c>
      <c r="B28" s="17" t="inlineStr">
        <is>
          <t>%</t>
        </is>
      </c>
      <c r="C28" s="50">
        <f>IF(C8=0,0,(C22+C27)/C8)</f>
        <v/>
      </c>
      <c r="D28" s="50">
        <f>IF(D8=0,0,(D22+D27)/D8)</f>
        <v/>
      </c>
      <c r="E28" s="50">
        <f>IF(E8=0,0,(E22+E27)/E8)</f>
        <v/>
      </c>
      <c r="F28" s="50">
        <f>IF(F8=0,0,(F22+F27)/F8)</f>
        <v/>
      </c>
      <c r="G28" s="50">
        <f>IF(G8=0,0,(G22+G27)/G8)</f>
        <v/>
      </c>
    </row>
    <row r="29"/>
    <row r="30">
      <c r="A30" s="19" t="inlineStr">
        <is>
          <t>Net subscription revenue by market</t>
        </is>
      </c>
      <c r="B30" s="19" t="n"/>
      <c r="C30" s="19" t="n"/>
      <c r="D30" s="19" t="n"/>
      <c r="E30" s="19" t="n"/>
      <c r="F30" s="19" t="n"/>
      <c r="G30" s="19" t="n"/>
    </row>
    <row r="31">
      <c r="A31" s="4" t="inlineStr">
        <is>
          <t>South Africa</t>
        </is>
      </c>
      <c r="B31" s="17" t="inlineStr">
        <is>
          <t>R</t>
        </is>
      </c>
      <c r="C31" s="47">
        <f>SUM(Revenue_Build!C382:N382)</f>
        <v/>
      </c>
      <c r="D31" s="47">
        <f>SUM(Revenue_Build!O382:Z382)</f>
        <v/>
      </c>
      <c r="E31" s="47">
        <f>SUM(Revenue_Build!AA382:AL382)</f>
        <v/>
      </c>
      <c r="F31" s="47">
        <f>SUM(Revenue_Build!AM382:AX382)</f>
        <v/>
      </c>
      <c r="G31" s="47">
        <f>SUM(Revenue_Build!AY382:BJ382)</f>
        <v/>
      </c>
    </row>
    <row r="32">
      <c r="A32" s="4" t="inlineStr">
        <is>
          <t>Nigeria</t>
        </is>
      </c>
      <c r="B32" s="17" t="inlineStr">
        <is>
          <t>R</t>
        </is>
      </c>
      <c r="C32" s="47">
        <f>SUM(Revenue_Build!C383:N383)</f>
        <v/>
      </c>
      <c r="D32" s="47">
        <f>SUM(Revenue_Build!O383:Z383)</f>
        <v/>
      </c>
      <c r="E32" s="47">
        <f>SUM(Revenue_Build!AA383:AL383)</f>
        <v/>
      </c>
      <c r="F32" s="47">
        <f>SUM(Revenue_Build!AM383:AX383)</f>
        <v/>
      </c>
      <c r="G32" s="47">
        <f>SUM(Revenue_Build!AY383:BJ383)</f>
        <v/>
      </c>
    </row>
    <row r="33">
      <c r="A33" s="4" t="inlineStr">
        <is>
          <t>Kenya</t>
        </is>
      </c>
      <c r="B33" s="17" t="inlineStr">
        <is>
          <t>R</t>
        </is>
      </c>
      <c r="C33" s="47">
        <f>SUM(Revenue_Build!C384:N384)</f>
        <v/>
      </c>
      <c r="D33" s="47">
        <f>SUM(Revenue_Build!O384:Z384)</f>
        <v/>
      </c>
      <c r="E33" s="47">
        <f>SUM(Revenue_Build!AA384:AL384)</f>
        <v/>
      </c>
      <c r="F33" s="47">
        <f>SUM(Revenue_Build!AM384:AX384)</f>
        <v/>
      </c>
      <c r="G33" s="47">
        <f>SUM(Revenue_Build!AY384:BJ384)</f>
        <v/>
      </c>
    </row>
    <row r="34">
      <c r="A34" s="4" t="inlineStr">
        <is>
          <t>Ghana</t>
        </is>
      </c>
      <c r="B34" s="17" t="inlineStr">
        <is>
          <t>R</t>
        </is>
      </c>
      <c r="C34" s="47">
        <f>SUM(Revenue_Build!C385:N385)</f>
        <v/>
      </c>
      <c r="D34" s="47">
        <f>SUM(Revenue_Build!O385:Z385)</f>
        <v/>
      </c>
      <c r="E34" s="47">
        <f>SUM(Revenue_Build!AA385:AL385)</f>
        <v/>
      </c>
      <c r="F34" s="47">
        <f>SUM(Revenue_Build!AM385:AX385)</f>
        <v/>
      </c>
      <c r="G34" s="47">
        <f>SUM(Revenue_Build!AY385:BJ385)</f>
        <v/>
      </c>
    </row>
    <row r="35">
      <c r="A35" s="4" t="inlineStr">
        <is>
          <t>Rest of Africa (USD)</t>
        </is>
      </c>
      <c r="B35" s="17" t="inlineStr">
        <is>
          <t>R</t>
        </is>
      </c>
      <c r="C35" s="47">
        <f>SUM(Revenue_Build!C386:N386)</f>
        <v/>
      </c>
      <c r="D35" s="47">
        <f>SUM(Revenue_Build!O386:Z386)</f>
        <v/>
      </c>
      <c r="E35" s="47">
        <f>SUM(Revenue_Build!AA386:AL386)</f>
        <v/>
      </c>
      <c r="F35" s="47">
        <f>SUM(Revenue_Build!AM386:AX386)</f>
        <v/>
      </c>
      <c r="G35" s="47">
        <f>SUM(Revenue_Build!AY386:BJ386)</f>
        <v/>
      </c>
    </row>
    <row r="36">
      <c r="A36" s="4" t="inlineStr">
        <is>
          <t>Botswana &amp; Namibia</t>
        </is>
      </c>
      <c r="B36" s="17" t="inlineStr">
        <is>
          <t>R</t>
        </is>
      </c>
      <c r="C36" s="47">
        <f>SUM(Revenue_Build!C387:N387)</f>
        <v/>
      </c>
      <c r="D36" s="47">
        <f>SUM(Revenue_Build!O387:Z387)</f>
        <v/>
      </c>
      <c r="E36" s="47">
        <f>SUM(Revenue_Build!AA387:AL387)</f>
        <v/>
      </c>
      <c r="F36" s="47">
        <f>SUM(Revenue_Build!AM387:AX387)</f>
        <v/>
      </c>
      <c r="G36" s="47">
        <f>SUM(Revenue_Build!AY387:BJ387)</f>
        <v/>
      </c>
    </row>
    <row r="37"/>
    <row r="38">
      <c r="A38" s="19" t="inlineStr">
        <is>
          <t>Gross profit</t>
        </is>
      </c>
      <c r="B38" s="19" t="n"/>
      <c r="C38" s="19" t="n"/>
      <c r="D38" s="19" t="n"/>
      <c r="E38" s="19" t="n"/>
      <c r="F38" s="19" t="n"/>
      <c r="G38" s="19" t="n"/>
    </row>
    <row r="39">
      <c r="A39" s="4" t="inlineStr">
        <is>
          <t>Cost of revenue</t>
        </is>
      </c>
      <c r="B39" s="17" t="inlineStr">
        <is>
          <t>R</t>
        </is>
      </c>
      <c r="C39" s="47">
        <f>SUM('P&amp;L'!C26:N26)</f>
        <v/>
      </c>
      <c r="D39" s="47">
        <f>SUM('P&amp;L'!O26:Z26)</f>
        <v/>
      </c>
      <c r="E39" s="47">
        <f>SUM('P&amp;L'!AA26:AL26)</f>
        <v/>
      </c>
      <c r="F39" s="47">
        <f>SUM('P&amp;L'!AM26:AX26)</f>
        <v/>
      </c>
      <c r="G39" s="47">
        <f>SUM('P&amp;L'!AY26:BJ26)</f>
        <v/>
      </c>
    </row>
    <row r="40">
      <c r="A40" s="3" t="inlineStr">
        <is>
          <t>Gross profit</t>
        </is>
      </c>
      <c r="B40" s="17" t="inlineStr">
        <is>
          <t>R</t>
        </is>
      </c>
      <c r="C40" s="48">
        <f>C17-C39</f>
        <v/>
      </c>
      <c r="D40" s="48">
        <f>D17-D39</f>
        <v/>
      </c>
      <c r="E40" s="48">
        <f>E17-E39</f>
        <v/>
      </c>
      <c r="F40" s="48">
        <f>F17-F39</f>
        <v/>
      </c>
      <c r="G40" s="48">
        <f>G17-G39</f>
        <v/>
      </c>
    </row>
    <row r="41">
      <c r="A41" s="4" t="inlineStr">
        <is>
          <t>Gross margin % (all revenue)</t>
        </is>
      </c>
      <c r="B41" s="17" t="inlineStr">
        <is>
          <t>%</t>
        </is>
      </c>
      <c r="C41" s="50">
        <f>IF(C17=0,0,C40/C17)</f>
        <v/>
      </c>
      <c r="D41" s="50">
        <f>IF(D17=0,0,D40/D17)</f>
        <v/>
      </c>
      <c r="E41" s="50">
        <f>IF(E17=0,0,E40/E17)</f>
        <v/>
      </c>
      <c r="F41" s="50">
        <f>IF(F17=0,0,F40/F17)</f>
        <v/>
      </c>
      <c r="G41" s="50">
        <f>IF(G17=0,0,G40/G17)</f>
        <v/>
      </c>
    </row>
    <row r="42">
      <c r="A42" s="4" t="inlineStr">
        <is>
          <t>Software gross margin %</t>
        </is>
      </c>
      <c r="B42" s="17" t="inlineStr">
        <is>
          <t>%</t>
        </is>
      </c>
      <c r="C42" s="50">
        <f>IF(SUM('P&amp;L'!C53:N53)=0,0,1-SUM('P&amp;L'!C54:N54)/SUM('P&amp;L'!C53:N53))</f>
        <v/>
      </c>
      <c r="D42" s="50">
        <f>IF(SUM('P&amp;L'!O53:Z53)=0,0,1-SUM('P&amp;L'!O54:Z54)/SUM('P&amp;L'!O53:Z53))</f>
        <v/>
      </c>
      <c r="E42" s="50">
        <f>IF(SUM('P&amp;L'!AA53:AL53)=0,0,1-SUM('P&amp;L'!AA54:AL54)/SUM('P&amp;L'!AA53:AL53))</f>
        <v/>
      </c>
      <c r="F42" s="50">
        <f>IF(SUM('P&amp;L'!AM53:AX53)=0,0,1-SUM('P&amp;L'!AM54:AX54)/SUM('P&amp;L'!AM53:AX53))</f>
        <v/>
      </c>
      <c r="G42" s="50">
        <f>IF(SUM('P&amp;L'!AY53:BJ53)=0,0,1-SUM('P&amp;L'!AY54:BJ54)/SUM('P&amp;L'!AY53:BJ53))</f>
        <v/>
      </c>
    </row>
    <row r="43"/>
    <row r="44">
      <c r="A44" s="19" t="inlineStr">
        <is>
          <t>Operating expenses by category</t>
        </is>
      </c>
      <c r="B44" s="19" t="n"/>
      <c r="C44" s="19" t="n"/>
      <c r="D44" s="19" t="n"/>
      <c r="E44" s="19" t="n"/>
      <c r="F44" s="19" t="n"/>
      <c r="G44" s="19" t="n"/>
    </row>
    <row r="45">
      <c r="A45" s="4" t="inlineStr">
        <is>
          <t>Payroll (excl. customer success)</t>
        </is>
      </c>
      <c r="B45" s="17" t="inlineStr">
        <is>
          <t>R</t>
        </is>
      </c>
      <c r="C45" s="47">
        <f>SUM('P&amp;L'!C37:N37)</f>
        <v/>
      </c>
      <c r="D45" s="47">
        <f>SUM('P&amp;L'!O37:Z37)</f>
        <v/>
      </c>
      <c r="E45" s="47">
        <f>SUM('P&amp;L'!AA37:AL37)</f>
        <v/>
      </c>
      <c r="F45" s="47">
        <f>SUM('P&amp;L'!AM37:AX37)</f>
        <v/>
      </c>
      <c r="G45" s="47">
        <f>SUM('P&amp;L'!AY37:BJ37)</f>
        <v/>
      </c>
    </row>
    <row r="46">
      <c r="A46" s="4" t="inlineStr">
        <is>
          <t>Marketing &amp; sales programmes</t>
        </is>
      </c>
      <c r="B46" s="17" t="inlineStr">
        <is>
          <t>R</t>
        </is>
      </c>
      <c r="C46" s="47">
        <f>SUM('P&amp;L'!C38:N38)</f>
        <v/>
      </c>
      <c r="D46" s="47">
        <f>SUM('P&amp;L'!O38:Z38)</f>
        <v/>
      </c>
      <c r="E46" s="47">
        <f>SUM('P&amp;L'!AA38:AL38)</f>
        <v/>
      </c>
      <c r="F46" s="47">
        <f>SUM('P&amp;L'!AM38:AX38)</f>
        <v/>
      </c>
      <c r="G46" s="47">
        <f>SUM('P&amp;L'!AY38:BJ38)</f>
        <v/>
      </c>
    </row>
    <row r="47">
      <c r="A47" s="4" t="inlineStr">
        <is>
          <t>G&amp;A (non-payroll)</t>
        </is>
      </c>
      <c r="B47" s="17" t="inlineStr">
        <is>
          <t>R</t>
        </is>
      </c>
      <c r="C47" s="47">
        <f>SUM('P&amp;L'!C39:N39)</f>
        <v/>
      </c>
      <c r="D47" s="47">
        <f>SUM('P&amp;L'!O39:Z39)</f>
        <v/>
      </c>
      <c r="E47" s="47">
        <f>SUM('P&amp;L'!AA39:AL39)</f>
        <v/>
      </c>
      <c r="F47" s="47">
        <f>SUM('P&amp;L'!AM39:AX39)</f>
        <v/>
      </c>
      <c r="G47" s="47">
        <f>SUM('P&amp;L'!AY39:BJ39)</f>
        <v/>
      </c>
    </row>
    <row r="48">
      <c r="A48" s="4" t="inlineStr">
        <is>
          <t>Meta, legal &amp; compliance</t>
        </is>
      </c>
      <c r="B48" s="17" t="inlineStr">
        <is>
          <t>R</t>
        </is>
      </c>
      <c r="C48" s="47">
        <f>SUM('P&amp;L'!C40:N40)</f>
        <v/>
      </c>
      <c r="D48" s="47">
        <f>SUM('P&amp;L'!O40:Z40)</f>
        <v/>
      </c>
      <c r="E48" s="47">
        <f>SUM('P&amp;L'!AA40:AL40)</f>
        <v/>
      </c>
      <c r="F48" s="47">
        <f>SUM('P&amp;L'!AM40:AX40)</f>
        <v/>
      </c>
      <c r="G48" s="47">
        <f>SUM('P&amp;L'!AY40:BJ40)</f>
        <v/>
      </c>
    </row>
    <row r="49">
      <c r="A49" s="4" t="inlineStr">
        <is>
          <t>Software &amp; tools</t>
        </is>
      </c>
      <c r="B49" s="17" t="inlineStr">
        <is>
          <t>R</t>
        </is>
      </c>
      <c r="C49" s="47">
        <f>SUM('P&amp;L'!C41:N41)</f>
        <v/>
      </c>
      <c r="D49" s="47">
        <f>SUM('P&amp;L'!O41:Z41)</f>
        <v/>
      </c>
      <c r="E49" s="47">
        <f>SUM('P&amp;L'!AA41:AL41)</f>
        <v/>
      </c>
      <c r="F49" s="47">
        <f>SUM('P&amp;L'!AM41:AX41)</f>
        <v/>
      </c>
      <c r="G49" s="47">
        <f>SUM('P&amp;L'!AY41:BJ41)</f>
        <v/>
      </c>
    </row>
    <row r="50">
      <c r="A50" s="4" t="inlineStr">
        <is>
          <t>Travel</t>
        </is>
      </c>
      <c r="B50" s="17" t="inlineStr">
        <is>
          <t>R</t>
        </is>
      </c>
      <c r="C50" s="47">
        <f>SUM('P&amp;L'!C42:N42)</f>
        <v/>
      </c>
      <c r="D50" s="47">
        <f>SUM('P&amp;L'!O42:Z42)</f>
        <v/>
      </c>
      <c r="E50" s="47">
        <f>SUM('P&amp;L'!AA42:AL42)</f>
        <v/>
      </c>
      <c r="F50" s="47">
        <f>SUM('P&amp;L'!AM42:AX42)</f>
        <v/>
      </c>
      <c r="G50" s="47">
        <f>SUM('P&amp;L'!AY42:BJ42)</f>
        <v/>
      </c>
    </row>
    <row r="51">
      <c r="A51" s="3" t="inlineStr">
        <is>
          <t>Total operating expenses</t>
        </is>
      </c>
      <c r="B51" s="17" t="inlineStr">
        <is>
          <t>R</t>
        </is>
      </c>
      <c r="C51" s="48">
        <f>C45+C46+C47+C48+C49+C50</f>
        <v/>
      </c>
      <c r="D51" s="48">
        <f>D45+D46+D47+D48+D49+D50</f>
        <v/>
      </c>
      <c r="E51" s="48">
        <f>E45+E46+E47+E48+E49+E50</f>
        <v/>
      </c>
      <c r="F51" s="48">
        <f>F45+F46+F47+F48+F49+F50</f>
        <v/>
      </c>
      <c r="G51" s="48">
        <f>G45+G46+G47+G48+G49+G50</f>
        <v/>
      </c>
    </row>
    <row r="52">
      <c r="A52" s="4" t="inlineStr">
        <is>
          <t>memo: paid acquisition spend (after cap)</t>
        </is>
      </c>
      <c r="B52" s="17" t="inlineStr">
        <is>
          <t>R</t>
        </is>
      </c>
      <c r="C52" s="47">
        <f>SUM(Revenue_Build!C110:N110)</f>
        <v/>
      </c>
      <c r="D52" s="47">
        <f>SUM(Revenue_Build!O110:Z110)</f>
        <v/>
      </c>
      <c r="E52" s="47">
        <f>SUM(Revenue_Build!AA110:AL110)</f>
        <v/>
      </c>
      <c r="F52" s="47">
        <f>SUM(Revenue_Build!AM110:AX110)</f>
        <v/>
      </c>
      <c r="G52" s="47">
        <f>SUM(Revenue_Build!AY110:BJ110)</f>
        <v/>
      </c>
    </row>
    <row r="53">
      <c r="A53" s="4" t="inlineStr">
        <is>
          <t>memo: share of desired paid acquisition funded by the cap</t>
        </is>
      </c>
      <c r="B53" s="17" t="inlineStr">
        <is>
          <t>%</t>
        </is>
      </c>
      <c r="C53" s="50">
        <f>IF(SUM(Revenue_Build!C105:N105)=0,0,SUM(Revenue_Build!C110:N110)/SUM(Revenue_Build!C105:N105))</f>
        <v/>
      </c>
      <c r="D53" s="50">
        <f>IF(SUM(Revenue_Build!O105:Z105)=0,0,SUM(Revenue_Build!O110:Z110)/SUM(Revenue_Build!O105:Z105))</f>
        <v/>
      </c>
      <c r="E53" s="50">
        <f>IF(SUM(Revenue_Build!AA105:AL105)=0,0,SUM(Revenue_Build!AA110:AL110)/SUM(Revenue_Build!AA105:AL105))</f>
        <v/>
      </c>
      <c r="F53" s="50">
        <f>IF(SUM(Revenue_Build!AM105:AX105)=0,0,SUM(Revenue_Build!AM110:AX110)/SUM(Revenue_Build!AM105:AX105))</f>
        <v/>
      </c>
      <c r="G53" s="50">
        <f>IF(SUM(Revenue_Build!AY105:BJ105)=0,0,SUM(Revenue_Build!AY110:BJ110)/SUM(Revenue_Build!AY105:BJ105))</f>
        <v/>
      </c>
    </row>
    <row r="54"/>
    <row r="55">
      <c r="A55" s="19" t="inlineStr">
        <is>
          <t>Profit</t>
        </is>
      </c>
      <c r="B55" s="19" t="n"/>
      <c r="C55" s="19" t="n"/>
      <c r="D55" s="19" t="n"/>
      <c r="E55" s="19" t="n"/>
      <c r="F55" s="19" t="n"/>
      <c r="G55" s="19" t="n"/>
    </row>
    <row r="56">
      <c r="A56" s="3" t="inlineStr">
        <is>
          <t>EBITDA</t>
        </is>
      </c>
      <c r="B56" s="17" t="inlineStr">
        <is>
          <t>R</t>
        </is>
      </c>
      <c r="C56" s="48">
        <f>C40-C51</f>
        <v/>
      </c>
      <c r="D56" s="48">
        <f>D40-D51</f>
        <v/>
      </c>
      <c r="E56" s="48">
        <f>E40-E51</f>
        <v/>
      </c>
      <c r="F56" s="48">
        <f>F40-F51</f>
        <v/>
      </c>
      <c r="G56" s="48">
        <f>G40-G51</f>
        <v/>
      </c>
    </row>
    <row r="57">
      <c r="A57" s="4" t="inlineStr">
        <is>
          <t>EBITDA margin %</t>
        </is>
      </c>
      <c r="B57" s="17" t="inlineStr">
        <is>
          <t>%</t>
        </is>
      </c>
      <c r="C57" s="50">
        <f>IF(C17=0,0,C56/C17)</f>
        <v/>
      </c>
      <c r="D57" s="50">
        <f>IF(D17=0,0,D56/D17)</f>
        <v/>
      </c>
      <c r="E57" s="50">
        <f>IF(E17=0,0,E56/E17)</f>
        <v/>
      </c>
      <c r="F57" s="50">
        <f>IF(F17=0,0,F56/F17)</f>
        <v/>
      </c>
      <c r="G57" s="50">
        <f>IF(G17=0,0,G56/G17)</f>
        <v/>
      </c>
    </row>
    <row r="58">
      <c r="A58" s="4" t="inlineStr">
        <is>
          <t>EBITDA (US$)</t>
        </is>
      </c>
      <c r="B58" s="17" t="inlineStr">
        <is>
          <t>US$</t>
        </is>
      </c>
      <c r="C58" s="49">
        <f>C56/Assumptions!$B$10</f>
        <v/>
      </c>
      <c r="D58" s="49">
        <f>D56/Assumptions!$B$10</f>
        <v/>
      </c>
      <c r="E58" s="49">
        <f>E56/Assumptions!$B$10</f>
        <v/>
      </c>
      <c r="F58" s="49">
        <f>F56/Assumptions!$B$10</f>
        <v/>
      </c>
      <c r="G58" s="49">
        <f>G56/Assumptions!$B$10</f>
        <v/>
      </c>
    </row>
    <row r="59">
      <c r="A59" s="4" t="inlineStr">
        <is>
          <t>Income tax</t>
        </is>
      </c>
      <c r="B59" s="17" t="inlineStr">
        <is>
          <t>R</t>
        </is>
      </c>
      <c r="C59" s="47">
        <f>SUM('P&amp;L'!C49:N49)</f>
        <v/>
      </c>
      <c r="D59" s="47">
        <f>SUM('P&amp;L'!O49:Z49)</f>
        <v/>
      </c>
      <c r="E59" s="47">
        <f>SUM('P&amp;L'!AA49:AL49)</f>
        <v/>
      </c>
      <c r="F59" s="47">
        <f>SUM('P&amp;L'!AM49:AX49)</f>
        <v/>
      </c>
      <c r="G59" s="47">
        <f>SUM('P&amp;L'!AY49:BJ49)</f>
        <v/>
      </c>
    </row>
    <row r="60">
      <c r="A60" s="3" t="inlineStr">
        <is>
          <t>Net income</t>
        </is>
      </c>
      <c r="B60" s="17" t="inlineStr">
        <is>
          <t>R</t>
        </is>
      </c>
      <c r="C60" s="48">
        <f>C56-C59</f>
        <v/>
      </c>
      <c r="D60" s="48">
        <f>D56-D59</f>
        <v/>
      </c>
      <c r="E60" s="48">
        <f>E56-E59</f>
        <v/>
      </c>
      <c r="F60" s="48">
        <f>F56-F59</f>
        <v/>
      </c>
      <c r="G60" s="48">
        <f>G56-G59</f>
        <v/>
      </c>
    </row>
    <row r="61"/>
    <row r="62">
      <c r="A62" s="19" t="inlineStr">
        <is>
          <t>Cash</t>
        </is>
      </c>
      <c r="B62" s="19" t="n"/>
      <c r="C62" s="19" t="n"/>
      <c r="D62" s="19" t="n"/>
      <c r="E62" s="19" t="n"/>
      <c r="F62" s="19" t="n"/>
      <c r="G62" s="19" t="n"/>
    </row>
    <row r="63">
      <c r="A63" s="4" t="inlineStr">
        <is>
          <t>Operating cash flow (before funding)</t>
        </is>
      </c>
      <c r="B63" s="17" t="inlineStr">
        <is>
          <t>R</t>
        </is>
      </c>
      <c r="C63" s="47">
        <f>SUM(Cash_Flow!C14:N14)</f>
        <v/>
      </c>
      <c r="D63" s="47">
        <f>SUM(Cash_Flow!O14:Z14)</f>
        <v/>
      </c>
      <c r="E63" s="47">
        <f>SUM(Cash_Flow!AA14:AL14)</f>
        <v/>
      </c>
      <c r="F63" s="47">
        <f>SUM(Cash_Flow!AM14:AX14)</f>
        <v/>
      </c>
      <c r="G63" s="47">
        <f>SUM(Cash_Flow!AY14:BJ14)</f>
        <v/>
      </c>
    </row>
    <row r="64">
      <c r="A64" s="4" t="inlineStr">
        <is>
          <t>Equity funding received</t>
        </is>
      </c>
      <c r="B64" s="17" t="inlineStr">
        <is>
          <t>R</t>
        </is>
      </c>
      <c r="C64" s="47">
        <f>SUM(Cash_Flow!C17:N17)+SUM(Cash_Flow!C18:N18)</f>
        <v/>
      </c>
      <c r="D64" s="47">
        <f>SUM(Cash_Flow!O17:Z17)+SUM(Cash_Flow!O18:Z18)</f>
        <v/>
      </c>
      <c r="E64" s="47">
        <f>SUM(Cash_Flow!AA17:AL17)+SUM(Cash_Flow!AA18:AL18)</f>
        <v/>
      </c>
      <c r="F64" s="47">
        <f>SUM(Cash_Flow!AM17:AX17)+SUM(Cash_Flow!AM18:AX18)</f>
        <v/>
      </c>
      <c r="G64" s="47">
        <f>SUM(Cash_Flow!AY17:BJ17)+SUM(Cash_Flow!AY18:BJ18)</f>
        <v/>
      </c>
    </row>
    <row r="65">
      <c r="A65" s="3" t="inlineStr">
        <is>
          <t>Closing cash (end of FY)</t>
        </is>
      </c>
      <c r="B65" s="17" t="inlineStr">
        <is>
          <t>R</t>
        </is>
      </c>
      <c r="C65" s="48">
        <f>Cash_Flow!N23</f>
        <v/>
      </c>
      <c r="D65" s="48">
        <f>Cash_Flow!Z23</f>
        <v/>
      </c>
      <c r="E65" s="48">
        <f>Cash_Flow!AL23</f>
        <v/>
      </c>
      <c r="F65" s="48">
        <f>Cash_Flow!AX23</f>
        <v/>
      </c>
      <c r="G65" s="48">
        <f>Cash_Flow!BJ23</f>
        <v/>
      </c>
    </row>
    <row r="66">
      <c r="A66" s="4" t="inlineStr">
        <is>
          <t>Lowest month-end cash in FY</t>
        </is>
      </c>
      <c r="B66" s="17" t="inlineStr">
        <is>
          <t>R</t>
        </is>
      </c>
      <c r="C66" s="47">
        <f>MIN(Cash_Flow!C23:N23)</f>
        <v/>
      </c>
      <c r="D66" s="47">
        <f>MIN(Cash_Flow!O23:Z23)</f>
        <v/>
      </c>
      <c r="E66" s="47">
        <f>MIN(Cash_Flow!AA23:AL23)</f>
        <v/>
      </c>
      <c r="F66" s="47">
        <f>MIN(Cash_Flow!AM23:AX23)</f>
        <v/>
      </c>
      <c r="G66" s="47">
        <f>MIN(Cash_Flow!AY23:BJ23)</f>
        <v/>
      </c>
    </row>
    <row r="67"/>
    <row r="68">
      <c r="A68" s="19" t="inlineStr">
        <is>
          <t>Paying workspaces at end of FY: by segment</t>
        </is>
      </c>
      <c r="B68" s="19" t="n"/>
      <c r="C68" s="19" t="n"/>
      <c r="D68" s="19" t="n"/>
      <c r="E68" s="19" t="n"/>
      <c r="F68" s="19" t="n"/>
      <c r="G68" s="19" t="n"/>
    </row>
    <row r="69">
      <c r="A69" s="4" t="inlineStr">
        <is>
          <t>Solo</t>
        </is>
      </c>
      <c r="B69" s="17" t="inlineStr">
        <is>
          <t>workspaces</t>
        </is>
      </c>
      <c r="C69" s="51">
        <f>Revenue_Build!N270</f>
        <v/>
      </c>
      <c r="D69" s="51">
        <f>Revenue_Build!Z270</f>
        <v/>
      </c>
      <c r="E69" s="51">
        <f>Revenue_Build!AL270</f>
        <v/>
      </c>
      <c r="F69" s="51">
        <f>Revenue_Build!AX270</f>
        <v/>
      </c>
      <c r="G69" s="51">
        <f>Revenue_Build!BJ270</f>
        <v/>
      </c>
    </row>
    <row r="70">
      <c r="A70" s="4" t="inlineStr">
        <is>
          <t>SMEs</t>
        </is>
      </c>
      <c r="B70" s="17" t="inlineStr">
        <is>
          <t>workspaces</t>
        </is>
      </c>
      <c r="C70" s="51">
        <f>Revenue_Build!N274</f>
        <v/>
      </c>
      <c r="D70" s="51">
        <f>Revenue_Build!Z274</f>
        <v/>
      </c>
      <c r="E70" s="51">
        <f>Revenue_Build!AL274</f>
        <v/>
      </c>
      <c r="F70" s="51">
        <f>Revenue_Build!AX274</f>
        <v/>
      </c>
      <c r="G70" s="51">
        <f>Revenue_Build!BJ274</f>
        <v/>
      </c>
    </row>
    <row r="71">
      <c r="A71" s="4" t="inlineStr">
        <is>
          <t>Agencies</t>
        </is>
      </c>
      <c r="B71" s="17" t="inlineStr">
        <is>
          <t>workspaces</t>
        </is>
      </c>
      <c r="C71" s="51">
        <f>Revenue_Build!N278</f>
        <v/>
      </c>
      <c r="D71" s="51">
        <f>Revenue_Build!Z278</f>
        <v/>
      </c>
      <c r="E71" s="51">
        <f>Revenue_Build!AL278</f>
        <v/>
      </c>
      <c r="F71" s="51">
        <f>Revenue_Build!AX278</f>
        <v/>
      </c>
      <c r="G71" s="51">
        <f>Revenue_Build!BJ278</f>
        <v/>
      </c>
    </row>
    <row r="72">
      <c r="A72" s="4" t="inlineStr">
        <is>
          <t>Enterprise</t>
        </is>
      </c>
      <c r="B72" s="17" t="inlineStr">
        <is>
          <t>workspaces</t>
        </is>
      </c>
      <c r="C72" s="51">
        <f>Revenue_Build!N282</f>
        <v/>
      </c>
      <c r="D72" s="51">
        <f>Revenue_Build!Z282</f>
        <v/>
      </c>
      <c r="E72" s="51">
        <f>Revenue_Build!AL282</f>
        <v/>
      </c>
      <c r="F72" s="51">
        <f>Revenue_Build!AX282</f>
        <v/>
      </c>
      <c r="G72" s="51">
        <f>Revenue_Build!BJ282</f>
        <v/>
      </c>
    </row>
    <row r="73"/>
    <row r="74">
      <c r="A74" s="19" t="inlineStr">
        <is>
          <t>Paying workspaces at end of FY: by market (gated countries = 0)</t>
        </is>
      </c>
      <c r="B74" s="19" t="n"/>
      <c r="C74" s="19" t="n"/>
      <c r="D74" s="19" t="n"/>
      <c r="E74" s="19" t="n"/>
      <c r="F74" s="19" t="n"/>
      <c r="G74" s="19" t="n"/>
    </row>
    <row r="75">
      <c r="A75" s="4" t="inlineStr">
        <is>
          <t>South Africa</t>
        </is>
      </c>
      <c r="B75" s="17" t="inlineStr">
        <is>
          <t>workspaces</t>
        </is>
      </c>
      <c r="C75" s="51">
        <f>Revenue_Build!N263</f>
        <v/>
      </c>
      <c r="D75" s="51">
        <f>Revenue_Build!Z263</f>
        <v/>
      </c>
      <c r="E75" s="51">
        <f>Revenue_Build!AL263</f>
        <v/>
      </c>
      <c r="F75" s="51">
        <f>Revenue_Build!AX263</f>
        <v/>
      </c>
      <c r="G75" s="51">
        <f>Revenue_Build!BJ263</f>
        <v/>
      </c>
    </row>
    <row r="76">
      <c r="A76" s="4" t="inlineStr">
        <is>
          <t>Nigeria</t>
        </is>
      </c>
      <c r="B76" s="17" t="inlineStr">
        <is>
          <t>workspaces</t>
        </is>
      </c>
      <c r="C76" s="51">
        <f>Revenue_Build!N264</f>
        <v/>
      </c>
      <c r="D76" s="51">
        <f>Revenue_Build!Z264</f>
        <v/>
      </c>
      <c r="E76" s="51">
        <f>Revenue_Build!AL264</f>
        <v/>
      </c>
      <c r="F76" s="51">
        <f>Revenue_Build!AX264</f>
        <v/>
      </c>
      <c r="G76" s="51">
        <f>Revenue_Build!BJ264</f>
        <v/>
      </c>
    </row>
    <row r="77">
      <c r="A77" s="4" t="inlineStr">
        <is>
          <t>Kenya</t>
        </is>
      </c>
      <c r="B77" s="17" t="inlineStr">
        <is>
          <t>workspaces</t>
        </is>
      </c>
      <c r="C77" s="51">
        <f>Revenue_Build!N265</f>
        <v/>
      </c>
      <c r="D77" s="51">
        <f>Revenue_Build!Z265</f>
        <v/>
      </c>
      <c r="E77" s="51">
        <f>Revenue_Build!AL265</f>
        <v/>
      </c>
      <c r="F77" s="51">
        <f>Revenue_Build!AX265</f>
        <v/>
      </c>
      <c r="G77" s="51">
        <f>Revenue_Build!BJ265</f>
        <v/>
      </c>
    </row>
    <row r="78">
      <c r="A78" s="4" t="inlineStr">
        <is>
          <t>Ghana</t>
        </is>
      </c>
      <c r="B78" s="17" t="inlineStr">
        <is>
          <t>workspaces</t>
        </is>
      </c>
      <c r="C78" s="51">
        <f>Revenue_Build!N266</f>
        <v/>
      </c>
      <c r="D78" s="51">
        <f>Revenue_Build!Z266</f>
        <v/>
      </c>
      <c r="E78" s="51">
        <f>Revenue_Build!AL266</f>
        <v/>
      </c>
      <c r="F78" s="51">
        <f>Revenue_Build!AX266</f>
        <v/>
      </c>
      <c r="G78" s="51">
        <f>Revenue_Build!BJ266</f>
        <v/>
      </c>
    </row>
    <row r="79">
      <c r="A79" s="4" t="inlineStr">
        <is>
          <t>Rest of Africa (USD)</t>
        </is>
      </c>
      <c r="B79" s="17" t="inlineStr">
        <is>
          <t>workspaces</t>
        </is>
      </c>
      <c r="C79" s="51">
        <f>Revenue_Build!N267</f>
        <v/>
      </c>
      <c r="D79" s="51">
        <f>Revenue_Build!Z267</f>
        <v/>
      </c>
      <c r="E79" s="51">
        <f>Revenue_Build!AL267</f>
        <v/>
      </c>
      <c r="F79" s="51">
        <f>Revenue_Build!AX267</f>
        <v/>
      </c>
      <c r="G79" s="51">
        <f>Revenue_Build!BJ267</f>
        <v/>
      </c>
    </row>
    <row r="80">
      <c r="A80" s="4" t="inlineStr">
        <is>
          <t>Botswana &amp; Namibia</t>
        </is>
      </c>
      <c r="B80" s="17" t="inlineStr">
        <is>
          <t>workspaces</t>
        </is>
      </c>
      <c r="C80" s="51">
        <f>Revenue_Build!N268</f>
        <v/>
      </c>
      <c r="D80" s="51">
        <f>Revenue_Build!Z268</f>
        <v/>
      </c>
      <c r="E80" s="51">
        <f>Revenue_Build!AL268</f>
        <v/>
      </c>
      <c r="F80" s="51">
        <f>Revenue_Build!AX268</f>
        <v/>
      </c>
      <c r="G80" s="51">
        <f>Revenue_Build!BJ268</f>
        <v/>
      </c>
    </row>
    <row r="81"/>
    <row r="82">
      <c r="A82" s="19" t="inlineStr">
        <is>
          <t>Paying workspaces at end of FY: by tier</t>
        </is>
      </c>
      <c r="B82" s="19" t="n"/>
      <c r="C82" s="19" t="n"/>
      <c r="D82" s="19" t="n"/>
      <c r="E82" s="19" t="n"/>
      <c r="F82" s="19" t="n"/>
      <c r="G82" s="19" t="n"/>
    </row>
    <row r="83">
      <c r="A83" s="4" t="inlineStr">
        <is>
          <t>Starter</t>
        </is>
      </c>
      <c r="B83" s="17" t="inlineStr">
        <is>
          <t>workspaces</t>
        </is>
      </c>
      <c r="C83" s="51">
        <f>Revenue_Build!N286</f>
        <v/>
      </c>
      <c r="D83" s="51">
        <f>Revenue_Build!Z286</f>
        <v/>
      </c>
      <c r="E83" s="51">
        <f>Revenue_Build!AL286</f>
        <v/>
      </c>
      <c r="F83" s="51">
        <f>Revenue_Build!AX286</f>
        <v/>
      </c>
      <c r="G83" s="51">
        <f>Revenue_Build!BJ286</f>
        <v/>
      </c>
    </row>
    <row r="84">
      <c r="A84" s="4" t="inlineStr">
        <is>
          <t>Growth</t>
        </is>
      </c>
      <c r="B84" s="17" t="inlineStr">
        <is>
          <t>workspaces</t>
        </is>
      </c>
      <c r="C84" s="51">
        <f>Revenue_Build!N289</f>
        <v/>
      </c>
      <c r="D84" s="51">
        <f>Revenue_Build!Z289</f>
        <v/>
      </c>
      <c r="E84" s="51">
        <f>Revenue_Build!AL289</f>
        <v/>
      </c>
      <c r="F84" s="51">
        <f>Revenue_Build!AX289</f>
        <v/>
      </c>
      <c r="G84" s="51">
        <f>Revenue_Build!BJ289</f>
        <v/>
      </c>
    </row>
    <row r="85">
      <c r="A85" s="4" t="inlineStr">
        <is>
          <t>Scale</t>
        </is>
      </c>
      <c r="B85" s="17" t="inlineStr">
        <is>
          <t>workspaces</t>
        </is>
      </c>
      <c r="C85" s="51">
        <f>Revenue_Build!N292</f>
        <v/>
      </c>
      <c r="D85" s="51">
        <f>Revenue_Build!Z292</f>
        <v/>
      </c>
      <c r="E85" s="51">
        <f>Revenue_Build!AL292</f>
        <v/>
      </c>
      <c r="F85" s="51">
        <f>Revenue_Build!AX292</f>
        <v/>
      </c>
      <c r="G85" s="51">
        <f>Revenue_Build!BJ292</f>
        <v/>
      </c>
    </row>
    <row r="86">
      <c r="A86" s="4" t="inlineStr">
        <is>
          <t>Agency</t>
        </is>
      </c>
      <c r="B86" s="17" t="inlineStr">
        <is>
          <t>workspaces</t>
        </is>
      </c>
      <c r="C86" s="51">
        <f>Revenue_Build!N295</f>
        <v/>
      </c>
      <c r="D86" s="51">
        <f>Revenue_Build!Z295</f>
        <v/>
      </c>
      <c r="E86" s="51">
        <f>Revenue_Build!AL295</f>
        <v/>
      </c>
      <c r="F86" s="51">
        <f>Revenue_Build!AX295</f>
        <v/>
      </c>
      <c r="G86" s="51">
        <f>Revenue_Build!BJ295</f>
        <v/>
      </c>
    </row>
    <row r="87">
      <c r="A87" s="4" t="inlineStr">
        <is>
          <t>Enterprise</t>
        </is>
      </c>
      <c r="B87" s="17" t="inlineStr">
        <is>
          <t>workspaces</t>
        </is>
      </c>
      <c r="C87" s="51">
        <f>Revenue_Build!N298</f>
        <v/>
      </c>
      <c r="D87" s="51">
        <f>Revenue_Build!Z298</f>
        <v/>
      </c>
      <c r="E87" s="51">
        <f>Revenue_Build!AL298</f>
        <v/>
      </c>
      <c r="F87" s="51">
        <f>Revenue_Build!AX298</f>
        <v/>
      </c>
      <c r="G87" s="51">
        <f>Revenue_Build!BJ298</f>
        <v/>
      </c>
    </row>
    <row r="88">
      <c r="A88" s="3" t="inlineStr">
        <is>
          <t>Total paying workspaces</t>
        </is>
      </c>
      <c r="B88" s="17" t="inlineStr">
        <is>
          <t>workspaces</t>
        </is>
      </c>
      <c r="C88" s="52">
        <f>C83+C84+C85+C86+C87</f>
        <v/>
      </c>
      <c r="D88" s="52">
        <f>D83+D84+D85+D86+D87</f>
        <v/>
      </c>
      <c r="E88" s="52">
        <f>E83+E84+E85+E86+E87</f>
        <v/>
      </c>
      <c r="F88" s="52">
        <f>F83+F84+F85+F86+F87</f>
        <v/>
      </c>
      <c r="G88" s="52">
        <f>G83+G84+G85+G86+G87</f>
        <v/>
      </c>
    </row>
    <row r="89"/>
    <row r="90">
      <c r="A90" s="19" t="inlineStr">
        <is>
          <t>New customers acquired in FY by segment (excl. upgrades)</t>
        </is>
      </c>
      <c r="B90" s="19" t="n"/>
      <c r="C90" s="19" t="n"/>
      <c r="D90" s="19" t="n"/>
      <c r="E90" s="19" t="n"/>
      <c r="F90" s="19" t="n"/>
      <c r="G90" s="19" t="n"/>
    </row>
    <row r="91">
      <c r="A91" s="4" t="inlineStr">
        <is>
          <t>Solo</t>
        </is>
      </c>
      <c r="B91" s="17" t="inlineStr">
        <is>
          <t>workspaces</t>
        </is>
      </c>
      <c r="C91" s="51">
        <f>SUM(Revenue_Build!C272:N272)</f>
        <v/>
      </c>
      <c r="D91" s="51">
        <f>SUM(Revenue_Build!O272:Z272)</f>
        <v/>
      </c>
      <c r="E91" s="51">
        <f>SUM(Revenue_Build!AA272:AL272)</f>
        <v/>
      </c>
      <c r="F91" s="51">
        <f>SUM(Revenue_Build!AM272:AX272)</f>
        <v/>
      </c>
      <c r="G91" s="51">
        <f>SUM(Revenue_Build!AY272:BJ272)</f>
        <v/>
      </c>
    </row>
    <row r="92">
      <c r="A92" s="4" t="inlineStr">
        <is>
          <t>SMEs</t>
        </is>
      </c>
      <c r="B92" s="17" t="inlineStr">
        <is>
          <t>workspaces</t>
        </is>
      </c>
      <c r="C92" s="51">
        <f>SUM(Revenue_Build!C276:N276)</f>
        <v/>
      </c>
      <c r="D92" s="51">
        <f>SUM(Revenue_Build!O276:Z276)</f>
        <v/>
      </c>
      <c r="E92" s="51">
        <f>SUM(Revenue_Build!AA276:AL276)</f>
        <v/>
      </c>
      <c r="F92" s="51">
        <f>SUM(Revenue_Build!AM276:AX276)</f>
        <v/>
      </c>
      <c r="G92" s="51">
        <f>SUM(Revenue_Build!AY276:BJ276)</f>
        <v/>
      </c>
    </row>
    <row r="93">
      <c r="A93" s="4" t="inlineStr">
        <is>
          <t>Agencies</t>
        </is>
      </c>
      <c r="B93" s="17" t="inlineStr">
        <is>
          <t>workspaces</t>
        </is>
      </c>
      <c r="C93" s="51">
        <f>SUM(Revenue_Build!C280:N280)</f>
        <v/>
      </c>
      <c r="D93" s="51">
        <f>SUM(Revenue_Build!O280:Z280)</f>
        <v/>
      </c>
      <c r="E93" s="51">
        <f>SUM(Revenue_Build!AA280:AL280)</f>
        <v/>
      </c>
      <c r="F93" s="51">
        <f>SUM(Revenue_Build!AM280:AX280)</f>
        <v/>
      </c>
      <c r="G93" s="51">
        <f>SUM(Revenue_Build!AY280:BJ280)</f>
        <v/>
      </c>
    </row>
    <row r="94">
      <c r="A94" s="4" t="inlineStr">
        <is>
          <t>Enterprise</t>
        </is>
      </c>
      <c r="B94" s="17" t="inlineStr">
        <is>
          <t>workspaces</t>
        </is>
      </c>
      <c r="C94" s="51">
        <f>SUM(Revenue_Build!C284:N284)</f>
        <v/>
      </c>
      <c r="D94" s="51">
        <f>SUM(Revenue_Build!O284:Z284)</f>
        <v/>
      </c>
      <c r="E94" s="51">
        <f>SUM(Revenue_Build!AA284:AL284)</f>
        <v/>
      </c>
      <c r="F94" s="51">
        <f>SUM(Revenue_Build!AM284:AX284)</f>
        <v/>
      </c>
      <c r="G94" s="51">
        <f>SUM(Revenue_Build!AY284:BJ284)</f>
        <v/>
      </c>
    </row>
    <row r="95">
      <c r="A95" s="4" t="inlineStr">
        <is>
          <t>New paying workspaces in FY</t>
        </is>
      </c>
      <c r="B95" s="17" t="inlineStr">
        <is>
          <t>workspaces</t>
        </is>
      </c>
      <c r="C95" s="51">
        <f>SUM(Revenue_Build!C303:N303)</f>
        <v/>
      </c>
      <c r="D95" s="51">
        <f>SUM(Revenue_Build!O303:Z303)</f>
        <v/>
      </c>
      <c r="E95" s="51">
        <f>SUM(Revenue_Build!AA303:AL303)</f>
        <v/>
      </c>
      <c r="F95" s="51">
        <f>SUM(Revenue_Build!AM303:AX303)</f>
        <v/>
      </c>
      <c r="G95" s="51">
        <f>SUM(Revenue_Build!AY303:BJ303)</f>
        <v/>
      </c>
    </row>
    <row r="96">
      <c r="A96" s="4" t="inlineStr">
        <is>
          <t>Churned workspaces in FY</t>
        </is>
      </c>
      <c r="B96" s="17" t="inlineStr">
        <is>
          <t>workspaces</t>
        </is>
      </c>
      <c r="C96" s="51">
        <f>SUM(Revenue_Build!C302:N302)</f>
        <v/>
      </c>
      <c r="D96" s="51">
        <f>SUM(Revenue_Build!O302:Z302)</f>
        <v/>
      </c>
      <c r="E96" s="51">
        <f>SUM(Revenue_Build!AA302:AL302)</f>
        <v/>
      </c>
      <c r="F96" s="51">
        <f>SUM(Revenue_Build!AM302:AX302)</f>
        <v/>
      </c>
      <c r="G96" s="51">
        <f>SUM(Revenue_Build!AY302:BJ302)</f>
        <v/>
      </c>
    </row>
    <row r="97"/>
    <row r="98">
      <c r="A98" s="19" t="inlineStr">
        <is>
          <t>Recurring revenue &amp; ARPA</t>
        </is>
      </c>
      <c r="B98" s="19" t="n"/>
      <c r="C98" s="19" t="n"/>
      <c r="D98" s="19" t="n"/>
      <c r="E98" s="19" t="n"/>
      <c r="F98" s="19" t="n"/>
      <c r="G98" s="19" t="n"/>
    </row>
    <row r="99">
      <c r="A99" s="4" t="inlineStr">
        <is>
          <t>Net subscription MRR (September)</t>
        </is>
      </c>
      <c r="B99" s="17" t="inlineStr">
        <is>
          <t>R</t>
        </is>
      </c>
      <c r="C99" s="47">
        <f>Revenue_Build!N381</f>
        <v/>
      </c>
      <c r="D99" s="47">
        <f>Revenue_Build!Z381</f>
        <v/>
      </c>
      <c r="E99" s="47">
        <f>Revenue_Build!AL381</f>
        <v/>
      </c>
      <c r="F99" s="47">
        <f>Revenue_Build!AX381</f>
        <v/>
      </c>
      <c r="G99" s="47">
        <f>Revenue_Build!BJ381</f>
        <v/>
      </c>
    </row>
    <row r="100">
      <c r="A100" s="3" t="inlineStr">
        <is>
          <t>Subscription ARR (Sept net MRR x 12)</t>
        </is>
      </c>
      <c r="B100" s="17" t="inlineStr">
        <is>
          <t>R</t>
        </is>
      </c>
      <c r="C100" s="48">
        <f>C99*12</f>
        <v/>
      </c>
      <c r="D100" s="48">
        <f>D99*12</f>
        <v/>
      </c>
      <c r="E100" s="48">
        <f>E99*12</f>
        <v/>
      </c>
      <c r="F100" s="48">
        <f>F99*12</f>
        <v/>
      </c>
      <c r="G100" s="48">
        <f>G99*12</f>
        <v/>
      </c>
    </row>
    <row r="101">
      <c r="A101" s="4" t="inlineStr">
        <is>
          <t>Subscription ARR (US$)</t>
        </is>
      </c>
      <c r="B101" s="17" t="inlineStr">
        <is>
          <t>US$</t>
        </is>
      </c>
      <c r="C101" s="49">
        <f>C100/Assumptions!$B$10</f>
        <v/>
      </c>
      <c r="D101" s="49">
        <f>D100/Assumptions!$B$10</f>
        <v/>
      </c>
      <c r="E101" s="49">
        <f>E100/Assumptions!$B$10</f>
        <v/>
      </c>
      <c r="F101" s="49">
        <f>F100/Assumptions!$B$10</f>
        <v/>
      </c>
      <c r="G101" s="49">
        <f>G100/Assumptions!$B$10</f>
        <v/>
      </c>
    </row>
    <row r="102">
      <c r="A102" s="4" t="inlineStr">
        <is>
          <t>Blended subscription ARPA (net)</t>
        </is>
      </c>
      <c r="B102" s="17" t="inlineStr">
        <is>
          <t>R / workspace / month</t>
        </is>
      </c>
      <c r="C102" s="47">
        <f>IF(SUM(Revenue_Build!C301:N301)=0,0,SUM('P&amp;L'!C11:N11)/SUM(Revenue_Build!C301:N301))</f>
        <v/>
      </c>
      <c r="D102" s="47">
        <f>IF(SUM(Revenue_Build!O301:Z301)=0,0,SUM('P&amp;L'!O11:Z11)/SUM(Revenue_Build!O301:Z301))</f>
        <v/>
      </c>
      <c r="E102" s="47">
        <f>IF(SUM(Revenue_Build!AA301:AL301)=0,0,SUM('P&amp;L'!AA11:AL11)/SUM(Revenue_Build!AA301:AL301))</f>
        <v/>
      </c>
      <c r="F102" s="47">
        <f>IF(SUM(Revenue_Build!AM301:AX301)=0,0,SUM('P&amp;L'!AM11:AX11)/SUM(Revenue_Build!AM301:AX301))</f>
        <v/>
      </c>
      <c r="G102" s="47">
        <f>IF(SUM(Revenue_Build!AY301:BJ301)=0,0,SUM('P&amp;L'!AY11:BJ11)/SUM(Revenue_Build!AY301:BJ301))</f>
        <v/>
      </c>
    </row>
    <row r="103">
      <c r="A103" s="4" t="inlineStr">
        <is>
          <t>Total revenue per workspace</t>
        </is>
      </c>
      <c r="B103" s="17" t="inlineStr">
        <is>
          <t>R / workspace / month</t>
        </is>
      </c>
      <c r="C103" s="47">
        <f>IF(SUM(Revenue_Build!C301:N301)=0,0,SUM('P&amp;L'!C17:N17)/SUM(Revenue_Build!C301:N301))</f>
        <v/>
      </c>
      <c r="D103" s="47">
        <f>IF(SUM(Revenue_Build!O301:Z301)=0,0,SUM('P&amp;L'!O17:Z17)/SUM(Revenue_Build!O301:Z301))</f>
        <v/>
      </c>
      <c r="E103" s="47">
        <f>IF(SUM(Revenue_Build!AA301:AL301)=0,0,SUM('P&amp;L'!AA17:AL17)/SUM(Revenue_Build!AA301:AL301))</f>
        <v/>
      </c>
      <c r="F103" s="47">
        <f>IF(SUM(Revenue_Build!AM301:AX301)=0,0,SUM('P&amp;L'!AM17:AX17)/SUM(Revenue_Build!AM301:AX301))</f>
        <v/>
      </c>
      <c r="G103" s="47">
        <f>IF(SUM(Revenue_Build!AY301:BJ301)=0,0,SUM('P&amp;L'!AY17:BJ17)/SUM(Revenue_Build!AY301:BJ301))</f>
        <v/>
      </c>
    </row>
    <row r="104"/>
    <row r="105">
      <c r="A105" s="19" t="inlineStr">
        <is>
          <t>Team</t>
        </is>
      </c>
      <c r="B105" s="19" t="n"/>
      <c r="C105" s="19" t="n"/>
      <c r="D105" s="19" t="n"/>
      <c r="E105" s="19" t="n"/>
      <c r="F105" s="19" t="n"/>
      <c r="G105" s="19" t="n"/>
    </row>
    <row r="106">
      <c r="A106" s="4" t="inlineStr">
        <is>
          <t>Headcount at end of FY</t>
        </is>
      </c>
      <c r="B106" s="17" t="inlineStr">
        <is>
          <t>FTE</t>
        </is>
      </c>
      <c r="C106" s="51">
        <f>Costs!N75</f>
        <v/>
      </c>
      <c r="D106" s="51">
        <f>Costs!Z75</f>
        <v/>
      </c>
      <c r="E106" s="51">
        <f>Costs!AL75</f>
        <v/>
      </c>
      <c r="F106" s="51">
        <f>Costs!AX75</f>
        <v/>
      </c>
      <c r="G106" s="51">
        <f>Costs!BJ75</f>
        <v/>
      </c>
    </row>
    <row r="107">
      <c r="A107" s="4" t="inlineStr">
        <is>
          <t>Revenue per FTE (end-of-FY headcount)</t>
        </is>
      </c>
      <c r="B107" s="17" t="inlineStr">
        <is>
          <t>R</t>
        </is>
      </c>
      <c r="C107" s="47">
        <f>IF(C106=0,0,C17/C106)</f>
        <v/>
      </c>
      <c r="D107" s="47">
        <f>IF(D106=0,0,D17/D106)</f>
        <v/>
      </c>
      <c r="E107" s="47">
        <f>IF(E106=0,0,E17/E106)</f>
        <v/>
      </c>
      <c r="F107" s="47">
        <f>IF(F106=0,0,F17/F106)</f>
        <v/>
      </c>
      <c r="G107" s="47">
        <f>IF(G106=0,0,G17/G106)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7474F"/>
    <outlinePr summaryBelow="1" summaryRight="1"/>
    <pageSetUpPr/>
  </sheetPr>
  <dimension ref="A1:BJ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30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16" t="inlineStr">
        <is>
          <t>Cash Flow</t>
        </is>
      </c>
    </row>
    <row r="2">
      <c r="A2" s="17" t="inlineStr">
        <is>
          <t>Monthly cash flow &amp; funding (R25M seed only), R3.0M buffer test, runway and key outputs.</t>
        </is>
      </c>
    </row>
    <row r="3">
      <c r="A3" s="6" t="inlineStr">
        <is>
          <t>Month #</t>
        </is>
      </c>
      <c r="B3" s="6" t="inlineStr">
        <is>
          <t>Unit</t>
        </is>
      </c>
      <c r="C3" s="37" t="n">
        <v>1</v>
      </c>
      <c r="D3" s="37" t="n">
        <v>2</v>
      </c>
      <c r="E3" s="37" t="n">
        <v>3</v>
      </c>
      <c r="F3" s="37" t="n">
        <v>4</v>
      </c>
      <c r="G3" s="37" t="n">
        <v>5</v>
      </c>
      <c r="H3" s="37" t="n">
        <v>6</v>
      </c>
      <c r="I3" s="37" t="n">
        <v>7</v>
      </c>
      <c r="J3" s="37" t="n">
        <v>8</v>
      </c>
      <c r="K3" s="37" t="n">
        <v>9</v>
      </c>
      <c r="L3" s="37" t="n">
        <v>10</v>
      </c>
      <c r="M3" s="37" t="n">
        <v>11</v>
      </c>
      <c r="N3" s="37" t="n">
        <v>12</v>
      </c>
      <c r="O3" s="37" t="n">
        <v>13</v>
      </c>
      <c r="P3" s="37" t="n">
        <v>14</v>
      </c>
      <c r="Q3" s="37" t="n">
        <v>15</v>
      </c>
      <c r="R3" s="37" t="n">
        <v>16</v>
      </c>
      <c r="S3" s="37" t="n">
        <v>17</v>
      </c>
      <c r="T3" s="37" t="n">
        <v>18</v>
      </c>
      <c r="U3" s="37" t="n">
        <v>19</v>
      </c>
      <c r="V3" s="37" t="n">
        <v>20</v>
      </c>
      <c r="W3" s="37" t="n">
        <v>21</v>
      </c>
      <c r="X3" s="37" t="n">
        <v>22</v>
      </c>
      <c r="Y3" s="37" t="n">
        <v>23</v>
      </c>
      <c r="Z3" s="37" t="n">
        <v>24</v>
      </c>
      <c r="AA3" s="37" t="n">
        <v>25</v>
      </c>
      <c r="AB3" s="37" t="n">
        <v>26</v>
      </c>
      <c r="AC3" s="37" t="n">
        <v>27</v>
      </c>
      <c r="AD3" s="37" t="n">
        <v>28</v>
      </c>
      <c r="AE3" s="37" t="n">
        <v>29</v>
      </c>
      <c r="AF3" s="37" t="n">
        <v>30</v>
      </c>
      <c r="AG3" s="37" t="n">
        <v>31</v>
      </c>
      <c r="AH3" s="37" t="n">
        <v>32</v>
      </c>
      <c r="AI3" s="37" t="n">
        <v>33</v>
      </c>
      <c r="AJ3" s="37" t="n">
        <v>34</v>
      </c>
      <c r="AK3" s="37" t="n">
        <v>35</v>
      </c>
      <c r="AL3" s="37" t="n">
        <v>36</v>
      </c>
      <c r="AM3" s="37" t="n">
        <v>37</v>
      </c>
      <c r="AN3" s="37" t="n">
        <v>38</v>
      </c>
      <c r="AO3" s="37" t="n">
        <v>39</v>
      </c>
      <c r="AP3" s="37" t="n">
        <v>40</v>
      </c>
      <c r="AQ3" s="37" t="n">
        <v>41</v>
      </c>
      <c r="AR3" s="37" t="n">
        <v>42</v>
      </c>
      <c r="AS3" s="37" t="n">
        <v>43</v>
      </c>
      <c r="AT3" s="37" t="n">
        <v>44</v>
      </c>
      <c r="AU3" s="37" t="n">
        <v>45</v>
      </c>
      <c r="AV3" s="37" t="n">
        <v>46</v>
      </c>
      <c r="AW3" s="37" t="n">
        <v>47</v>
      </c>
      <c r="AX3" s="37" t="n">
        <v>48</v>
      </c>
      <c r="AY3" s="37" t="n">
        <v>49</v>
      </c>
      <c r="AZ3" s="37" t="n">
        <v>50</v>
      </c>
      <c r="BA3" s="37" t="n">
        <v>51</v>
      </c>
      <c r="BB3" s="37" t="n">
        <v>52</v>
      </c>
      <c r="BC3" s="37" t="n">
        <v>53</v>
      </c>
      <c r="BD3" s="37" t="n">
        <v>54</v>
      </c>
      <c r="BE3" s="37" t="n">
        <v>55</v>
      </c>
      <c r="BF3" s="37" t="n">
        <v>56</v>
      </c>
      <c r="BG3" s="37" t="n">
        <v>57</v>
      </c>
      <c r="BH3" s="37" t="n">
        <v>58</v>
      </c>
      <c r="BI3" s="37" t="n">
        <v>59</v>
      </c>
      <c r="BJ3" s="37" t="n">
        <v>60</v>
      </c>
    </row>
    <row r="4">
      <c r="A4" s="6" t="inlineStr">
        <is>
          <t>Month</t>
        </is>
      </c>
      <c r="B4" s="6" t="inlineStr"/>
      <c r="C4" s="38" t="inlineStr">
        <is>
          <t>Oct 2026</t>
        </is>
      </c>
      <c r="D4" s="38" t="inlineStr">
        <is>
          <t>Nov 2026</t>
        </is>
      </c>
      <c r="E4" s="38" t="inlineStr">
        <is>
          <t>Dec 2026</t>
        </is>
      </c>
      <c r="F4" s="38" t="inlineStr">
        <is>
          <t>Jan 2027</t>
        </is>
      </c>
      <c r="G4" s="38" t="inlineStr">
        <is>
          <t>Feb 2027</t>
        </is>
      </c>
      <c r="H4" s="38" t="inlineStr">
        <is>
          <t>Mar 2027</t>
        </is>
      </c>
      <c r="I4" s="38" t="inlineStr">
        <is>
          <t>Apr 2027</t>
        </is>
      </c>
      <c r="J4" s="38" t="inlineStr">
        <is>
          <t>May 2027</t>
        </is>
      </c>
      <c r="K4" s="38" t="inlineStr">
        <is>
          <t>Jun 2027</t>
        </is>
      </c>
      <c r="L4" s="38" t="inlineStr">
        <is>
          <t>Jul 2027</t>
        </is>
      </c>
      <c r="M4" s="38" t="inlineStr">
        <is>
          <t>Aug 2027</t>
        </is>
      </c>
      <c r="N4" s="38" t="inlineStr">
        <is>
          <t>Sep 2027</t>
        </is>
      </c>
      <c r="O4" s="38" t="inlineStr">
        <is>
          <t>Oct 2027</t>
        </is>
      </c>
      <c r="P4" s="38" t="inlineStr">
        <is>
          <t>Nov 2027</t>
        </is>
      </c>
      <c r="Q4" s="38" t="inlineStr">
        <is>
          <t>Dec 2027</t>
        </is>
      </c>
      <c r="R4" s="38" t="inlineStr">
        <is>
          <t>Jan 2028</t>
        </is>
      </c>
      <c r="S4" s="38" t="inlineStr">
        <is>
          <t>Feb 2028</t>
        </is>
      </c>
      <c r="T4" s="38" t="inlineStr">
        <is>
          <t>Mar 2028</t>
        </is>
      </c>
      <c r="U4" s="38" t="inlineStr">
        <is>
          <t>Apr 2028</t>
        </is>
      </c>
      <c r="V4" s="38" t="inlineStr">
        <is>
          <t>May 2028</t>
        </is>
      </c>
      <c r="W4" s="38" t="inlineStr">
        <is>
          <t>Jun 2028</t>
        </is>
      </c>
      <c r="X4" s="38" t="inlineStr">
        <is>
          <t>Jul 2028</t>
        </is>
      </c>
      <c r="Y4" s="38" t="inlineStr">
        <is>
          <t>Aug 2028</t>
        </is>
      </c>
      <c r="Z4" s="38" t="inlineStr">
        <is>
          <t>Sep 2028</t>
        </is>
      </c>
      <c r="AA4" s="38" t="inlineStr">
        <is>
          <t>Oct 2028</t>
        </is>
      </c>
      <c r="AB4" s="38" t="inlineStr">
        <is>
          <t>Nov 2028</t>
        </is>
      </c>
      <c r="AC4" s="38" t="inlineStr">
        <is>
          <t>Dec 2028</t>
        </is>
      </c>
      <c r="AD4" s="38" t="inlineStr">
        <is>
          <t>Jan 2029</t>
        </is>
      </c>
      <c r="AE4" s="38" t="inlineStr">
        <is>
          <t>Feb 2029</t>
        </is>
      </c>
      <c r="AF4" s="38" t="inlineStr">
        <is>
          <t>Mar 2029</t>
        </is>
      </c>
      <c r="AG4" s="38" t="inlineStr">
        <is>
          <t>Apr 2029</t>
        </is>
      </c>
      <c r="AH4" s="38" t="inlineStr">
        <is>
          <t>May 2029</t>
        </is>
      </c>
      <c r="AI4" s="38" t="inlineStr">
        <is>
          <t>Jun 2029</t>
        </is>
      </c>
      <c r="AJ4" s="38" t="inlineStr">
        <is>
          <t>Jul 2029</t>
        </is>
      </c>
      <c r="AK4" s="38" t="inlineStr">
        <is>
          <t>Aug 2029</t>
        </is>
      </c>
      <c r="AL4" s="38" t="inlineStr">
        <is>
          <t>Sep 2029</t>
        </is>
      </c>
      <c r="AM4" s="38" t="inlineStr">
        <is>
          <t>Oct 2029</t>
        </is>
      </c>
      <c r="AN4" s="38" t="inlineStr">
        <is>
          <t>Nov 2029</t>
        </is>
      </c>
      <c r="AO4" s="38" t="inlineStr">
        <is>
          <t>Dec 2029</t>
        </is>
      </c>
      <c r="AP4" s="38" t="inlineStr">
        <is>
          <t>Jan 2030</t>
        </is>
      </c>
      <c r="AQ4" s="38" t="inlineStr">
        <is>
          <t>Feb 2030</t>
        </is>
      </c>
      <c r="AR4" s="38" t="inlineStr">
        <is>
          <t>Mar 2030</t>
        </is>
      </c>
      <c r="AS4" s="38" t="inlineStr">
        <is>
          <t>Apr 2030</t>
        </is>
      </c>
      <c r="AT4" s="38" t="inlineStr">
        <is>
          <t>May 2030</t>
        </is>
      </c>
      <c r="AU4" s="38" t="inlineStr">
        <is>
          <t>Jun 2030</t>
        </is>
      </c>
      <c r="AV4" s="38" t="inlineStr">
        <is>
          <t>Jul 2030</t>
        </is>
      </c>
      <c r="AW4" s="38" t="inlineStr">
        <is>
          <t>Aug 2030</t>
        </is>
      </c>
      <c r="AX4" s="38" t="inlineStr">
        <is>
          <t>Sep 2030</t>
        </is>
      </c>
      <c r="AY4" s="38" t="inlineStr">
        <is>
          <t>Oct 2030</t>
        </is>
      </c>
      <c r="AZ4" s="38" t="inlineStr">
        <is>
          <t>Nov 2030</t>
        </is>
      </c>
      <c r="BA4" s="38" t="inlineStr">
        <is>
          <t>Dec 2030</t>
        </is>
      </c>
      <c r="BB4" s="38" t="inlineStr">
        <is>
          <t>Jan 2031</t>
        </is>
      </c>
      <c r="BC4" s="38" t="inlineStr">
        <is>
          <t>Feb 2031</t>
        </is>
      </c>
      <c r="BD4" s="38" t="inlineStr">
        <is>
          <t>Mar 2031</t>
        </is>
      </c>
      <c r="BE4" s="38" t="inlineStr">
        <is>
          <t>Apr 2031</t>
        </is>
      </c>
      <c r="BF4" s="38" t="inlineStr">
        <is>
          <t>May 2031</t>
        </is>
      </c>
      <c r="BG4" s="38" t="inlineStr">
        <is>
          <t>Jun 2031</t>
        </is>
      </c>
      <c r="BH4" s="38" t="inlineStr">
        <is>
          <t>Jul 2031</t>
        </is>
      </c>
      <c r="BI4" s="38" t="inlineStr">
        <is>
          <t>Aug 2031</t>
        </is>
      </c>
      <c r="BJ4" s="38" t="inlineStr">
        <is>
          <t>Sep 2031</t>
        </is>
      </c>
    </row>
    <row r="5">
      <c r="A5" s="3" t="inlineStr">
        <is>
          <t>Fiscal year (Oct-Sep)</t>
        </is>
      </c>
      <c r="C5" s="39" t="n">
        <v>1</v>
      </c>
      <c r="D5" s="39" t="n">
        <v>1</v>
      </c>
      <c r="E5" s="39" t="n">
        <v>1</v>
      </c>
      <c r="F5" s="39" t="n">
        <v>1</v>
      </c>
      <c r="G5" s="39" t="n">
        <v>1</v>
      </c>
      <c r="H5" s="39" t="n">
        <v>1</v>
      </c>
      <c r="I5" s="39" t="n">
        <v>1</v>
      </c>
      <c r="J5" s="39" t="n">
        <v>1</v>
      </c>
      <c r="K5" s="39" t="n">
        <v>1</v>
      </c>
      <c r="L5" s="39" t="n">
        <v>1</v>
      </c>
      <c r="M5" s="39" t="n">
        <v>1</v>
      </c>
      <c r="N5" s="39" t="n">
        <v>1</v>
      </c>
      <c r="O5" s="39" t="n">
        <v>2</v>
      </c>
      <c r="P5" s="39" t="n">
        <v>2</v>
      </c>
      <c r="Q5" s="39" t="n">
        <v>2</v>
      </c>
      <c r="R5" s="39" t="n">
        <v>2</v>
      </c>
      <c r="S5" s="39" t="n">
        <v>2</v>
      </c>
      <c r="T5" s="39" t="n">
        <v>2</v>
      </c>
      <c r="U5" s="39" t="n">
        <v>2</v>
      </c>
      <c r="V5" s="39" t="n">
        <v>2</v>
      </c>
      <c r="W5" s="39" t="n">
        <v>2</v>
      </c>
      <c r="X5" s="39" t="n">
        <v>2</v>
      </c>
      <c r="Y5" s="39" t="n">
        <v>2</v>
      </c>
      <c r="Z5" s="39" t="n">
        <v>2</v>
      </c>
      <c r="AA5" s="39" t="n">
        <v>3</v>
      </c>
      <c r="AB5" s="39" t="n">
        <v>3</v>
      </c>
      <c r="AC5" s="39" t="n">
        <v>3</v>
      </c>
      <c r="AD5" s="39" t="n">
        <v>3</v>
      </c>
      <c r="AE5" s="39" t="n">
        <v>3</v>
      </c>
      <c r="AF5" s="39" t="n">
        <v>3</v>
      </c>
      <c r="AG5" s="39" t="n">
        <v>3</v>
      </c>
      <c r="AH5" s="39" t="n">
        <v>3</v>
      </c>
      <c r="AI5" s="39" t="n">
        <v>3</v>
      </c>
      <c r="AJ5" s="39" t="n">
        <v>3</v>
      </c>
      <c r="AK5" s="39" t="n">
        <v>3</v>
      </c>
      <c r="AL5" s="39" t="n">
        <v>3</v>
      </c>
      <c r="AM5" s="39" t="n">
        <v>4</v>
      </c>
      <c r="AN5" s="39" t="n">
        <v>4</v>
      </c>
      <c r="AO5" s="39" t="n">
        <v>4</v>
      </c>
      <c r="AP5" s="39" t="n">
        <v>4</v>
      </c>
      <c r="AQ5" s="39" t="n">
        <v>4</v>
      </c>
      <c r="AR5" s="39" t="n">
        <v>4</v>
      </c>
      <c r="AS5" s="39" t="n">
        <v>4</v>
      </c>
      <c r="AT5" s="39" t="n">
        <v>4</v>
      </c>
      <c r="AU5" s="39" t="n">
        <v>4</v>
      </c>
      <c r="AV5" s="39" t="n">
        <v>4</v>
      </c>
      <c r="AW5" s="39" t="n">
        <v>4</v>
      </c>
      <c r="AX5" s="39" t="n">
        <v>4</v>
      </c>
      <c r="AY5" s="39" t="n">
        <v>5</v>
      </c>
      <c r="AZ5" s="39" t="n">
        <v>5</v>
      </c>
      <c r="BA5" s="39" t="n">
        <v>5</v>
      </c>
      <c r="BB5" s="39" t="n">
        <v>5</v>
      </c>
      <c r="BC5" s="39" t="n">
        <v>5</v>
      </c>
      <c r="BD5" s="39" t="n">
        <v>5</v>
      </c>
      <c r="BE5" s="39" t="n">
        <v>5</v>
      </c>
      <c r="BF5" s="39" t="n">
        <v>5</v>
      </c>
      <c r="BG5" s="39" t="n">
        <v>5</v>
      </c>
      <c r="BH5" s="39" t="n">
        <v>5</v>
      </c>
      <c r="BI5" s="39" t="n">
        <v>5</v>
      </c>
      <c r="BJ5" s="39" t="n">
        <v>5</v>
      </c>
    </row>
    <row r="6"/>
    <row r="7">
      <c r="A7" s="19" t="inlineStr">
        <is>
          <t>Operating cash flow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</row>
    <row r="8">
      <c r="A8" s="4" t="inlineStr">
        <is>
          <t>EBITDA</t>
        </is>
      </c>
      <c r="B8" s="17" t="inlineStr">
        <is>
          <t>R</t>
        </is>
      </c>
      <c r="C8" s="8">
        <f>'P&amp;L'!C46</f>
        <v/>
      </c>
      <c r="D8" s="8">
        <f>'P&amp;L'!D46</f>
        <v/>
      </c>
      <c r="E8" s="8">
        <f>'P&amp;L'!E46</f>
        <v/>
      </c>
      <c r="F8" s="8">
        <f>'P&amp;L'!F46</f>
        <v/>
      </c>
      <c r="G8" s="8">
        <f>'P&amp;L'!G46</f>
        <v/>
      </c>
      <c r="H8" s="8">
        <f>'P&amp;L'!H46</f>
        <v/>
      </c>
      <c r="I8" s="8">
        <f>'P&amp;L'!I46</f>
        <v/>
      </c>
      <c r="J8" s="8">
        <f>'P&amp;L'!J46</f>
        <v/>
      </c>
      <c r="K8" s="8">
        <f>'P&amp;L'!K46</f>
        <v/>
      </c>
      <c r="L8" s="8">
        <f>'P&amp;L'!L46</f>
        <v/>
      </c>
      <c r="M8" s="8">
        <f>'P&amp;L'!M46</f>
        <v/>
      </c>
      <c r="N8" s="8">
        <f>'P&amp;L'!N46</f>
        <v/>
      </c>
      <c r="O8" s="8">
        <f>'P&amp;L'!O46</f>
        <v/>
      </c>
      <c r="P8" s="8">
        <f>'P&amp;L'!P46</f>
        <v/>
      </c>
      <c r="Q8" s="8">
        <f>'P&amp;L'!Q46</f>
        <v/>
      </c>
      <c r="R8" s="8">
        <f>'P&amp;L'!R46</f>
        <v/>
      </c>
      <c r="S8" s="8">
        <f>'P&amp;L'!S46</f>
        <v/>
      </c>
      <c r="T8" s="8">
        <f>'P&amp;L'!T46</f>
        <v/>
      </c>
      <c r="U8" s="8">
        <f>'P&amp;L'!U46</f>
        <v/>
      </c>
      <c r="V8" s="8">
        <f>'P&amp;L'!V46</f>
        <v/>
      </c>
      <c r="W8" s="8">
        <f>'P&amp;L'!W46</f>
        <v/>
      </c>
      <c r="X8" s="8">
        <f>'P&amp;L'!X46</f>
        <v/>
      </c>
      <c r="Y8" s="8">
        <f>'P&amp;L'!Y46</f>
        <v/>
      </c>
      <c r="Z8" s="8">
        <f>'P&amp;L'!Z46</f>
        <v/>
      </c>
      <c r="AA8" s="8">
        <f>'P&amp;L'!AA46</f>
        <v/>
      </c>
      <c r="AB8" s="8">
        <f>'P&amp;L'!AB46</f>
        <v/>
      </c>
      <c r="AC8" s="8">
        <f>'P&amp;L'!AC46</f>
        <v/>
      </c>
      <c r="AD8" s="8">
        <f>'P&amp;L'!AD46</f>
        <v/>
      </c>
      <c r="AE8" s="8">
        <f>'P&amp;L'!AE46</f>
        <v/>
      </c>
      <c r="AF8" s="8">
        <f>'P&amp;L'!AF46</f>
        <v/>
      </c>
      <c r="AG8" s="8">
        <f>'P&amp;L'!AG46</f>
        <v/>
      </c>
      <c r="AH8" s="8">
        <f>'P&amp;L'!AH46</f>
        <v/>
      </c>
      <c r="AI8" s="8">
        <f>'P&amp;L'!AI46</f>
        <v/>
      </c>
      <c r="AJ8" s="8">
        <f>'P&amp;L'!AJ46</f>
        <v/>
      </c>
      <c r="AK8" s="8">
        <f>'P&amp;L'!AK46</f>
        <v/>
      </c>
      <c r="AL8" s="8">
        <f>'P&amp;L'!AL46</f>
        <v/>
      </c>
      <c r="AM8" s="8">
        <f>'P&amp;L'!AM46</f>
        <v/>
      </c>
      <c r="AN8" s="8">
        <f>'P&amp;L'!AN46</f>
        <v/>
      </c>
      <c r="AO8" s="8">
        <f>'P&amp;L'!AO46</f>
        <v/>
      </c>
      <c r="AP8" s="8">
        <f>'P&amp;L'!AP46</f>
        <v/>
      </c>
      <c r="AQ8" s="8">
        <f>'P&amp;L'!AQ46</f>
        <v/>
      </c>
      <c r="AR8" s="8">
        <f>'P&amp;L'!AR46</f>
        <v/>
      </c>
      <c r="AS8" s="8">
        <f>'P&amp;L'!AS46</f>
        <v/>
      </c>
      <c r="AT8" s="8">
        <f>'P&amp;L'!AT46</f>
        <v/>
      </c>
      <c r="AU8" s="8">
        <f>'P&amp;L'!AU46</f>
        <v/>
      </c>
      <c r="AV8" s="8">
        <f>'P&amp;L'!AV46</f>
        <v/>
      </c>
      <c r="AW8" s="8">
        <f>'P&amp;L'!AW46</f>
        <v/>
      </c>
      <c r="AX8" s="8">
        <f>'P&amp;L'!AX46</f>
        <v/>
      </c>
      <c r="AY8" s="8">
        <f>'P&amp;L'!AY46</f>
        <v/>
      </c>
      <c r="AZ8" s="8">
        <f>'P&amp;L'!AZ46</f>
        <v/>
      </c>
      <c r="BA8" s="8">
        <f>'P&amp;L'!BA46</f>
        <v/>
      </c>
      <c r="BB8" s="8">
        <f>'P&amp;L'!BB46</f>
        <v/>
      </c>
      <c r="BC8" s="8">
        <f>'P&amp;L'!BC46</f>
        <v/>
      </c>
      <c r="BD8" s="8">
        <f>'P&amp;L'!BD46</f>
        <v/>
      </c>
      <c r="BE8" s="8">
        <f>'P&amp;L'!BE46</f>
        <v/>
      </c>
      <c r="BF8" s="8">
        <f>'P&amp;L'!BF46</f>
        <v/>
      </c>
      <c r="BG8" s="8">
        <f>'P&amp;L'!BG46</f>
        <v/>
      </c>
      <c r="BH8" s="8">
        <f>'P&amp;L'!BH46</f>
        <v/>
      </c>
      <c r="BI8" s="8">
        <f>'P&amp;L'!BI46</f>
        <v/>
      </c>
      <c r="BJ8" s="8">
        <f>'P&amp;L'!BJ46</f>
        <v/>
      </c>
    </row>
    <row r="9">
      <c r="A9" s="4" t="inlineStr">
        <is>
          <t>Tax paid (same month, simplified)</t>
        </is>
      </c>
      <c r="B9" s="17" t="inlineStr">
        <is>
          <t>R</t>
        </is>
      </c>
      <c r="C9" s="8">
        <f>-'P&amp;L'!C49</f>
        <v/>
      </c>
      <c r="D9" s="8">
        <f>-'P&amp;L'!D49</f>
        <v/>
      </c>
      <c r="E9" s="8">
        <f>-'P&amp;L'!E49</f>
        <v/>
      </c>
      <c r="F9" s="8">
        <f>-'P&amp;L'!F49</f>
        <v/>
      </c>
      <c r="G9" s="8">
        <f>-'P&amp;L'!G49</f>
        <v/>
      </c>
      <c r="H9" s="8">
        <f>-'P&amp;L'!H49</f>
        <v/>
      </c>
      <c r="I9" s="8">
        <f>-'P&amp;L'!I49</f>
        <v/>
      </c>
      <c r="J9" s="8">
        <f>-'P&amp;L'!J49</f>
        <v/>
      </c>
      <c r="K9" s="8">
        <f>-'P&amp;L'!K49</f>
        <v/>
      </c>
      <c r="L9" s="8">
        <f>-'P&amp;L'!L49</f>
        <v/>
      </c>
      <c r="M9" s="8">
        <f>-'P&amp;L'!M49</f>
        <v/>
      </c>
      <c r="N9" s="8">
        <f>-'P&amp;L'!N49</f>
        <v/>
      </c>
      <c r="O9" s="8">
        <f>-'P&amp;L'!O49</f>
        <v/>
      </c>
      <c r="P9" s="8">
        <f>-'P&amp;L'!P49</f>
        <v/>
      </c>
      <c r="Q9" s="8">
        <f>-'P&amp;L'!Q49</f>
        <v/>
      </c>
      <c r="R9" s="8">
        <f>-'P&amp;L'!R49</f>
        <v/>
      </c>
      <c r="S9" s="8">
        <f>-'P&amp;L'!S49</f>
        <v/>
      </c>
      <c r="T9" s="8">
        <f>-'P&amp;L'!T49</f>
        <v/>
      </c>
      <c r="U9" s="8">
        <f>-'P&amp;L'!U49</f>
        <v/>
      </c>
      <c r="V9" s="8">
        <f>-'P&amp;L'!V49</f>
        <v/>
      </c>
      <c r="W9" s="8">
        <f>-'P&amp;L'!W49</f>
        <v/>
      </c>
      <c r="X9" s="8">
        <f>-'P&amp;L'!X49</f>
        <v/>
      </c>
      <c r="Y9" s="8">
        <f>-'P&amp;L'!Y49</f>
        <v/>
      </c>
      <c r="Z9" s="8">
        <f>-'P&amp;L'!Z49</f>
        <v/>
      </c>
      <c r="AA9" s="8">
        <f>-'P&amp;L'!AA49</f>
        <v/>
      </c>
      <c r="AB9" s="8">
        <f>-'P&amp;L'!AB49</f>
        <v/>
      </c>
      <c r="AC9" s="8">
        <f>-'P&amp;L'!AC49</f>
        <v/>
      </c>
      <c r="AD9" s="8">
        <f>-'P&amp;L'!AD49</f>
        <v/>
      </c>
      <c r="AE9" s="8">
        <f>-'P&amp;L'!AE49</f>
        <v/>
      </c>
      <c r="AF9" s="8">
        <f>-'P&amp;L'!AF49</f>
        <v/>
      </c>
      <c r="AG9" s="8">
        <f>-'P&amp;L'!AG49</f>
        <v/>
      </c>
      <c r="AH9" s="8">
        <f>-'P&amp;L'!AH49</f>
        <v/>
      </c>
      <c r="AI9" s="8">
        <f>-'P&amp;L'!AI49</f>
        <v/>
      </c>
      <c r="AJ9" s="8">
        <f>-'P&amp;L'!AJ49</f>
        <v/>
      </c>
      <c r="AK9" s="8">
        <f>-'P&amp;L'!AK49</f>
        <v/>
      </c>
      <c r="AL9" s="8">
        <f>-'P&amp;L'!AL49</f>
        <v/>
      </c>
      <c r="AM9" s="8">
        <f>-'P&amp;L'!AM49</f>
        <v/>
      </c>
      <c r="AN9" s="8">
        <f>-'P&amp;L'!AN49</f>
        <v/>
      </c>
      <c r="AO9" s="8">
        <f>-'P&amp;L'!AO49</f>
        <v/>
      </c>
      <c r="AP9" s="8">
        <f>-'P&amp;L'!AP49</f>
        <v/>
      </c>
      <c r="AQ9" s="8">
        <f>-'P&amp;L'!AQ49</f>
        <v/>
      </c>
      <c r="AR9" s="8">
        <f>-'P&amp;L'!AR49</f>
        <v/>
      </c>
      <c r="AS9" s="8">
        <f>-'P&amp;L'!AS49</f>
        <v/>
      </c>
      <c r="AT9" s="8">
        <f>-'P&amp;L'!AT49</f>
        <v/>
      </c>
      <c r="AU9" s="8">
        <f>-'P&amp;L'!AU49</f>
        <v/>
      </c>
      <c r="AV9" s="8">
        <f>-'P&amp;L'!AV49</f>
        <v/>
      </c>
      <c r="AW9" s="8">
        <f>-'P&amp;L'!AW49</f>
        <v/>
      </c>
      <c r="AX9" s="8">
        <f>-'P&amp;L'!AX49</f>
        <v/>
      </c>
      <c r="AY9" s="8">
        <f>-'P&amp;L'!AY49</f>
        <v/>
      </c>
      <c r="AZ9" s="8">
        <f>-'P&amp;L'!AZ49</f>
        <v/>
      </c>
      <c r="BA9" s="8">
        <f>-'P&amp;L'!BA49</f>
        <v/>
      </c>
      <c r="BB9" s="8">
        <f>-'P&amp;L'!BB49</f>
        <v/>
      </c>
      <c r="BC9" s="8">
        <f>-'P&amp;L'!BC49</f>
        <v/>
      </c>
      <c r="BD9" s="8">
        <f>-'P&amp;L'!BD49</f>
        <v/>
      </c>
      <c r="BE9" s="8">
        <f>-'P&amp;L'!BE49</f>
        <v/>
      </c>
      <c r="BF9" s="8">
        <f>-'P&amp;L'!BF49</f>
        <v/>
      </c>
      <c r="BG9" s="8">
        <f>-'P&amp;L'!BG49</f>
        <v/>
      </c>
      <c r="BH9" s="8">
        <f>-'P&amp;L'!BH49</f>
        <v/>
      </c>
      <c r="BI9" s="8">
        <f>-'P&amp;L'!BI49</f>
        <v/>
      </c>
      <c r="BJ9" s="8">
        <f>-'P&amp;L'!BJ49</f>
        <v/>
      </c>
    </row>
    <row r="10">
      <c r="A10" s="4" t="inlineStr">
        <is>
          <t>Deferred revenue balance (annual self-serve plans: Solo + SME)</t>
        </is>
      </c>
      <c r="B10" s="17" t="inlineStr">
        <is>
          <t>R</t>
        </is>
      </c>
      <c r="C10" s="8">
        <f>(Revenue_Build!C343+Revenue_Build!C344)*Pricing!$B$13*Assumptions!$B$202</f>
        <v/>
      </c>
      <c r="D10" s="8">
        <f>(Revenue_Build!D343+Revenue_Build!D344)*Pricing!$B$13*Assumptions!$B$202</f>
        <v/>
      </c>
      <c r="E10" s="8">
        <f>(Revenue_Build!E343+Revenue_Build!E344)*Pricing!$B$13*Assumptions!$B$202</f>
        <v/>
      </c>
      <c r="F10" s="8">
        <f>(Revenue_Build!F343+Revenue_Build!F344)*Pricing!$B$13*Assumptions!$B$202</f>
        <v/>
      </c>
      <c r="G10" s="8">
        <f>(Revenue_Build!G343+Revenue_Build!G344)*Pricing!$B$13*Assumptions!$B$202</f>
        <v/>
      </c>
      <c r="H10" s="8">
        <f>(Revenue_Build!H343+Revenue_Build!H344)*Pricing!$B$13*Assumptions!$B$202</f>
        <v/>
      </c>
      <c r="I10" s="8">
        <f>(Revenue_Build!I343+Revenue_Build!I344)*Pricing!$B$13*Assumptions!$B$202</f>
        <v/>
      </c>
      <c r="J10" s="8">
        <f>(Revenue_Build!J343+Revenue_Build!J344)*Pricing!$B$13*Assumptions!$B$202</f>
        <v/>
      </c>
      <c r="K10" s="8">
        <f>(Revenue_Build!K343+Revenue_Build!K344)*Pricing!$B$13*Assumptions!$B$202</f>
        <v/>
      </c>
      <c r="L10" s="8">
        <f>(Revenue_Build!L343+Revenue_Build!L344)*Pricing!$B$13*Assumptions!$B$202</f>
        <v/>
      </c>
      <c r="M10" s="8">
        <f>(Revenue_Build!M343+Revenue_Build!M344)*Pricing!$B$13*Assumptions!$B$202</f>
        <v/>
      </c>
      <c r="N10" s="8">
        <f>(Revenue_Build!N343+Revenue_Build!N344)*Pricing!$B$13*Assumptions!$B$202</f>
        <v/>
      </c>
      <c r="O10" s="8">
        <f>(Revenue_Build!O343+Revenue_Build!O344)*Pricing!$B$13*Assumptions!$B$202</f>
        <v/>
      </c>
      <c r="P10" s="8">
        <f>(Revenue_Build!P343+Revenue_Build!P344)*Pricing!$B$13*Assumptions!$B$202</f>
        <v/>
      </c>
      <c r="Q10" s="8">
        <f>(Revenue_Build!Q343+Revenue_Build!Q344)*Pricing!$B$13*Assumptions!$B$202</f>
        <v/>
      </c>
      <c r="R10" s="8">
        <f>(Revenue_Build!R343+Revenue_Build!R344)*Pricing!$B$13*Assumptions!$B$202</f>
        <v/>
      </c>
      <c r="S10" s="8">
        <f>(Revenue_Build!S343+Revenue_Build!S344)*Pricing!$B$13*Assumptions!$B$202</f>
        <v/>
      </c>
      <c r="T10" s="8">
        <f>(Revenue_Build!T343+Revenue_Build!T344)*Pricing!$B$13*Assumptions!$B$202</f>
        <v/>
      </c>
      <c r="U10" s="8">
        <f>(Revenue_Build!U343+Revenue_Build!U344)*Pricing!$B$13*Assumptions!$B$202</f>
        <v/>
      </c>
      <c r="V10" s="8">
        <f>(Revenue_Build!V343+Revenue_Build!V344)*Pricing!$B$13*Assumptions!$B$202</f>
        <v/>
      </c>
      <c r="W10" s="8">
        <f>(Revenue_Build!W343+Revenue_Build!W344)*Pricing!$B$13*Assumptions!$B$202</f>
        <v/>
      </c>
      <c r="X10" s="8">
        <f>(Revenue_Build!X343+Revenue_Build!X344)*Pricing!$B$13*Assumptions!$B$202</f>
        <v/>
      </c>
      <c r="Y10" s="8">
        <f>(Revenue_Build!Y343+Revenue_Build!Y344)*Pricing!$B$13*Assumptions!$B$202</f>
        <v/>
      </c>
      <c r="Z10" s="8">
        <f>(Revenue_Build!Z343+Revenue_Build!Z344)*Pricing!$B$13*Assumptions!$B$202</f>
        <v/>
      </c>
      <c r="AA10" s="8">
        <f>(Revenue_Build!AA343+Revenue_Build!AA344)*Pricing!$B$13*Assumptions!$B$202</f>
        <v/>
      </c>
      <c r="AB10" s="8">
        <f>(Revenue_Build!AB343+Revenue_Build!AB344)*Pricing!$B$13*Assumptions!$B$202</f>
        <v/>
      </c>
      <c r="AC10" s="8">
        <f>(Revenue_Build!AC343+Revenue_Build!AC344)*Pricing!$B$13*Assumptions!$B$202</f>
        <v/>
      </c>
      <c r="AD10" s="8">
        <f>(Revenue_Build!AD343+Revenue_Build!AD344)*Pricing!$B$13*Assumptions!$B$202</f>
        <v/>
      </c>
      <c r="AE10" s="8">
        <f>(Revenue_Build!AE343+Revenue_Build!AE344)*Pricing!$B$13*Assumptions!$B$202</f>
        <v/>
      </c>
      <c r="AF10" s="8">
        <f>(Revenue_Build!AF343+Revenue_Build!AF344)*Pricing!$B$13*Assumptions!$B$202</f>
        <v/>
      </c>
      <c r="AG10" s="8">
        <f>(Revenue_Build!AG343+Revenue_Build!AG344)*Pricing!$B$13*Assumptions!$B$202</f>
        <v/>
      </c>
      <c r="AH10" s="8">
        <f>(Revenue_Build!AH343+Revenue_Build!AH344)*Pricing!$B$13*Assumptions!$B$202</f>
        <v/>
      </c>
      <c r="AI10" s="8">
        <f>(Revenue_Build!AI343+Revenue_Build!AI344)*Pricing!$B$13*Assumptions!$B$202</f>
        <v/>
      </c>
      <c r="AJ10" s="8">
        <f>(Revenue_Build!AJ343+Revenue_Build!AJ344)*Pricing!$B$13*Assumptions!$B$202</f>
        <v/>
      </c>
      <c r="AK10" s="8">
        <f>(Revenue_Build!AK343+Revenue_Build!AK344)*Pricing!$B$13*Assumptions!$B$202</f>
        <v/>
      </c>
      <c r="AL10" s="8">
        <f>(Revenue_Build!AL343+Revenue_Build!AL344)*Pricing!$B$13*Assumptions!$B$202</f>
        <v/>
      </c>
      <c r="AM10" s="8">
        <f>(Revenue_Build!AM343+Revenue_Build!AM344)*Pricing!$B$13*Assumptions!$B$202</f>
        <v/>
      </c>
      <c r="AN10" s="8">
        <f>(Revenue_Build!AN343+Revenue_Build!AN344)*Pricing!$B$13*Assumptions!$B$202</f>
        <v/>
      </c>
      <c r="AO10" s="8">
        <f>(Revenue_Build!AO343+Revenue_Build!AO344)*Pricing!$B$13*Assumptions!$B$202</f>
        <v/>
      </c>
      <c r="AP10" s="8">
        <f>(Revenue_Build!AP343+Revenue_Build!AP344)*Pricing!$B$13*Assumptions!$B$202</f>
        <v/>
      </c>
      <c r="AQ10" s="8">
        <f>(Revenue_Build!AQ343+Revenue_Build!AQ344)*Pricing!$B$13*Assumptions!$B$202</f>
        <v/>
      </c>
      <c r="AR10" s="8">
        <f>(Revenue_Build!AR343+Revenue_Build!AR344)*Pricing!$B$13*Assumptions!$B$202</f>
        <v/>
      </c>
      <c r="AS10" s="8">
        <f>(Revenue_Build!AS343+Revenue_Build!AS344)*Pricing!$B$13*Assumptions!$B$202</f>
        <v/>
      </c>
      <c r="AT10" s="8">
        <f>(Revenue_Build!AT343+Revenue_Build!AT344)*Pricing!$B$13*Assumptions!$B$202</f>
        <v/>
      </c>
      <c r="AU10" s="8">
        <f>(Revenue_Build!AU343+Revenue_Build!AU344)*Pricing!$B$13*Assumptions!$B$202</f>
        <v/>
      </c>
      <c r="AV10" s="8">
        <f>(Revenue_Build!AV343+Revenue_Build!AV344)*Pricing!$B$13*Assumptions!$B$202</f>
        <v/>
      </c>
      <c r="AW10" s="8">
        <f>(Revenue_Build!AW343+Revenue_Build!AW344)*Pricing!$B$13*Assumptions!$B$202</f>
        <v/>
      </c>
      <c r="AX10" s="8">
        <f>(Revenue_Build!AX343+Revenue_Build!AX344)*Pricing!$B$13*Assumptions!$B$202</f>
        <v/>
      </c>
      <c r="AY10" s="8">
        <f>(Revenue_Build!AY343+Revenue_Build!AY344)*Pricing!$B$13*Assumptions!$B$202</f>
        <v/>
      </c>
      <c r="AZ10" s="8">
        <f>(Revenue_Build!AZ343+Revenue_Build!AZ344)*Pricing!$B$13*Assumptions!$B$202</f>
        <v/>
      </c>
      <c r="BA10" s="8">
        <f>(Revenue_Build!BA343+Revenue_Build!BA344)*Pricing!$B$13*Assumptions!$B$202</f>
        <v/>
      </c>
      <c r="BB10" s="8">
        <f>(Revenue_Build!BB343+Revenue_Build!BB344)*Pricing!$B$13*Assumptions!$B$202</f>
        <v/>
      </c>
      <c r="BC10" s="8">
        <f>(Revenue_Build!BC343+Revenue_Build!BC344)*Pricing!$B$13*Assumptions!$B$202</f>
        <v/>
      </c>
      <c r="BD10" s="8">
        <f>(Revenue_Build!BD343+Revenue_Build!BD344)*Pricing!$B$13*Assumptions!$B$202</f>
        <v/>
      </c>
      <c r="BE10" s="8">
        <f>(Revenue_Build!BE343+Revenue_Build!BE344)*Pricing!$B$13*Assumptions!$B$202</f>
        <v/>
      </c>
      <c r="BF10" s="8">
        <f>(Revenue_Build!BF343+Revenue_Build!BF344)*Pricing!$B$13*Assumptions!$B$202</f>
        <v/>
      </c>
      <c r="BG10" s="8">
        <f>(Revenue_Build!BG343+Revenue_Build!BG344)*Pricing!$B$13*Assumptions!$B$202</f>
        <v/>
      </c>
      <c r="BH10" s="8">
        <f>(Revenue_Build!BH343+Revenue_Build!BH344)*Pricing!$B$13*Assumptions!$B$202</f>
        <v/>
      </c>
      <c r="BI10" s="8">
        <f>(Revenue_Build!BI343+Revenue_Build!BI344)*Pricing!$B$13*Assumptions!$B$202</f>
        <v/>
      </c>
      <c r="BJ10" s="8">
        <f>(Revenue_Build!BJ343+Revenue_Build!BJ344)*Pricing!$B$13*Assumptions!$B$202</f>
        <v/>
      </c>
    </row>
    <row r="11">
      <c r="A11" s="4" t="inlineStr">
        <is>
          <t>Increase in deferred revenue</t>
        </is>
      </c>
      <c r="B11" s="17" t="inlineStr">
        <is>
          <t>R</t>
        </is>
      </c>
      <c r="C11" s="8">
        <f>C10</f>
        <v/>
      </c>
      <c r="D11" s="8">
        <f>D10-C10</f>
        <v/>
      </c>
      <c r="E11" s="8">
        <f>E10-D10</f>
        <v/>
      </c>
      <c r="F11" s="8">
        <f>F10-E10</f>
        <v/>
      </c>
      <c r="G11" s="8">
        <f>G10-F10</f>
        <v/>
      </c>
      <c r="H11" s="8">
        <f>H10-G10</f>
        <v/>
      </c>
      <c r="I11" s="8">
        <f>I10-H10</f>
        <v/>
      </c>
      <c r="J11" s="8">
        <f>J10-I10</f>
        <v/>
      </c>
      <c r="K11" s="8">
        <f>K10-J10</f>
        <v/>
      </c>
      <c r="L11" s="8">
        <f>L10-K10</f>
        <v/>
      </c>
      <c r="M11" s="8">
        <f>M10-L10</f>
        <v/>
      </c>
      <c r="N11" s="8">
        <f>N10-M10</f>
        <v/>
      </c>
      <c r="O11" s="8">
        <f>O10-N10</f>
        <v/>
      </c>
      <c r="P11" s="8">
        <f>P10-O10</f>
        <v/>
      </c>
      <c r="Q11" s="8">
        <f>Q10-P10</f>
        <v/>
      </c>
      <c r="R11" s="8">
        <f>R10-Q10</f>
        <v/>
      </c>
      <c r="S11" s="8">
        <f>S10-R10</f>
        <v/>
      </c>
      <c r="T11" s="8">
        <f>T10-S10</f>
        <v/>
      </c>
      <c r="U11" s="8">
        <f>U10-T10</f>
        <v/>
      </c>
      <c r="V11" s="8">
        <f>V10-U10</f>
        <v/>
      </c>
      <c r="W11" s="8">
        <f>W10-V10</f>
        <v/>
      </c>
      <c r="X11" s="8">
        <f>X10-W10</f>
        <v/>
      </c>
      <c r="Y11" s="8">
        <f>Y10-X10</f>
        <v/>
      </c>
      <c r="Z11" s="8">
        <f>Z10-Y10</f>
        <v/>
      </c>
      <c r="AA11" s="8">
        <f>AA10-Z10</f>
        <v/>
      </c>
      <c r="AB11" s="8">
        <f>AB10-AA10</f>
        <v/>
      </c>
      <c r="AC11" s="8">
        <f>AC10-AB10</f>
        <v/>
      </c>
      <c r="AD11" s="8">
        <f>AD10-AC10</f>
        <v/>
      </c>
      <c r="AE11" s="8">
        <f>AE10-AD10</f>
        <v/>
      </c>
      <c r="AF11" s="8">
        <f>AF10-AE10</f>
        <v/>
      </c>
      <c r="AG11" s="8">
        <f>AG10-AF10</f>
        <v/>
      </c>
      <c r="AH11" s="8">
        <f>AH10-AG10</f>
        <v/>
      </c>
      <c r="AI11" s="8">
        <f>AI10-AH10</f>
        <v/>
      </c>
      <c r="AJ11" s="8">
        <f>AJ10-AI10</f>
        <v/>
      </c>
      <c r="AK11" s="8">
        <f>AK10-AJ10</f>
        <v/>
      </c>
      <c r="AL11" s="8">
        <f>AL10-AK10</f>
        <v/>
      </c>
      <c r="AM11" s="8">
        <f>AM10-AL10</f>
        <v/>
      </c>
      <c r="AN11" s="8">
        <f>AN10-AM10</f>
        <v/>
      </c>
      <c r="AO11" s="8">
        <f>AO10-AN10</f>
        <v/>
      </c>
      <c r="AP11" s="8">
        <f>AP10-AO10</f>
        <v/>
      </c>
      <c r="AQ11" s="8">
        <f>AQ10-AP10</f>
        <v/>
      </c>
      <c r="AR11" s="8">
        <f>AR10-AQ10</f>
        <v/>
      </c>
      <c r="AS11" s="8">
        <f>AS10-AR10</f>
        <v/>
      </c>
      <c r="AT11" s="8">
        <f>AT10-AS10</f>
        <v/>
      </c>
      <c r="AU11" s="8">
        <f>AU10-AT10</f>
        <v/>
      </c>
      <c r="AV11" s="8">
        <f>AV10-AU10</f>
        <v/>
      </c>
      <c r="AW11" s="8">
        <f>AW10-AV10</f>
        <v/>
      </c>
      <c r="AX11" s="8">
        <f>AX10-AW10</f>
        <v/>
      </c>
      <c r="AY11" s="8">
        <f>AY10-AX10</f>
        <v/>
      </c>
      <c r="AZ11" s="8">
        <f>AZ10-AY10</f>
        <v/>
      </c>
      <c r="BA11" s="8">
        <f>BA10-AZ10</f>
        <v/>
      </c>
      <c r="BB11" s="8">
        <f>BB10-BA10</f>
        <v/>
      </c>
      <c r="BC11" s="8">
        <f>BC10-BB10</f>
        <v/>
      </c>
      <c r="BD11" s="8">
        <f>BD10-BC10</f>
        <v/>
      </c>
      <c r="BE11" s="8">
        <f>BE10-BD10</f>
        <v/>
      </c>
      <c r="BF11" s="8">
        <f>BF10-BE10</f>
        <v/>
      </c>
      <c r="BG11" s="8">
        <f>BG10-BF10</f>
        <v/>
      </c>
      <c r="BH11" s="8">
        <f>BH10-BG10</f>
        <v/>
      </c>
      <c r="BI11" s="8">
        <f>BI10-BH10</f>
        <v/>
      </c>
      <c r="BJ11" s="8">
        <f>BJ10-BI10</f>
        <v/>
      </c>
    </row>
    <row r="12">
      <c r="A12" s="4" t="inlineStr">
        <is>
          <t>Receivables balance (agency &amp; enterprise invoices)</t>
        </is>
      </c>
      <c r="B12" s="17" t="inlineStr">
        <is>
          <t>R</t>
        </is>
      </c>
      <c r="C12" s="8">
        <f>(Revenue_Build!C345+Revenue_Build!C346+Revenue_Build!C396+Revenue_Build!C397)*Assumptions!$B$203</f>
        <v/>
      </c>
      <c r="D12" s="8">
        <f>(Revenue_Build!D345+Revenue_Build!D346+Revenue_Build!D396+Revenue_Build!D397)*Assumptions!$B$203</f>
        <v/>
      </c>
      <c r="E12" s="8">
        <f>(Revenue_Build!E345+Revenue_Build!E346+Revenue_Build!E396+Revenue_Build!E397)*Assumptions!$B$203</f>
        <v/>
      </c>
      <c r="F12" s="8">
        <f>(Revenue_Build!F345+Revenue_Build!F346+Revenue_Build!F396+Revenue_Build!F397)*Assumptions!$B$203</f>
        <v/>
      </c>
      <c r="G12" s="8">
        <f>(Revenue_Build!G345+Revenue_Build!G346+Revenue_Build!G396+Revenue_Build!G397)*Assumptions!$B$203</f>
        <v/>
      </c>
      <c r="H12" s="8">
        <f>(Revenue_Build!H345+Revenue_Build!H346+Revenue_Build!H396+Revenue_Build!H397)*Assumptions!$B$203</f>
        <v/>
      </c>
      <c r="I12" s="8">
        <f>(Revenue_Build!I345+Revenue_Build!I346+Revenue_Build!I396+Revenue_Build!I397)*Assumptions!$B$203</f>
        <v/>
      </c>
      <c r="J12" s="8">
        <f>(Revenue_Build!J345+Revenue_Build!J346+Revenue_Build!J396+Revenue_Build!J397)*Assumptions!$B$203</f>
        <v/>
      </c>
      <c r="K12" s="8">
        <f>(Revenue_Build!K345+Revenue_Build!K346+Revenue_Build!K396+Revenue_Build!K397)*Assumptions!$B$203</f>
        <v/>
      </c>
      <c r="L12" s="8">
        <f>(Revenue_Build!L345+Revenue_Build!L346+Revenue_Build!L396+Revenue_Build!L397)*Assumptions!$B$203</f>
        <v/>
      </c>
      <c r="M12" s="8">
        <f>(Revenue_Build!M345+Revenue_Build!M346+Revenue_Build!M396+Revenue_Build!M397)*Assumptions!$B$203</f>
        <v/>
      </c>
      <c r="N12" s="8">
        <f>(Revenue_Build!N345+Revenue_Build!N346+Revenue_Build!N396+Revenue_Build!N397)*Assumptions!$B$203</f>
        <v/>
      </c>
      <c r="O12" s="8">
        <f>(Revenue_Build!O345+Revenue_Build!O346+Revenue_Build!O396+Revenue_Build!O397)*Assumptions!$B$203</f>
        <v/>
      </c>
      <c r="P12" s="8">
        <f>(Revenue_Build!P345+Revenue_Build!P346+Revenue_Build!P396+Revenue_Build!P397)*Assumptions!$B$203</f>
        <v/>
      </c>
      <c r="Q12" s="8">
        <f>(Revenue_Build!Q345+Revenue_Build!Q346+Revenue_Build!Q396+Revenue_Build!Q397)*Assumptions!$B$203</f>
        <v/>
      </c>
      <c r="R12" s="8">
        <f>(Revenue_Build!R345+Revenue_Build!R346+Revenue_Build!R396+Revenue_Build!R397)*Assumptions!$B$203</f>
        <v/>
      </c>
      <c r="S12" s="8">
        <f>(Revenue_Build!S345+Revenue_Build!S346+Revenue_Build!S396+Revenue_Build!S397)*Assumptions!$B$203</f>
        <v/>
      </c>
      <c r="T12" s="8">
        <f>(Revenue_Build!T345+Revenue_Build!T346+Revenue_Build!T396+Revenue_Build!T397)*Assumptions!$B$203</f>
        <v/>
      </c>
      <c r="U12" s="8">
        <f>(Revenue_Build!U345+Revenue_Build!U346+Revenue_Build!U396+Revenue_Build!U397)*Assumptions!$B$203</f>
        <v/>
      </c>
      <c r="V12" s="8">
        <f>(Revenue_Build!V345+Revenue_Build!V346+Revenue_Build!V396+Revenue_Build!V397)*Assumptions!$B$203</f>
        <v/>
      </c>
      <c r="W12" s="8">
        <f>(Revenue_Build!W345+Revenue_Build!W346+Revenue_Build!W396+Revenue_Build!W397)*Assumptions!$B$203</f>
        <v/>
      </c>
      <c r="X12" s="8">
        <f>(Revenue_Build!X345+Revenue_Build!X346+Revenue_Build!X396+Revenue_Build!X397)*Assumptions!$B$203</f>
        <v/>
      </c>
      <c r="Y12" s="8">
        <f>(Revenue_Build!Y345+Revenue_Build!Y346+Revenue_Build!Y396+Revenue_Build!Y397)*Assumptions!$B$203</f>
        <v/>
      </c>
      <c r="Z12" s="8">
        <f>(Revenue_Build!Z345+Revenue_Build!Z346+Revenue_Build!Z396+Revenue_Build!Z397)*Assumptions!$B$203</f>
        <v/>
      </c>
      <c r="AA12" s="8">
        <f>(Revenue_Build!AA345+Revenue_Build!AA346+Revenue_Build!AA396+Revenue_Build!AA397)*Assumptions!$B$203</f>
        <v/>
      </c>
      <c r="AB12" s="8">
        <f>(Revenue_Build!AB345+Revenue_Build!AB346+Revenue_Build!AB396+Revenue_Build!AB397)*Assumptions!$B$203</f>
        <v/>
      </c>
      <c r="AC12" s="8">
        <f>(Revenue_Build!AC345+Revenue_Build!AC346+Revenue_Build!AC396+Revenue_Build!AC397)*Assumptions!$B$203</f>
        <v/>
      </c>
      <c r="AD12" s="8">
        <f>(Revenue_Build!AD345+Revenue_Build!AD346+Revenue_Build!AD396+Revenue_Build!AD397)*Assumptions!$B$203</f>
        <v/>
      </c>
      <c r="AE12" s="8">
        <f>(Revenue_Build!AE345+Revenue_Build!AE346+Revenue_Build!AE396+Revenue_Build!AE397)*Assumptions!$B$203</f>
        <v/>
      </c>
      <c r="AF12" s="8">
        <f>(Revenue_Build!AF345+Revenue_Build!AF346+Revenue_Build!AF396+Revenue_Build!AF397)*Assumptions!$B$203</f>
        <v/>
      </c>
      <c r="AG12" s="8">
        <f>(Revenue_Build!AG345+Revenue_Build!AG346+Revenue_Build!AG396+Revenue_Build!AG397)*Assumptions!$B$203</f>
        <v/>
      </c>
      <c r="AH12" s="8">
        <f>(Revenue_Build!AH345+Revenue_Build!AH346+Revenue_Build!AH396+Revenue_Build!AH397)*Assumptions!$B$203</f>
        <v/>
      </c>
      <c r="AI12" s="8">
        <f>(Revenue_Build!AI345+Revenue_Build!AI346+Revenue_Build!AI396+Revenue_Build!AI397)*Assumptions!$B$203</f>
        <v/>
      </c>
      <c r="AJ12" s="8">
        <f>(Revenue_Build!AJ345+Revenue_Build!AJ346+Revenue_Build!AJ396+Revenue_Build!AJ397)*Assumptions!$B$203</f>
        <v/>
      </c>
      <c r="AK12" s="8">
        <f>(Revenue_Build!AK345+Revenue_Build!AK346+Revenue_Build!AK396+Revenue_Build!AK397)*Assumptions!$B$203</f>
        <v/>
      </c>
      <c r="AL12" s="8">
        <f>(Revenue_Build!AL345+Revenue_Build!AL346+Revenue_Build!AL396+Revenue_Build!AL397)*Assumptions!$B$203</f>
        <v/>
      </c>
      <c r="AM12" s="8">
        <f>(Revenue_Build!AM345+Revenue_Build!AM346+Revenue_Build!AM396+Revenue_Build!AM397)*Assumptions!$B$203</f>
        <v/>
      </c>
      <c r="AN12" s="8">
        <f>(Revenue_Build!AN345+Revenue_Build!AN346+Revenue_Build!AN396+Revenue_Build!AN397)*Assumptions!$B$203</f>
        <v/>
      </c>
      <c r="AO12" s="8">
        <f>(Revenue_Build!AO345+Revenue_Build!AO346+Revenue_Build!AO396+Revenue_Build!AO397)*Assumptions!$B$203</f>
        <v/>
      </c>
      <c r="AP12" s="8">
        <f>(Revenue_Build!AP345+Revenue_Build!AP346+Revenue_Build!AP396+Revenue_Build!AP397)*Assumptions!$B$203</f>
        <v/>
      </c>
      <c r="AQ12" s="8">
        <f>(Revenue_Build!AQ345+Revenue_Build!AQ346+Revenue_Build!AQ396+Revenue_Build!AQ397)*Assumptions!$B$203</f>
        <v/>
      </c>
      <c r="AR12" s="8">
        <f>(Revenue_Build!AR345+Revenue_Build!AR346+Revenue_Build!AR396+Revenue_Build!AR397)*Assumptions!$B$203</f>
        <v/>
      </c>
      <c r="AS12" s="8">
        <f>(Revenue_Build!AS345+Revenue_Build!AS346+Revenue_Build!AS396+Revenue_Build!AS397)*Assumptions!$B$203</f>
        <v/>
      </c>
      <c r="AT12" s="8">
        <f>(Revenue_Build!AT345+Revenue_Build!AT346+Revenue_Build!AT396+Revenue_Build!AT397)*Assumptions!$B$203</f>
        <v/>
      </c>
      <c r="AU12" s="8">
        <f>(Revenue_Build!AU345+Revenue_Build!AU346+Revenue_Build!AU396+Revenue_Build!AU397)*Assumptions!$B$203</f>
        <v/>
      </c>
      <c r="AV12" s="8">
        <f>(Revenue_Build!AV345+Revenue_Build!AV346+Revenue_Build!AV396+Revenue_Build!AV397)*Assumptions!$B$203</f>
        <v/>
      </c>
      <c r="AW12" s="8">
        <f>(Revenue_Build!AW345+Revenue_Build!AW346+Revenue_Build!AW396+Revenue_Build!AW397)*Assumptions!$B$203</f>
        <v/>
      </c>
      <c r="AX12" s="8">
        <f>(Revenue_Build!AX345+Revenue_Build!AX346+Revenue_Build!AX396+Revenue_Build!AX397)*Assumptions!$B$203</f>
        <v/>
      </c>
      <c r="AY12" s="8">
        <f>(Revenue_Build!AY345+Revenue_Build!AY346+Revenue_Build!AY396+Revenue_Build!AY397)*Assumptions!$B$203</f>
        <v/>
      </c>
      <c r="AZ12" s="8">
        <f>(Revenue_Build!AZ345+Revenue_Build!AZ346+Revenue_Build!AZ396+Revenue_Build!AZ397)*Assumptions!$B$203</f>
        <v/>
      </c>
      <c r="BA12" s="8">
        <f>(Revenue_Build!BA345+Revenue_Build!BA346+Revenue_Build!BA396+Revenue_Build!BA397)*Assumptions!$B$203</f>
        <v/>
      </c>
      <c r="BB12" s="8">
        <f>(Revenue_Build!BB345+Revenue_Build!BB346+Revenue_Build!BB396+Revenue_Build!BB397)*Assumptions!$B$203</f>
        <v/>
      </c>
      <c r="BC12" s="8">
        <f>(Revenue_Build!BC345+Revenue_Build!BC346+Revenue_Build!BC396+Revenue_Build!BC397)*Assumptions!$B$203</f>
        <v/>
      </c>
      <c r="BD12" s="8">
        <f>(Revenue_Build!BD345+Revenue_Build!BD346+Revenue_Build!BD396+Revenue_Build!BD397)*Assumptions!$B$203</f>
        <v/>
      </c>
      <c r="BE12" s="8">
        <f>(Revenue_Build!BE345+Revenue_Build!BE346+Revenue_Build!BE396+Revenue_Build!BE397)*Assumptions!$B$203</f>
        <v/>
      </c>
      <c r="BF12" s="8">
        <f>(Revenue_Build!BF345+Revenue_Build!BF346+Revenue_Build!BF396+Revenue_Build!BF397)*Assumptions!$B$203</f>
        <v/>
      </c>
      <c r="BG12" s="8">
        <f>(Revenue_Build!BG345+Revenue_Build!BG346+Revenue_Build!BG396+Revenue_Build!BG397)*Assumptions!$B$203</f>
        <v/>
      </c>
      <c r="BH12" s="8">
        <f>(Revenue_Build!BH345+Revenue_Build!BH346+Revenue_Build!BH396+Revenue_Build!BH397)*Assumptions!$B$203</f>
        <v/>
      </c>
      <c r="BI12" s="8">
        <f>(Revenue_Build!BI345+Revenue_Build!BI346+Revenue_Build!BI396+Revenue_Build!BI397)*Assumptions!$B$203</f>
        <v/>
      </c>
      <c r="BJ12" s="8">
        <f>(Revenue_Build!BJ345+Revenue_Build!BJ346+Revenue_Build!BJ396+Revenue_Build!BJ397)*Assumptions!$B$203</f>
        <v/>
      </c>
    </row>
    <row r="13">
      <c r="A13" s="4" t="inlineStr">
        <is>
          <t>Increase in receivables</t>
        </is>
      </c>
      <c r="B13" s="17" t="inlineStr">
        <is>
          <t>R</t>
        </is>
      </c>
      <c r="C13" s="8">
        <f>C12</f>
        <v/>
      </c>
      <c r="D13" s="8">
        <f>D12-C12</f>
        <v/>
      </c>
      <c r="E13" s="8">
        <f>E12-D12</f>
        <v/>
      </c>
      <c r="F13" s="8">
        <f>F12-E12</f>
        <v/>
      </c>
      <c r="G13" s="8">
        <f>G12-F12</f>
        <v/>
      </c>
      <c r="H13" s="8">
        <f>H12-G12</f>
        <v/>
      </c>
      <c r="I13" s="8">
        <f>I12-H12</f>
        <v/>
      </c>
      <c r="J13" s="8">
        <f>J12-I12</f>
        <v/>
      </c>
      <c r="K13" s="8">
        <f>K12-J12</f>
        <v/>
      </c>
      <c r="L13" s="8">
        <f>L12-K12</f>
        <v/>
      </c>
      <c r="M13" s="8">
        <f>M12-L12</f>
        <v/>
      </c>
      <c r="N13" s="8">
        <f>N12-M12</f>
        <v/>
      </c>
      <c r="O13" s="8">
        <f>O12-N12</f>
        <v/>
      </c>
      <c r="P13" s="8">
        <f>P12-O12</f>
        <v/>
      </c>
      <c r="Q13" s="8">
        <f>Q12-P12</f>
        <v/>
      </c>
      <c r="R13" s="8">
        <f>R12-Q12</f>
        <v/>
      </c>
      <c r="S13" s="8">
        <f>S12-R12</f>
        <v/>
      </c>
      <c r="T13" s="8">
        <f>T12-S12</f>
        <v/>
      </c>
      <c r="U13" s="8">
        <f>U12-T12</f>
        <v/>
      </c>
      <c r="V13" s="8">
        <f>V12-U12</f>
        <v/>
      </c>
      <c r="W13" s="8">
        <f>W12-V12</f>
        <v/>
      </c>
      <c r="X13" s="8">
        <f>X12-W12</f>
        <v/>
      </c>
      <c r="Y13" s="8">
        <f>Y12-X12</f>
        <v/>
      </c>
      <c r="Z13" s="8">
        <f>Z12-Y12</f>
        <v/>
      </c>
      <c r="AA13" s="8">
        <f>AA12-Z12</f>
        <v/>
      </c>
      <c r="AB13" s="8">
        <f>AB12-AA12</f>
        <v/>
      </c>
      <c r="AC13" s="8">
        <f>AC12-AB12</f>
        <v/>
      </c>
      <c r="AD13" s="8">
        <f>AD12-AC12</f>
        <v/>
      </c>
      <c r="AE13" s="8">
        <f>AE12-AD12</f>
        <v/>
      </c>
      <c r="AF13" s="8">
        <f>AF12-AE12</f>
        <v/>
      </c>
      <c r="AG13" s="8">
        <f>AG12-AF12</f>
        <v/>
      </c>
      <c r="AH13" s="8">
        <f>AH12-AG12</f>
        <v/>
      </c>
      <c r="AI13" s="8">
        <f>AI12-AH12</f>
        <v/>
      </c>
      <c r="AJ13" s="8">
        <f>AJ12-AI12</f>
        <v/>
      </c>
      <c r="AK13" s="8">
        <f>AK12-AJ12</f>
        <v/>
      </c>
      <c r="AL13" s="8">
        <f>AL12-AK12</f>
        <v/>
      </c>
      <c r="AM13" s="8">
        <f>AM12-AL12</f>
        <v/>
      </c>
      <c r="AN13" s="8">
        <f>AN12-AM12</f>
        <v/>
      </c>
      <c r="AO13" s="8">
        <f>AO12-AN12</f>
        <v/>
      </c>
      <c r="AP13" s="8">
        <f>AP12-AO12</f>
        <v/>
      </c>
      <c r="AQ13" s="8">
        <f>AQ12-AP12</f>
        <v/>
      </c>
      <c r="AR13" s="8">
        <f>AR12-AQ12</f>
        <v/>
      </c>
      <c r="AS13" s="8">
        <f>AS12-AR12</f>
        <v/>
      </c>
      <c r="AT13" s="8">
        <f>AT12-AS12</f>
        <v/>
      </c>
      <c r="AU13" s="8">
        <f>AU12-AT12</f>
        <v/>
      </c>
      <c r="AV13" s="8">
        <f>AV12-AU12</f>
        <v/>
      </c>
      <c r="AW13" s="8">
        <f>AW12-AV12</f>
        <v/>
      </c>
      <c r="AX13" s="8">
        <f>AX12-AW12</f>
        <v/>
      </c>
      <c r="AY13" s="8">
        <f>AY12-AX12</f>
        <v/>
      </c>
      <c r="AZ13" s="8">
        <f>AZ12-AY12</f>
        <v/>
      </c>
      <c r="BA13" s="8">
        <f>BA12-AZ12</f>
        <v/>
      </c>
      <c r="BB13" s="8">
        <f>BB12-BA12</f>
        <v/>
      </c>
      <c r="BC13" s="8">
        <f>BC12-BB12</f>
        <v/>
      </c>
      <c r="BD13" s="8">
        <f>BD12-BC12</f>
        <v/>
      </c>
      <c r="BE13" s="8">
        <f>BE12-BD12</f>
        <v/>
      </c>
      <c r="BF13" s="8">
        <f>BF12-BE12</f>
        <v/>
      </c>
      <c r="BG13" s="8">
        <f>BG12-BF12</f>
        <v/>
      </c>
      <c r="BH13" s="8">
        <f>BH12-BG12</f>
        <v/>
      </c>
      <c r="BI13" s="8">
        <f>BI12-BH12</f>
        <v/>
      </c>
      <c r="BJ13" s="8">
        <f>BJ12-BI12</f>
        <v/>
      </c>
    </row>
    <row r="14">
      <c r="A14" s="3" t="inlineStr">
        <is>
          <t>Operating cash flow (before funding)</t>
        </is>
      </c>
      <c r="B14" s="17" t="inlineStr">
        <is>
          <t>R</t>
        </is>
      </c>
      <c r="C14" s="42">
        <f>C8+C9+C11-C13</f>
        <v/>
      </c>
      <c r="D14" s="42">
        <f>D8+D9+D11-D13</f>
        <v/>
      </c>
      <c r="E14" s="42">
        <f>E8+E9+E11-E13</f>
        <v/>
      </c>
      <c r="F14" s="42">
        <f>F8+F9+F11-F13</f>
        <v/>
      </c>
      <c r="G14" s="42">
        <f>G8+G9+G11-G13</f>
        <v/>
      </c>
      <c r="H14" s="42">
        <f>H8+H9+H11-H13</f>
        <v/>
      </c>
      <c r="I14" s="42">
        <f>I8+I9+I11-I13</f>
        <v/>
      </c>
      <c r="J14" s="42">
        <f>J8+J9+J11-J13</f>
        <v/>
      </c>
      <c r="K14" s="42">
        <f>K8+K9+K11-K13</f>
        <v/>
      </c>
      <c r="L14" s="42">
        <f>L8+L9+L11-L13</f>
        <v/>
      </c>
      <c r="M14" s="42">
        <f>M8+M9+M11-M13</f>
        <v/>
      </c>
      <c r="N14" s="42">
        <f>N8+N9+N11-N13</f>
        <v/>
      </c>
      <c r="O14" s="42">
        <f>O8+O9+O11-O13</f>
        <v/>
      </c>
      <c r="P14" s="42">
        <f>P8+P9+P11-P13</f>
        <v/>
      </c>
      <c r="Q14" s="42">
        <f>Q8+Q9+Q11-Q13</f>
        <v/>
      </c>
      <c r="R14" s="42">
        <f>R8+R9+R11-R13</f>
        <v/>
      </c>
      <c r="S14" s="42">
        <f>S8+S9+S11-S13</f>
        <v/>
      </c>
      <c r="T14" s="42">
        <f>T8+T9+T11-T13</f>
        <v/>
      </c>
      <c r="U14" s="42">
        <f>U8+U9+U11-U13</f>
        <v/>
      </c>
      <c r="V14" s="42">
        <f>V8+V9+V11-V13</f>
        <v/>
      </c>
      <c r="W14" s="42">
        <f>W8+W9+W11-W13</f>
        <v/>
      </c>
      <c r="X14" s="42">
        <f>X8+X9+X11-X13</f>
        <v/>
      </c>
      <c r="Y14" s="42">
        <f>Y8+Y9+Y11-Y13</f>
        <v/>
      </c>
      <c r="Z14" s="42">
        <f>Z8+Z9+Z11-Z13</f>
        <v/>
      </c>
      <c r="AA14" s="42">
        <f>AA8+AA9+AA11-AA13</f>
        <v/>
      </c>
      <c r="AB14" s="42">
        <f>AB8+AB9+AB11-AB13</f>
        <v/>
      </c>
      <c r="AC14" s="42">
        <f>AC8+AC9+AC11-AC13</f>
        <v/>
      </c>
      <c r="AD14" s="42">
        <f>AD8+AD9+AD11-AD13</f>
        <v/>
      </c>
      <c r="AE14" s="42">
        <f>AE8+AE9+AE11-AE13</f>
        <v/>
      </c>
      <c r="AF14" s="42">
        <f>AF8+AF9+AF11-AF13</f>
        <v/>
      </c>
      <c r="AG14" s="42">
        <f>AG8+AG9+AG11-AG13</f>
        <v/>
      </c>
      <c r="AH14" s="42">
        <f>AH8+AH9+AH11-AH13</f>
        <v/>
      </c>
      <c r="AI14" s="42">
        <f>AI8+AI9+AI11-AI13</f>
        <v/>
      </c>
      <c r="AJ14" s="42">
        <f>AJ8+AJ9+AJ11-AJ13</f>
        <v/>
      </c>
      <c r="AK14" s="42">
        <f>AK8+AK9+AK11-AK13</f>
        <v/>
      </c>
      <c r="AL14" s="42">
        <f>AL8+AL9+AL11-AL13</f>
        <v/>
      </c>
      <c r="AM14" s="42">
        <f>AM8+AM9+AM11-AM13</f>
        <v/>
      </c>
      <c r="AN14" s="42">
        <f>AN8+AN9+AN11-AN13</f>
        <v/>
      </c>
      <c r="AO14" s="42">
        <f>AO8+AO9+AO11-AO13</f>
        <v/>
      </c>
      <c r="AP14" s="42">
        <f>AP8+AP9+AP11-AP13</f>
        <v/>
      </c>
      <c r="AQ14" s="42">
        <f>AQ8+AQ9+AQ11-AQ13</f>
        <v/>
      </c>
      <c r="AR14" s="42">
        <f>AR8+AR9+AR11-AR13</f>
        <v/>
      </c>
      <c r="AS14" s="42">
        <f>AS8+AS9+AS11-AS13</f>
        <v/>
      </c>
      <c r="AT14" s="42">
        <f>AT8+AT9+AT11-AT13</f>
        <v/>
      </c>
      <c r="AU14" s="42">
        <f>AU8+AU9+AU11-AU13</f>
        <v/>
      </c>
      <c r="AV14" s="42">
        <f>AV8+AV9+AV11-AV13</f>
        <v/>
      </c>
      <c r="AW14" s="42">
        <f>AW8+AW9+AW11-AW13</f>
        <v/>
      </c>
      <c r="AX14" s="42">
        <f>AX8+AX9+AX11-AX13</f>
        <v/>
      </c>
      <c r="AY14" s="42">
        <f>AY8+AY9+AY11-AY13</f>
        <v/>
      </c>
      <c r="AZ14" s="42">
        <f>AZ8+AZ9+AZ11-AZ13</f>
        <v/>
      </c>
      <c r="BA14" s="42">
        <f>BA8+BA9+BA11-BA13</f>
        <v/>
      </c>
      <c r="BB14" s="42">
        <f>BB8+BB9+BB11-BB13</f>
        <v/>
      </c>
      <c r="BC14" s="42">
        <f>BC8+BC9+BC11-BC13</f>
        <v/>
      </c>
      <c r="BD14" s="42">
        <f>BD8+BD9+BD11-BD13</f>
        <v/>
      </c>
      <c r="BE14" s="42">
        <f>BE8+BE9+BE11-BE13</f>
        <v/>
      </c>
      <c r="BF14" s="42">
        <f>BF8+BF9+BF11-BF13</f>
        <v/>
      </c>
      <c r="BG14" s="42">
        <f>BG8+BG9+BG11-BG13</f>
        <v/>
      </c>
      <c r="BH14" s="42">
        <f>BH8+BH9+BH11-BH13</f>
        <v/>
      </c>
      <c r="BI14" s="42">
        <f>BI8+BI9+BI11-BI13</f>
        <v/>
      </c>
      <c r="BJ14" s="42">
        <f>BJ8+BJ9+BJ11-BJ13</f>
        <v/>
      </c>
    </row>
    <row r="15"/>
    <row r="16">
      <c r="A16" s="19" t="inlineStr">
        <is>
          <t>Funding (seed only; Series A switched off in every scenario)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19" t="n"/>
      <c r="AS16" s="19" t="n"/>
      <c r="AT16" s="19" t="n"/>
      <c r="AU16" s="19" t="n"/>
      <c r="AV16" s="19" t="n"/>
      <c r="AW16" s="19" t="n"/>
      <c r="AX16" s="19" t="n"/>
      <c r="AY16" s="19" t="n"/>
      <c r="AZ16" s="19" t="n"/>
      <c r="BA16" s="19" t="n"/>
      <c r="BB16" s="19" t="n"/>
      <c r="BC16" s="19" t="n"/>
      <c r="BD16" s="19" t="n"/>
      <c r="BE16" s="19" t="n"/>
      <c r="BF16" s="19" t="n"/>
      <c r="BG16" s="19" t="n"/>
      <c r="BH16" s="19" t="n"/>
      <c r="BI16" s="19" t="n"/>
      <c r="BJ16" s="19" t="n"/>
    </row>
    <row r="17">
      <c r="A17" s="4" t="inlineStr">
        <is>
          <t>Seed equity</t>
        </is>
      </c>
      <c r="B17" s="17" t="inlineStr">
        <is>
          <t>R</t>
        </is>
      </c>
      <c r="C17" s="8">
        <f>IF(C$3=Assumptions!$B$14,Assumptions!$B$13,0)</f>
        <v/>
      </c>
      <c r="D17" s="8">
        <f>IF(D$3=Assumptions!$B$14,Assumptions!$B$13,0)</f>
        <v/>
      </c>
      <c r="E17" s="8">
        <f>IF(E$3=Assumptions!$B$14,Assumptions!$B$13,0)</f>
        <v/>
      </c>
      <c r="F17" s="8">
        <f>IF(F$3=Assumptions!$B$14,Assumptions!$B$13,0)</f>
        <v/>
      </c>
      <c r="G17" s="8">
        <f>IF(G$3=Assumptions!$B$14,Assumptions!$B$13,0)</f>
        <v/>
      </c>
      <c r="H17" s="8">
        <f>IF(H$3=Assumptions!$B$14,Assumptions!$B$13,0)</f>
        <v/>
      </c>
      <c r="I17" s="8">
        <f>IF(I$3=Assumptions!$B$14,Assumptions!$B$13,0)</f>
        <v/>
      </c>
      <c r="J17" s="8">
        <f>IF(J$3=Assumptions!$B$14,Assumptions!$B$13,0)</f>
        <v/>
      </c>
      <c r="K17" s="8">
        <f>IF(K$3=Assumptions!$B$14,Assumptions!$B$13,0)</f>
        <v/>
      </c>
      <c r="L17" s="8">
        <f>IF(L$3=Assumptions!$B$14,Assumptions!$B$13,0)</f>
        <v/>
      </c>
      <c r="M17" s="8">
        <f>IF(M$3=Assumptions!$B$14,Assumptions!$B$13,0)</f>
        <v/>
      </c>
      <c r="N17" s="8">
        <f>IF(N$3=Assumptions!$B$14,Assumptions!$B$13,0)</f>
        <v/>
      </c>
      <c r="O17" s="8">
        <f>IF(O$3=Assumptions!$B$14,Assumptions!$B$13,0)</f>
        <v/>
      </c>
      <c r="P17" s="8">
        <f>IF(P$3=Assumptions!$B$14,Assumptions!$B$13,0)</f>
        <v/>
      </c>
      <c r="Q17" s="8">
        <f>IF(Q$3=Assumptions!$B$14,Assumptions!$B$13,0)</f>
        <v/>
      </c>
      <c r="R17" s="8">
        <f>IF(R$3=Assumptions!$B$14,Assumptions!$B$13,0)</f>
        <v/>
      </c>
      <c r="S17" s="8">
        <f>IF(S$3=Assumptions!$B$14,Assumptions!$B$13,0)</f>
        <v/>
      </c>
      <c r="T17" s="8">
        <f>IF(T$3=Assumptions!$B$14,Assumptions!$B$13,0)</f>
        <v/>
      </c>
      <c r="U17" s="8">
        <f>IF(U$3=Assumptions!$B$14,Assumptions!$B$13,0)</f>
        <v/>
      </c>
      <c r="V17" s="8">
        <f>IF(V$3=Assumptions!$B$14,Assumptions!$B$13,0)</f>
        <v/>
      </c>
      <c r="W17" s="8">
        <f>IF(W$3=Assumptions!$B$14,Assumptions!$B$13,0)</f>
        <v/>
      </c>
      <c r="X17" s="8">
        <f>IF(X$3=Assumptions!$B$14,Assumptions!$B$13,0)</f>
        <v/>
      </c>
      <c r="Y17" s="8">
        <f>IF(Y$3=Assumptions!$B$14,Assumptions!$B$13,0)</f>
        <v/>
      </c>
      <c r="Z17" s="8">
        <f>IF(Z$3=Assumptions!$B$14,Assumptions!$B$13,0)</f>
        <v/>
      </c>
      <c r="AA17" s="8">
        <f>IF(AA$3=Assumptions!$B$14,Assumptions!$B$13,0)</f>
        <v/>
      </c>
      <c r="AB17" s="8">
        <f>IF(AB$3=Assumptions!$B$14,Assumptions!$B$13,0)</f>
        <v/>
      </c>
      <c r="AC17" s="8">
        <f>IF(AC$3=Assumptions!$B$14,Assumptions!$B$13,0)</f>
        <v/>
      </c>
      <c r="AD17" s="8">
        <f>IF(AD$3=Assumptions!$B$14,Assumptions!$B$13,0)</f>
        <v/>
      </c>
      <c r="AE17" s="8">
        <f>IF(AE$3=Assumptions!$B$14,Assumptions!$B$13,0)</f>
        <v/>
      </c>
      <c r="AF17" s="8">
        <f>IF(AF$3=Assumptions!$B$14,Assumptions!$B$13,0)</f>
        <v/>
      </c>
      <c r="AG17" s="8">
        <f>IF(AG$3=Assumptions!$B$14,Assumptions!$B$13,0)</f>
        <v/>
      </c>
      <c r="AH17" s="8">
        <f>IF(AH$3=Assumptions!$B$14,Assumptions!$B$13,0)</f>
        <v/>
      </c>
      <c r="AI17" s="8">
        <f>IF(AI$3=Assumptions!$B$14,Assumptions!$B$13,0)</f>
        <v/>
      </c>
      <c r="AJ17" s="8">
        <f>IF(AJ$3=Assumptions!$B$14,Assumptions!$B$13,0)</f>
        <v/>
      </c>
      <c r="AK17" s="8">
        <f>IF(AK$3=Assumptions!$B$14,Assumptions!$B$13,0)</f>
        <v/>
      </c>
      <c r="AL17" s="8">
        <f>IF(AL$3=Assumptions!$B$14,Assumptions!$B$13,0)</f>
        <v/>
      </c>
      <c r="AM17" s="8">
        <f>IF(AM$3=Assumptions!$B$14,Assumptions!$B$13,0)</f>
        <v/>
      </c>
      <c r="AN17" s="8">
        <f>IF(AN$3=Assumptions!$B$14,Assumptions!$B$13,0)</f>
        <v/>
      </c>
      <c r="AO17" s="8">
        <f>IF(AO$3=Assumptions!$B$14,Assumptions!$B$13,0)</f>
        <v/>
      </c>
      <c r="AP17" s="8">
        <f>IF(AP$3=Assumptions!$B$14,Assumptions!$B$13,0)</f>
        <v/>
      </c>
      <c r="AQ17" s="8">
        <f>IF(AQ$3=Assumptions!$B$14,Assumptions!$B$13,0)</f>
        <v/>
      </c>
      <c r="AR17" s="8">
        <f>IF(AR$3=Assumptions!$B$14,Assumptions!$B$13,0)</f>
        <v/>
      </c>
      <c r="AS17" s="8">
        <f>IF(AS$3=Assumptions!$B$14,Assumptions!$B$13,0)</f>
        <v/>
      </c>
      <c r="AT17" s="8">
        <f>IF(AT$3=Assumptions!$B$14,Assumptions!$B$13,0)</f>
        <v/>
      </c>
      <c r="AU17" s="8">
        <f>IF(AU$3=Assumptions!$B$14,Assumptions!$B$13,0)</f>
        <v/>
      </c>
      <c r="AV17" s="8">
        <f>IF(AV$3=Assumptions!$B$14,Assumptions!$B$13,0)</f>
        <v/>
      </c>
      <c r="AW17" s="8">
        <f>IF(AW$3=Assumptions!$B$14,Assumptions!$B$13,0)</f>
        <v/>
      </c>
      <c r="AX17" s="8">
        <f>IF(AX$3=Assumptions!$B$14,Assumptions!$B$13,0)</f>
        <v/>
      </c>
      <c r="AY17" s="8">
        <f>IF(AY$3=Assumptions!$B$14,Assumptions!$B$13,0)</f>
        <v/>
      </c>
      <c r="AZ17" s="8">
        <f>IF(AZ$3=Assumptions!$B$14,Assumptions!$B$13,0)</f>
        <v/>
      </c>
      <c r="BA17" s="8">
        <f>IF(BA$3=Assumptions!$B$14,Assumptions!$B$13,0)</f>
        <v/>
      </c>
      <c r="BB17" s="8">
        <f>IF(BB$3=Assumptions!$B$14,Assumptions!$B$13,0)</f>
        <v/>
      </c>
      <c r="BC17" s="8">
        <f>IF(BC$3=Assumptions!$B$14,Assumptions!$B$13,0)</f>
        <v/>
      </c>
      <c r="BD17" s="8">
        <f>IF(BD$3=Assumptions!$B$14,Assumptions!$B$13,0)</f>
        <v/>
      </c>
      <c r="BE17" s="8">
        <f>IF(BE$3=Assumptions!$B$14,Assumptions!$B$13,0)</f>
        <v/>
      </c>
      <c r="BF17" s="8">
        <f>IF(BF$3=Assumptions!$B$14,Assumptions!$B$13,0)</f>
        <v/>
      </c>
      <c r="BG17" s="8">
        <f>IF(BG$3=Assumptions!$B$14,Assumptions!$B$13,0)</f>
        <v/>
      </c>
      <c r="BH17" s="8">
        <f>IF(BH$3=Assumptions!$B$14,Assumptions!$B$13,0)</f>
        <v/>
      </c>
      <c r="BI17" s="8">
        <f>IF(BI$3=Assumptions!$B$14,Assumptions!$B$13,0)</f>
        <v/>
      </c>
      <c r="BJ17" s="8">
        <f>IF(BJ$3=Assumptions!$B$14,Assumptions!$B$13,0)</f>
        <v/>
      </c>
    </row>
    <row r="18">
      <c r="A18" s="4" t="inlineStr">
        <is>
          <t>Series A equity (optional acceleration; off)</t>
        </is>
      </c>
      <c r="B18" s="17" t="inlineStr">
        <is>
          <t>R</t>
        </is>
      </c>
      <c r="C18" s="8">
        <f>IF(AND(Assumptions!$B$16=1,C$3=Assumptions!$B$18),Assumptions!$B$17,0)</f>
        <v/>
      </c>
      <c r="D18" s="8">
        <f>IF(AND(Assumptions!$B$16=1,D$3=Assumptions!$B$18),Assumptions!$B$17,0)</f>
        <v/>
      </c>
      <c r="E18" s="8">
        <f>IF(AND(Assumptions!$B$16=1,E$3=Assumptions!$B$18),Assumptions!$B$17,0)</f>
        <v/>
      </c>
      <c r="F18" s="8">
        <f>IF(AND(Assumptions!$B$16=1,F$3=Assumptions!$B$18),Assumptions!$B$17,0)</f>
        <v/>
      </c>
      <c r="G18" s="8">
        <f>IF(AND(Assumptions!$B$16=1,G$3=Assumptions!$B$18),Assumptions!$B$17,0)</f>
        <v/>
      </c>
      <c r="H18" s="8">
        <f>IF(AND(Assumptions!$B$16=1,H$3=Assumptions!$B$18),Assumptions!$B$17,0)</f>
        <v/>
      </c>
      <c r="I18" s="8">
        <f>IF(AND(Assumptions!$B$16=1,I$3=Assumptions!$B$18),Assumptions!$B$17,0)</f>
        <v/>
      </c>
      <c r="J18" s="8">
        <f>IF(AND(Assumptions!$B$16=1,J$3=Assumptions!$B$18),Assumptions!$B$17,0)</f>
        <v/>
      </c>
      <c r="K18" s="8">
        <f>IF(AND(Assumptions!$B$16=1,K$3=Assumptions!$B$18),Assumptions!$B$17,0)</f>
        <v/>
      </c>
      <c r="L18" s="8">
        <f>IF(AND(Assumptions!$B$16=1,L$3=Assumptions!$B$18),Assumptions!$B$17,0)</f>
        <v/>
      </c>
      <c r="M18" s="8">
        <f>IF(AND(Assumptions!$B$16=1,M$3=Assumptions!$B$18),Assumptions!$B$17,0)</f>
        <v/>
      </c>
      <c r="N18" s="8">
        <f>IF(AND(Assumptions!$B$16=1,N$3=Assumptions!$B$18),Assumptions!$B$17,0)</f>
        <v/>
      </c>
      <c r="O18" s="8">
        <f>IF(AND(Assumptions!$B$16=1,O$3=Assumptions!$B$18),Assumptions!$B$17,0)</f>
        <v/>
      </c>
      <c r="P18" s="8">
        <f>IF(AND(Assumptions!$B$16=1,P$3=Assumptions!$B$18),Assumptions!$B$17,0)</f>
        <v/>
      </c>
      <c r="Q18" s="8">
        <f>IF(AND(Assumptions!$B$16=1,Q$3=Assumptions!$B$18),Assumptions!$B$17,0)</f>
        <v/>
      </c>
      <c r="R18" s="8">
        <f>IF(AND(Assumptions!$B$16=1,R$3=Assumptions!$B$18),Assumptions!$B$17,0)</f>
        <v/>
      </c>
      <c r="S18" s="8">
        <f>IF(AND(Assumptions!$B$16=1,S$3=Assumptions!$B$18),Assumptions!$B$17,0)</f>
        <v/>
      </c>
      <c r="T18" s="8">
        <f>IF(AND(Assumptions!$B$16=1,T$3=Assumptions!$B$18),Assumptions!$B$17,0)</f>
        <v/>
      </c>
      <c r="U18" s="8">
        <f>IF(AND(Assumptions!$B$16=1,U$3=Assumptions!$B$18),Assumptions!$B$17,0)</f>
        <v/>
      </c>
      <c r="V18" s="8">
        <f>IF(AND(Assumptions!$B$16=1,V$3=Assumptions!$B$18),Assumptions!$B$17,0)</f>
        <v/>
      </c>
      <c r="W18" s="8">
        <f>IF(AND(Assumptions!$B$16=1,W$3=Assumptions!$B$18),Assumptions!$B$17,0)</f>
        <v/>
      </c>
      <c r="X18" s="8">
        <f>IF(AND(Assumptions!$B$16=1,X$3=Assumptions!$B$18),Assumptions!$B$17,0)</f>
        <v/>
      </c>
      <c r="Y18" s="8">
        <f>IF(AND(Assumptions!$B$16=1,Y$3=Assumptions!$B$18),Assumptions!$B$17,0)</f>
        <v/>
      </c>
      <c r="Z18" s="8">
        <f>IF(AND(Assumptions!$B$16=1,Z$3=Assumptions!$B$18),Assumptions!$B$17,0)</f>
        <v/>
      </c>
      <c r="AA18" s="8">
        <f>IF(AND(Assumptions!$B$16=1,AA$3=Assumptions!$B$18),Assumptions!$B$17,0)</f>
        <v/>
      </c>
      <c r="AB18" s="8">
        <f>IF(AND(Assumptions!$B$16=1,AB$3=Assumptions!$B$18),Assumptions!$B$17,0)</f>
        <v/>
      </c>
      <c r="AC18" s="8">
        <f>IF(AND(Assumptions!$B$16=1,AC$3=Assumptions!$B$18),Assumptions!$B$17,0)</f>
        <v/>
      </c>
      <c r="AD18" s="8">
        <f>IF(AND(Assumptions!$B$16=1,AD$3=Assumptions!$B$18),Assumptions!$B$17,0)</f>
        <v/>
      </c>
      <c r="AE18" s="8">
        <f>IF(AND(Assumptions!$B$16=1,AE$3=Assumptions!$B$18),Assumptions!$B$17,0)</f>
        <v/>
      </c>
      <c r="AF18" s="8">
        <f>IF(AND(Assumptions!$B$16=1,AF$3=Assumptions!$B$18),Assumptions!$B$17,0)</f>
        <v/>
      </c>
      <c r="AG18" s="8">
        <f>IF(AND(Assumptions!$B$16=1,AG$3=Assumptions!$B$18),Assumptions!$B$17,0)</f>
        <v/>
      </c>
      <c r="AH18" s="8">
        <f>IF(AND(Assumptions!$B$16=1,AH$3=Assumptions!$B$18),Assumptions!$B$17,0)</f>
        <v/>
      </c>
      <c r="AI18" s="8">
        <f>IF(AND(Assumptions!$B$16=1,AI$3=Assumptions!$B$18),Assumptions!$B$17,0)</f>
        <v/>
      </c>
      <c r="AJ18" s="8">
        <f>IF(AND(Assumptions!$B$16=1,AJ$3=Assumptions!$B$18),Assumptions!$B$17,0)</f>
        <v/>
      </c>
      <c r="AK18" s="8">
        <f>IF(AND(Assumptions!$B$16=1,AK$3=Assumptions!$B$18),Assumptions!$B$17,0)</f>
        <v/>
      </c>
      <c r="AL18" s="8">
        <f>IF(AND(Assumptions!$B$16=1,AL$3=Assumptions!$B$18),Assumptions!$B$17,0)</f>
        <v/>
      </c>
      <c r="AM18" s="8">
        <f>IF(AND(Assumptions!$B$16=1,AM$3=Assumptions!$B$18),Assumptions!$B$17,0)</f>
        <v/>
      </c>
      <c r="AN18" s="8">
        <f>IF(AND(Assumptions!$B$16=1,AN$3=Assumptions!$B$18),Assumptions!$B$17,0)</f>
        <v/>
      </c>
      <c r="AO18" s="8">
        <f>IF(AND(Assumptions!$B$16=1,AO$3=Assumptions!$B$18),Assumptions!$B$17,0)</f>
        <v/>
      </c>
      <c r="AP18" s="8">
        <f>IF(AND(Assumptions!$B$16=1,AP$3=Assumptions!$B$18),Assumptions!$B$17,0)</f>
        <v/>
      </c>
      <c r="AQ18" s="8">
        <f>IF(AND(Assumptions!$B$16=1,AQ$3=Assumptions!$B$18),Assumptions!$B$17,0)</f>
        <v/>
      </c>
      <c r="AR18" s="8">
        <f>IF(AND(Assumptions!$B$16=1,AR$3=Assumptions!$B$18),Assumptions!$B$17,0)</f>
        <v/>
      </c>
      <c r="AS18" s="8">
        <f>IF(AND(Assumptions!$B$16=1,AS$3=Assumptions!$B$18),Assumptions!$B$17,0)</f>
        <v/>
      </c>
      <c r="AT18" s="8">
        <f>IF(AND(Assumptions!$B$16=1,AT$3=Assumptions!$B$18),Assumptions!$B$17,0)</f>
        <v/>
      </c>
      <c r="AU18" s="8">
        <f>IF(AND(Assumptions!$B$16=1,AU$3=Assumptions!$B$18),Assumptions!$B$17,0)</f>
        <v/>
      </c>
      <c r="AV18" s="8">
        <f>IF(AND(Assumptions!$B$16=1,AV$3=Assumptions!$B$18),Assumptions!$B$17,0)</f>
        <v/>
      </c>
      <c r="AW18" s="8">
        <f>IF(AND(Assumptions!$B$16=1,AW$3=Assumptions!$B$18),Assumptions!$B$17,0)</f>
        <v/>
      </c>
      <c r="AX18" s="8">
        <f>IF(AND(Assumptions!$B$16=1,AX$3=Assumptions!$B$18),Assumptions!$B$17,0)</f>
        <v/>
      </c>
      <c r="AY18" s="8">
        <f>IF(AND(Assumptions!$B$16=1,AY$3=Assumptions!$B$18),Assumptions!$B$17,0)</f>
        <v/>
      </c>
      <c r="AZ18" s="8">
        <f>IF(AND(Assumptions!$B$16=1,AZ$3=Assumptions!$B$18),Assumptions!$B$17,0)</f>
        <v/>
      </c>
      <c r="BA18" s="8">
        <f>IF(AND(Assumptions!$B$16=1,BA$3=Assumptions!$B$18),Assumptions!$B$17,0)</f>
        <v/>
      </c>
      <c r="BB18" s="8">
        <f>IF(AND(Assumptions!$B$16=1,BB$3=Assumptions!$B$18),Assumptions!$B$17,0)</f>
        <v/>
      </c>
      <c r="BC18" s="8">
        <f>IF(AND(Assumptions!$B$16=1,BC$3=Assumptions!$B$18),Assumptions!$B$17,0)</f>
        <v/>
      </c>
      <c r="BD18" s="8">
        <f>IF(AND(Assumptions!$B$16=1,BD$3=Assumptions!$B$18),Assumptions!$B$17,0)</f>
        <v/>
      </c>
      <c r="BE18" s="8">
        <f>IF(AND(Assumptions!$B$16=1,BE$3=Assumptions!$B$18),Assumptions!$B$17,0)</f>
        <v/>
      </c>
      <c r="BF18" s="8">
        <f>IF(AND(Assumptions!$B$16=1,BF$3=Assumptions!$B$18),Assumptions!$B$17,0)</f>
        <v/>
      </c>
      <c r="BG18" s="8">
        <f>IF(AND(Assumptions!$B$16=1,BG$3=Assumptions!$B$18),Assumptions!$B$17,0)</f>
        <v/>
      </c>
      <c r="BH18" s="8">
        <f>IF(AND(Assumptions!$B$16=1,BH$3=Assumptions!$B$18),Assumptions!$B$17,0)</f>
        <v/>
      </c>
      <c r="BI18" s="8">
        <f>IF(AND(Assumptions!$B$16=1,BI$3=Assumptions!$B$18),Assumptions!$B$17,0)</f>
        <v/>
      </c>
      <c r="BJ18" s="8">
        <f>IF(AND(Assumptions!$B$16=1,BJ$3=Assumptions!$B$18),Assumptions!$B$17,0)</f>
        <v/>
      </c>
    </row>
    <row r="19">
      <c r="A19" s="3" t="inlineStr">
        <is>
          <t>Net cash flow</t>
        </is>
      </c>
      <c r="B19" s="17" t="inlineStr">
        <is>
          <t>R</t>
        </is>
      </c>
      <c r="C19" s="42">
        <f>C14+C17+C18</f>
        <v/>
      </c>
      <c r="D19" s="42">
        <f>D14+D17+D18</f>
        <v/>
      </c>
      <c r="E19" s="42">
        <f>E14+E17+E18</f>
        <v/>
      </c>
      <c r="F19" s="42">
        <f>F14+F17+F18</f>
        <v/>
      </c>
      <c r="G19" s="42">
        <f>G14+G17+G18</f>
        <v/>
      </c>
      <c r="H19" s="42">
        <f>H14+H17+H18</f>
        <v/>
      </c>
      <c r="I19" s="42">
        <f>I14+I17+I18</f>
        <v/>
      </c>
      <c r="J19" s="42">
        <f>J14+J17+J18</f>
        <v/>
      </c>
      <c r="K19" s="42">
        <f>K14+K17+K18</f>
        <v/>
      </c>
      <c r="L19" s="42">
        <f>L14+L17+L18</f>
        <v/>
      </c>
      <c r="M19" s="42">
        <f>M14+M17+M18</f>
        <v/>
      </c>
      <c r="N19" s="42">
        <f>N14+N17+N18</f>
        <v/>
      </c>
      <c r="O19" s="42">
        <f>O14+O17+O18</f>
        <v/>
      </c>
      <c r="P19" s="42">
        <f>P14+P17+P18</f>
        <v/>
      </c>
      <c r="Q19" s="42">
        <f>Q14+Q17+Q18</f>
        <v/>
      </c>
      <c r="R19" s="42">
        <f>R14+R17+R18</f>
        <v/>
      </c>
      <c r="S19" s="42">
        <f>S14+S17+S18</f>
        <v/>
      </c>
      <c r="T19" s="42">
        <f>T14+T17+T18</f>
        <v/>
      </c>
      <c r="U19" s="42">
        <f>U14+U17+U18</f>
        <v/>
      </c>
      <c r="V19" s="42">
        <f>V14+V17+V18</f>
        <v/>
      </c>
      <c r="W19" s="42">
        <f>W14+W17+W18</f>
        <v/>
      </c>
      <c r="X19" s="42">
        <f>X14+X17+X18</f>
        <v/>
      </c>
      <c r="Y19" s="42">
        <f>Y14+Y17+Y18</f>
        <v/>
      </c>
      <c r="Z19" s="42">
        <f>Z14+Z17+Z18</f>
        <v/>
      </c>
      <c r="AA19" s="42">
        <f>AA14+AA17+AA18</f>
        <v/>
      </c>
      <c r="AB19" s="42">
        <f>AB14+AB17+AB18</f>
        <v/>
      </c>
      <c r="AC19" s="42">
        <f>AC14+AC17+AC18</f>
        <v/>
      </c>
      <c r="AD19" s="42">
        <f>AD14+AD17+AD18</f>
        <v/>
      </c>
      <c r="AE19" s="42">
        <f>AE14+AE17+AE18</f>
        <v/>
      </c>
      <c r="AF19" s="42">
        <f>AF14+AF17+AF18</f>
        <v/>
      </c>
      <c r="AG19" s="42">
        <f>AG14+AG17+AG18</f>
        <v/>
      </c>
      <c r="AH19" s="42">
        <f>AH14+AH17+AH18</f>
        <v/>
      </c>
      <c r="AI19" s="42">
        <f>AI14+AI17+AI18</f>
        <v/>
      </c>
      <c r="AJ19" s="42">
        <f>AJ14+AJ17+AJ18</f>
        <v/>
      </c>
      <c r="AK19" s="42">
        <f>AK14+AK17+AK18</f>
        <v/>
      </c>
      <c r="AL19" s="42">
        <f>AL14+AL17+AL18</f>
        <v/>
      </c>
      <c r="AM19" s="42">
        <f>AM14+AM17+AM18</f>
        <v/>
      </c>
      <c r="AN19" s="42">
        <f>AN14+AN17+AN18</f>
        <v/>
      </c>
      <c r="AO19" s="42">
        <f>AO14+AO17+AO18</f>
        <v/>
      </c>
      <c r="AP19" s="42">
        <f>AP14+AP17+AP18</f>
        <v/>
      </c>
      <c r="AQ19" s="42">
        <f>AQ14+AQ17+AQ18</f>
        <v/>
      </c>
      <c r="AR19" s="42">
        <f>AR14+AR17+AR18</f>
        <v/>
      </c>
      <c r="AS19" s="42">
        <f>AS14+AS17+AS18</f>
        <v/>
      </c>
      <c r="AT19" s="42">
        <f>AT14+AT17+AT18</f>
        <v/>
      </c>
      <c r="AU19" s="42">
        <f>AU14+AU17+AU18</f>
        <v/>
      </c>
      <c r="AV19" s="42">
        <f>AV14+AV17+AV18</f>
        <v/>
      </c>
      <c r="AW19" s="42">
        <f>AW14+AW17+AW18</f>
        <v/>
      </c>
      <c r="AX19" s="42">
        <f>AX14+AX17+AX18</f>
        <v/>
      </c>
      <c r="AY19" s="42">
        <f>AY14+AY17+AY18</f>
        <v/>
      </c>
      <c r="AZ19" s="42">
        <f>AZ14+AZ17+AZ18</f>
        <v/>
      </c>
      <c r="BA19" s="42">
        <f>BA14+BA17+BA18</f>
        <v/>
      </c>
      <c r="BB19" s="42">
        <f>BB14+BB17+BB18</f>
        <v/>
      </c>
      <c r="BC19" s="42">
        <f>BC14+BC17+BC18</f>
        <v/>
      </c>
      <c r="BD19" s="42">
        <f>BD14+BD17+BD18</f>
        <v/>
      </c>
      <c r="BE19" s="42">
        <f>BE14+BE17+BE18</f>
        <v/>
      </c>
      <c r="BF19" s="42">
        <f>BF14+BF17+BF18</f>
        <v/>
      </c>
      <c r="BG19" s="42">
        <f>BG14+BG17+BG18</f>
        <v/>
      </c>
      <c r="BH19" s="42">
        <f>BH14+BH17+BH18</f>
        <v/>
      </c>
      <c r="BI19" s="42">
        <f>BI14+BI17+BI18</f>
        <v/>
      </c>
      <c r="BJ19" s="42">
        <f>BJ14+BJ17+BJ18</f>
        <v/>
      </c>
    </row>
    <row r="20"/>
    <row r="21">
      <c r="A21" s="19" t="inlineStr">
        <is>
          <t>Cash (no pre-seed bridge is added: any pre-seed shortfall shows as negative cash and is absorbed by the seed)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19" t="n"/>
      <c r="AS21" s="19" t="n"/>
      <c r="AT21" s="19" t="n"/>
      <c r="AU21" s="19" t="n"/>
      <c r="AV21" s="19" t="n"/>
      <c r="AW21" s="19" t="n"/>
      <c r="AX21" s="19" t="n"/>
      <c r="AY21" s="19" t="n"/>
      <c r="AZ21" s="19" t="n"/>
      <c r="BA21" s="19" t="n"/>
      <c r="BB21" s="19" t="n"/>
      <c r="BC21" s="19" t="n"/>
      <c r="BD21" s="19" t="n"/>
      <c r="BE21" s="19" t="n"/>
      <c r="BF21" s="19" t="n"/>
      <c r="BG21" s="19" t="n"/>
      <c r="BH21" s="19" t="n"/>
      <c r="BI21" s="19" t="n"/>
      <c r="BJ21" s="19" t="n"/>
    </row>
    <row r="22">
      <c r="A22" s="4" t="inlineStr">
        <is>
          <t>Opening cash</t>
        </is>
      </c>
      <c r="B22" s="17" t="inlineStr">
        <is>
          <t>R</t>
        </is>
      </c>
      <c r="C22" s="8">
        <f>Assumptions!$B$12</f>
        <v/>
      </c>
      <c r="D22" s="8">
        <f>C23</f>
        <v/>
      </c>
      <c r="E22" s="8">
        <f>D23</f>
        <v/>
      </c>
      <c r="F22" s="8">
        <f>E23</f>
        <v/>
      </c>
      <c r="G22" s="8">
        <f>F23</f>
        <v/>
      </c>
      <c r="H22" s="8">
        <f>G23</f>
        <v/>
      </c>
      <c r="I22" s="8">
        <f>H23</f>
        <v/>
      </c>
      <c r="J22" s="8">
        <f>I23</f>
        <v/>
      </c>
      <c r="K22" s="8">
        <f>J23</f>
        <v/>
      </c>
      <c r="L22" s="8">
        <f>K23</f>
        <v/>
      </c>
      <c r="M22" s="8">
        <f>L23</f>
        <v/>
      </c>
      <c r="N22" s="8">
        <f>M23</f>
        <v/>
      </c>
      <c r="O22" s="8">
        <f>N23</f>
        <v/>
      </c>
      <c r="P22" s="8">
        <f>O23</f>
        <v/>
      </c>
      <c r="Q22" s="8">
        <f>P23</f>
        <v/>
      </c>
      <c r="R22" s="8">
        <f>Q23</f>
        <v/>
      </c>
      <c r="S22" s="8">
        <f>R23</f>
        <v/>
      </c>
      <c r="T22" s="8">
        <f>S23</f>
        <v/>
      </c>
      <c r="U22" s="8">
        <f>T23</f>
        <v/>
      </c>
      <c r="V22" s="8">
        <f>U23</f>
        <v/>
      </c>
      <c r="W22" s="8">
        <f>V23</f>
        <v/>
      </c>
      <c r="X22" s="8">
        <f>W23</f>
        <v/>
      </c>
      <c r="Y22" s="8">
        <f>X23</f>
        <v/>
      </c>
      <c r="Z22" s="8">
        <f>Y23</f>
        <v/>
      </c>
      <c r="AA22" s="8">
        <f>Z23</f>
        <v/>
      </c>
      <c r="AB22" s="8">
        <f>AA23</f>
        <v/>
      </c>
      <c r="AC22" s="8">
        <f>AB23</f>
        <v/>
      </c>
      <c r="AD22" s="8">
        <f>AC23</f>
        <v/>
      </c>
      <c r="AE22" s="8">
        <f>AD23</f>
        <v/>
      </c>
      <c r="AF22" s="8">
        <f>AE23</f>
        <v/>
      </c>
      <c r="AG22" s="8">
        <f>AF23</f>
        <v/>
      </c>
      <c r="AH22" s="8">
        <f>AG23</f>
        <v/>
      </c>
      <c r="AI22" s="8">
        <f>AH23</f>
        <v/>
      </c>
      <c r="AJ22" s="8">
        <f>AI23</f>
        <v/>
      </c>
      <c r="AK22" s="8">
        <f>AJ23</f>
        <v/>
      </c>
      <c r="AL22" s="8">
        <f>AK23</f>
        <v/>
      </c>
      <c r="AM22" s="8">
        <f>AL23</f>
        <v/>
      </c>
      <c r="AN22" s="8">
        <f>AM23</f>
        <v/>
      </c>
      <c r="AO22" s="8">
        <f>AN23</f>
        <v/>
      </c>
      <c r="AP22" s="8">
        <f>AO23</f>
        <v/>
      </c>
      <c r="AQ22" s="8">
        <f>AP23</f>
        <v/>
      </c>
      <c r="AR22" s="8">
        <f>AQ23</f>
        <v/>
      </c>
      <c r="AS22" s="8">
        <f>AR23</f>
        <v/>
      </c>
      <c r="AT22" s="8">
        <f>AS23</f>
        <v/>
      </c>
      <c r="AU22" s="8">
        <f>AT23</f>
        <v/>
      </c>
      <c r="AV22" s="8">
        <f>AU23</f>
        <v/>
      </c>
      <c r="AW22" s="8">
        <f>AV23</f>
        <v/>
      </c>
      <c r="AX22" s="8">
        <f>AW23</f>
        <v/>
      </c>
      <c r="AY22" s="8">
        <f>AX23</f>
        <v/>
      </c>
      <c r="AZ22" s="8">
        <f>AY23</f>
        <v/>
      </c>
      <c r="BA22" s="8">
        <f>AZ23</f>
        <v/>
      </c>
      <c r="BB22" s="8">
        <f>BA23</f>
        <v/>
      </c>
      <c r="BC22" s="8">
        <f>BB23</f>
        <v/>
      </c>
      <c r="BD22" s="8">
        <f>BC23</f>
        <v/>
      </c>
      <c r="BE22" s="8">
        <f>BD23</f>
        <v/>
      </c>
      <c r="BF22" s="8">
        <f>BE23</f>
        <v/>
      </c>
      <c r="BG22" s="8">
        <f>BF23</f>
        <v/>
      </c>
      <c r="BH22" s="8">
        <f>BG23</f>
        <v/>
      </c>
      <c r="BI22" s="8">
        <f>BH23</f>
        <v/>
      </c>
      <c r="BJ22" s="8">
        <f>BI23</f>
        <v/>
      </c>
    </row>
    <row r="23">
      <c r="A23" s="3" t="inlineStr">
        <is>
          <t>Closing cash</t>
        </is>
      </c>
      <c r="B23" s="17" t="inlineStr">
        <is>
          <t>R</t>
        </is>
      </c>
      <c r="C23" s="42">
        <f>C22+C19</f>
        <v/>
      </c>
      <c r="D23" s="42">
        <f>D22+D19</f>
        <v/>
      </c>
      <c r="E23" s="42">
        <f>E22+E19</f>
        <v/>
      </c>
      <c r="F23" s="42">
        <f>F22+F19</f>
        <v/>
      </c>
      <c r="G23" s="42">
        <f>G22+G19</f>
        <v/>
      </c>
      <c r="H23" s="42">
        <f>H22+H19</f>
        <v/>
      </c>
      <c r="I23" s="42">
        <f>I22+I19</f>
        <v/>
      </c>
      <c r="J23" s="42">
        <f>J22+J19</f>
        <v/>
      </c>
      <c r="K23" s="42">
        <f>K22+K19</f>
        <v/>
      </c>
      <c r="L23" s="42">
        <f>L22+L19</f>
        <v/>
      </c>
      <c r="M23" s="42">
        <f>M22+M19</f>
        <v/>
      </c>
      <c r="N23" s="42">
        <f>N22+N19</f>
        <v/>
      </c>
      <c r="O23" s="42">
        <f>O22+O19</f>
        <v/>
      </c>
      <c r="P23" s="42">
        <f>P22+P19</f>
        <v/>
      </c>
      <c r="Q23" s="42">
        <f>Q22+Q19</f>
        <v/>
      </c>
      <c r="R23" s="42">
        <f>R22+R19</f>
        <v/>
      </c>
      <c r="S23" s="42">
        <f>S22+S19</f>
        <v/>
      </c>
      <c r="T23" s="42">
        <f>T22+T19</f>
        <v/>
      </c>
      <c r="U23" s="42">
        <f>U22+U19</f>
        <v/>
      </c>
      <c r="V23" s="42">
        <f>V22+V19</f>
        <v/>
      </c>
      <c r="W23" s="42">
        <f>W22+W19</f>
        <v/>
      </c>
      <c r="X23" s="42">
        <f>X22+X19</f>
        <v/>
      </c>
      <c r="Y23" s="42">
        <f>Y22+Y19</f>
        <v/>
      </c>
      <c r="Z23" s="42">
        <f>Z22+Z19</f>
        <v/>
      </c>
      <c r="AA23" s="42">
        <f>AA22+AA19</f>
        <v/>
      </c>
      <c r="AB23" s="42">
        <f>AB22+AB19</f>
        <v/>
      </c>
      <c r="AC23" s="42">
        <f>AC22+AC19</f>
        <v/>
      </c>
      <c r="AD23" s="42">
        <f>AD22+AD19</f>
        <v/>
      </c>
      <c r="AE23" s="42">
        <f>AE22+AE19</f>
        <v/>
      </c>
      <c r="AF23" s="42">
        <f>AF22+AF19</f>
        <v/>
      </c>
      <c r="AG23" s="42">
        <f>AG22+AG19</f>
        <v/>
      </c>
      <c r="AH23" s="42">
        <f>AH22+AH19</f>
        <v/>
      </c>
      <c r="AI23" s="42">
        <f>AI22+AI19</f>
        <v/>
      </c>
      <c r="AJ23" s="42">
        <f>AJ22+AJ19</f>
        <v/>
      </c>
      <c r="AK23" s="42">
        <f>AK22+AK19</f>
        <v/>
      </c>
      <c r="AL23" s="42">
        <f>AL22+AL19</f>
        <v/>
      </c>
      <c r="AM23" s="42">
        <f>AM22+AM19</f>
        <v/>
      </c>
      <c r="AN23" s="42">
        <f>AN22+AN19</f>
        <v/>
      </c>
      <c r="AO23" s="42">
        <f>AO22+AO19</f>
        <v/>
      </c>
      <c r="AP23" s="42">
        <f>AP22+AP19</f>
        <v/>
      </c>
      <c r="AQ23" s="42">
        <f>AQ22+AQ19</f>
        <v/>
      </c>
      <c r="AR23" s="42">
        <f>AR22+AR19</f>
        <v/>
      </c>
      <c r="AS23" s="42">
        <f>AS22+AS19</f>
        <v/>
      </c>
      <c r="AT23" s="42">
        <f>AT22+AT19</f>
        <v/>
      </c>
      <c r="AU23" s="42">
        <f>AU22+AU19</f>
        <v/>
      </c>
      <c r="AV23" s="42">
        <f>AV22+AV19</f>
        <v/>
      </c>
      <c r="AW23" s="42">
        <f>AW22+AW19</f>
        <v/>
      </c>
      <c r="AX23" s="42">
        <f>AX22+AX19</f>
        <v/>
      </c>
      <c r="AY23" s="42">
        <f>AY22+AY19</f>
        <v/>
      </c>
      <c r="AZ23" s="42">
        <f>AZ22+AZ19</f>
        <v/>
      </c>
      <c r="BA23" s="42">
        <f>BA22+BA19</f>
        <v/>
      </c>
      <c r="BB23" s="42">
        <f>BB22+BB19</f>
        <v/>
      </c>
      <c r="BC23" s="42">
        <f>BC22+BC19</f>
        <v/>
      </c>
      <c r="BD23" s="42">
        <f>BD22+BD19</f>
        <v/>
      </c>
      <c r="BE23" s="42">
        <f>BE22+BE19</f>
        <v/>
      </c>
      <c r="BF23" s="42">
        <f>BF22+BF19</f>
        <v/>
      </c>
      <c r="BG23" s="42">
        <f>BG22+BG19</f>
        <v/>
      </c>
      <c r="BH23" s="42">
        <f>BH22+BH19</f>
        <v/>
      </c>
      <c r="BI23" s="42">
        <f>BI22+BI19</f>
        <v/>
      </c>
      <c r="BJ23" s="42">
        <f>BJ22+BJ19</f>
        <v/>
      </c>
    </row>
    <row r="24">
      <c r="A24" s="4" t="inlineStr">
        <is>
          <t>Minimum-cash buffer (applies from the seed month)</t>
        </is>
      </c>
      <c r="B24" s="17" t="inlineStr">
        <is>
          <t>R</t>
        </is>
      </c>
      <c r="C24" s="8">
        <f>IF(C$3&gt;=Assumptions!$B$14,Assumptions!$B$15,0)</f>
        <v/>
      </c>
      <c r="D24" s="8">
        <f>IF(D$3&gt;=Assumptions!$B$14,Assumptions!$B$15,0)</f>
        <v/>
      </c>
      <c r="E24" s="8">
        <f>IF(E$3&gt;=Assumptions!$B$14,Assumptions!$B$15,0)</f>
        <v/>
      </c>
      <c r="F24" s="8">
        <f>IF(F$3&gt;=Assumptions!$B$14,Assumptions!$B$15,0)</f>
        <v/>
      </c>
      <c r="G24" s="8">
        <f>IF(G$3&gt;=Assumptions!$B$14,Assumptions!$B$15,0)</f>
        <v/>
      </c>
      <c r="H24" s="8">
        <f>IF(H$3&gt;=Assumptions!$B$14,Assumptions!$B$15,0)</f>
        <v/>
      </c>
      <c r="I24" s="8">
        <f>IF(I$3&gt;=Assumptions!$B$14,Assumptions!$B$15,0)</f>
        <v/>
      </c>
      <c r="J24" s="8">
        <f>IF(J$3&gt;=Assumptions!$B$14,Assumptions!$B$15,0)</f>
        <v/>
      </c>
      <c r="K24" s="8">
        <f>IF(K$3&gt;=Assumptions!$B$14,Assumptions!$B$15,0)</f>
        <v/>
      </c>
      <c r="L24" s="8">
        <f>IF(L$3&gt;=Assumptions!$B$14,Assumptions!$B$15,0)</f>
        <v/>
      </c>
      <c r="M24" s="8">
        <f>IF(M$3&gt;=Assumptions!$B$14,Assumptions!$B$15,0)</f>
        <v/>
      </c>
      <c r="N24" s="8">
        <f>IF(N$3&gt;=Assumptions!$B$14,Assumptions!$B$15,0)</f>
        <v/>
      </c>
      <c r="O24" s="8">
        <f>IF(O$3&gt;=Assumptions!$B$14,Assumptions!$B$15,0)</f>
        <v/>
      </c>
      <c r="P24" s="8">
        <f>IF(P$3&gt;=Assumptions!$B$14,Assumptions!$B$15,0)</f>
        <v/>
      </c>
      <c r="Q24" s="8">
        <f>IF(Q$3&gt;=Assumptions!$B$14,Assumptions!$B$15,0)</f>
        <v/>
      </c>
      <c r="R24" s="8">
        <f>IF(R$3&gt;=Assumptions!$B$14,Assumptions!$B$15,0)</f>
        <v/>
      </c>
      <c r="S24" s="8">
        <f>IF(S$3&gt;=Assumptions!$B$14,Assumptions!$B$15,0)</f>
        <v/>
      </c>
      <c r="T24" s="8">
        <f>IF(T$3&gt;=Assumptions!$B$14,Assumptions!$B$15,0)</f>
        <v/>
      </c>
      <c r="U24" s="8">
        <f>IF(U$3&gt;=Assumptions!$B$14,Assumptions!$B$15,0)</f>
        <v/>
      </c>
      <c r="V24" s="8">
        <f>IF(V$3&gt;=Assumptions!$B$14,Assumptions!$B$15,0)</f>
        <v/>
      </c>
      <c r="W24" s="8">
        <f>IF(W$3&gt;=Assumptions!$B$14,Assumptions!$B$15,0)</f>
        <v/>
      </c>
      <c r="X24" s="8">
        <f>IF(X$3&gt;=Assumptions!$B$14,Assumptions!$B$15,0)</f>
        <v/>
      </c>
      <c r="Y24" s="8">
        <f>IF(Y$3&gt;=Assumptions!$B$14,Assumptions!$B$15,0)</f>
        <v/>
      </c>
      <c r="Z24" s="8">
        <f>IF(Z$3&gt;=Assumptions!$B$14,Assumptions!$B$15,0)</f>
        <v/>
      </c>
      <c r="AA24" s="8">
        <f>IF(AA$3&gt;=Assumptions!$B$14,Assumptions!$B$15,0)</f>
        <v/>
      </c>
      <c r="AB24" s="8">
        <f>IF(AB$3&gt;=Assumptions!$B$14,Assumptions!$B$15,0)</f>
        <v/>
      </c>
      <c r="AC24" s="8">
        <f>IF(AC$3&gt;=Assumptions!$B$14,Assumptions!$B$15,0)</f>
        <v/>
      </c>
      <c r="AD24" s="8">
        <f>IF(AD$3&gt;=Assumptions!$B$14,Assumptions!$B$15,0)</f>
        <v/>
      </c>
      <c r="AE24" s="8">
        <f>IF(AE$3&gt;=Assumptions!$B$14,Assumptions!$B$15,0)</f>
        <v/>
      </c>
      <c r="AF24" s="8">
        <f>IF(AF$3&gt;=Assumptions!$B$14,Assumptions!$B$15,0)</f>
        <v/>
      </c>
      <c r="AG24" s="8">
        <f>IF(AG$3&gt;=Assumptions!$B$14,Assumptions!$B$15,0)</f>
        <v/>
      </c>
      <c r="AH24" s="8">
        <f>IF(AH$3&gt;=Assumptions!$B$14,Assumptions!$B$15,0)</f>
        <v/>
      </c>
      <c r="AI24" s="8">
        <f>IF(AI$3&gt;=Assumptions!$B$14,Assumptions!$B$15,0)</f>
        <v/>
      </c>
      <c r="AJ24" s="8">
        <f>IF(AJ$3&gt;=Assumptions!$B$14,Assumptions!$B$15,0)</f>
        <v/>
      </c>
      <c r="AK24" s="8">
        <f>IF(AK$3&gt;=Assumptions!$B$14,Assumptions!$B$15,0)</f>
        <v/>
      </c>
      <c r="AL24" s="8">
        <f>IF(AL$3&gt;=Assumptions!$B$14,Assumptions!$B$15,0)</f>
        <v/>
      </c>
      <c r="AM24" s="8">
        <f>IF(AM$3&gt;=Assumptions!$B$14,Assumptions!$B$15,0)</f>
        <v/>
      </c>
      <c r="AN24" s="8">
        <f>IF(AN$3&gt;=Assumptions!$B$14,Assumptions!$B$15,0)</f>
        <v/>
      </c>
      <c r="AO24" s="8">
        <f>IF(AO$3&gt;=Assumptions!$B$14,Assumptions!$B$15,0)</f>
        <v/>
      </c>
      <c r="AP24" s="8">
        <f>IF(AP$3&gt;=Assumptions!$B$14,Assumptions!$B$15,0)</f>
        <v/>
      </c>
      <c r="AQ24" s="8">
        <f>IF(AQ$3&gt;=Assumptions!$B$14,Assumptions!$B$15,0)</f>
        <v/>
      </c>
      <c r="AR24" s="8">
        <f>IF(AR$3&gt;=Assumptions!$B$14,Assumptions!$B$15,0)</f>
        <v/>
      </c>
      <c r="AS24" s="8">
        <f>IF(AS$3&gt;=Assumptions!$B$14,Assumptions!$B$15,0)</f>
        <v/>
      </c>
      <c r="AT24" s="8">
        <f>IF(AT$3&gt;=Assumptions!$B$14,Assumptions!$B$15,0)</f>
        <v/>
      </c>
      <c r="AU24" s="8">
        <f>IF(AU$3&gt;=Assumptions!$B$14,Assumptions!$B$15,0)</f>
        <v/>
      </c>
      <c r="AV24" s="8">
        <f>IF(AV$3&gt;=Assumptions!$B$14,Assumptions!$B$15,0)</f>
        <v/>
      </c>
      <c r="AW24" s="8">
        <f>IF(AW$3&gt;=Assumptions!$B$14,Assumptions!$B$15,0)</f>
        <v/>
      </c>
      <c r="AX24" s="8">
        <f>IF(AX$3&gt;=Assumptions!$B$14,Assumptions!$B$15,0)</f>
        <v/>
      </c>
      <c r="AY24" s="8">
        <f>IF(AY$3&gt;=Assumptions!$B$14,Assumptions!$B$15,0)</f>
        <v/>
      </c>
      <c r="AZ24" s="8">
        <f>IF(AZ$3&gt;=Assumptions!$B$14,Assumptions!$B$15,0)</f>
        <v/>
      </c>
      <c r="BA24" s="8">
        <f>IF(BA$3&gt;=Assumptions!$B$14,Assumptions!$B$15,0)</f>
        <v/>
      </c>
      <c r="BB24" s="8">
        <f>IF(BB$3&gt;=Assumptions!$B$14,Assumptions!$B$15,0)</f>
        <v/>
      </c>
      <c r="BC24" s="8">
        <f>IF(BC$3&gt;=Assumptions!$B$14,Assumptions!$B$15,0)</f>
        <v/>
      </c>
      <c r="BD24" s="8">
        <f>IF(BD$3&gt;=Assumptions!$B$14,Assumptions!$B$15,0)</f>
        <v/>
      </c>
      <c r="BE24" s="8">
        <f>IF(BE$3&gt;=Assumptions!$B$14,Assumptions!$B$15,0)</f>
        <v/>
      </c>
      <c r="BF24" s="8">
        <f>IF(BF$3&gt;=Assumptions!$B$14,Assumptions!$B$15,0)</f>
        <v/>
      </c>
      <c r="BG24" s="8">
        <f>IF(BG$3&gt;=Assumptions!$B$14,Assumptions!$B$15,0)</f>
        <v/>
      </c>
      <c r="BH24" s="8">
        <f>IF(BH$3&gt;=Assumptions!$B$14,Assumptions!$B$15,0)</f>
        <v/>
      </c>
      <c r="BI24" s="8">
        <f>IF(BI$3&gt;=Assumptions!$B$14,Assumptions!$B$15,0)</f>
        <v/>
      </c>
      <c r="BJ24" s="8">
        <f>IF(BJ$3&gt;=Assumptions!$B$14,Assumptions!$B$15,0)</f>
        <v/>
      </c>
    </row>
    <row r="25">
      <c r="A25" s="4" t="inlineStr">
        <is>
          <t>Headroom over the buffer</t>
        </is>
      </c>
      <c r="B25" s="17" t="inlineStr">
        <is>
          <t>R</t>
        </is>
      </c>
      <c r="C25" s="8">
        <f>C23-C24</f>
        <v/>
      </c>
      <c r="D25" s="8">
        <f>D23-D24</f>
        <v/>
      </c>
      <c r="E25" s="8">
        <f>E23-E24</f>
        <v/>
      </c>
      <c r="F25" s="8">
        <f>F23-F24</f>
        <v/>
      </c>
      <c r="G25" s="8">
        <f>G23-G24</f>
        <v/>
      </c>
      <c r="H25" s="8">
        <f>H23-H24</f>
        <v/>
      </c>
      <c r="I25" s="8">
        <f>I23-I24</f>
        <v/>
      </c>
      <c r="J25" s="8">
        <f>J23-J24</f>
        <v/>
      </c>
      <c r="K25" s="8">
        <f>K23-K24</f>
        <v/>
      </c>
      <c r="L25" s="8">
        <f>L23-L24</f>
        <v/>
      </c>
      <c r="M25" s="8">
        <f>M23-M24</f>
        <v/>
      </c>
      <c r="N25" s="8">
        <f>N23-N24</f>
        <v/>
      </c>
      <c r="O25" s="8">
        <f>O23-O24</f>
        <v/>
      </c>
      <c r="P25" s="8">
        <f>P23-P24</f>
        <v/>
      </c>
      <c r="Q25" s="8">
        <f>Q23-Q24</f>
        <v/>
      </c>
      <c r="R25" s="8">
        <f>R23-R24</f>
        <v/>
      </c>
      <c r="S25" s="8">
        <f>S23-S24</f>
        <v/>
      </c>
      <c r="T25" s="8">
        <f>T23-T24</f>
        <v/>
      </c>
      <c r="U25" s="8">
        <f>U23-U24</f>
        <v/>
      </c>
      <c r="V25" s="8">
        <f>V23-V24</f>
        <v/>
      </c>
      <c r="W25" s="8">
        <f>W23-W24</f>
        <v/>
      </c>
      <c r="X25" s="8">
        <f>X23-X24</f>
        <v/>
      </c>
      <c r="Y25" s="8">
        <f>Y23-Y24</f>
        <v/>
      </c>
      <c r="Z25" s="8">
        <f>Z23-Z24</f>
        <v/>
      </c>
      <c r="AA25" s="8">
        <f>AA23-AA24</f>
        <v/>
      </c>
      <c r="AB25" s="8">
        <f>AB23-AB24</f>
        <v/>
      </c>
      <c r="AC25" s="8">
        <f>AC23-AC24</f>
        <v/>
      </c>
      <c r="AD25" s="8">
        <f>AD23-AD24</f>
        <v/>
      </c>
      <c r="AE25" s="8">
        <f>AE23-AE24</f>
        <v/>
      </c>
      <c r="AF25" s="8">
        <f>AF23-AF24</f>
        <v/>
      </c>
      <c r="AG25" s="8">
        <f>AG23-AG24</f>
        <v/>
      </c>
      <c r="AH25" s="8">
        <f>AH23-AH24</f>
        <v/>
      </c>
      <c r="AI25" s="8">
        <f>AI23-AI24</f>
        <v/>
      </c>
      <c r="AJ25" s="8">
        <f>AJ23-AJ24</f>
        <v/>
      </c>
      <c r="AK25" s="8">
        <f>AK23-AK24</f>
        <v/>
      </c>
      <c r="AL25" s="8">
        <f>AL23-AL24</f>
        <v/>
      </c>
      <c r="AM25" s="8">
        <f>AM23-AM24</f>
        <v/>
      </c>
      <c r="AN25" s="8">
        <f>AN23-AN24</f>
        <v/>
      </c>
      <c r="AO25" s="8">
        <f>AO23-AO24</f>
        <v/>
      </c>
      <c r="AP25" s="8">
        <f>AP23-AP24</f>
        <v/>
      </c>
      <c r="AQ25" s="8">
        <f>AQ23-AQ24</f>
        <v/>
      </c>
      <c r="AR25" s="8">
        <f>AR23-AR24</f>
        <v/>
      </c>
      <c r="AS25" s="8">
        <f>AS23-AS24</f>
        <v/>
      </c>
      <c r="AT25" s="8">
        <f>AT23-AT24</f>
        <v/>
      </c>
      <c r="AU25" s="8">
        <f>AU23-AU24</f>
        <v/>
      </c>
      <c r="AV25" s="8">
        <f>AV23-AV24</f>
        <v/>
      </c>
      <c r="AW25" s="8">
        <f>AW23-AW24</f>
        <v/>
      </c>
      <c r="AX25" s="8">
        <f>AX23-AX24</f>
        <v/>
      </c>
      <c r="AY25" s="8">
        <f>AY23-AY24</f>
        <v/>
      </c>
      <c r="AZ25" s="8">
        <f>AZ23-AZ24</f>
        <v/>
      </c>
      <c r="BA25" s="8">
        <f>BA23-BA24</f>
        <v/>
      </c>
      <c r="BB25" s="8">
        <f>BB23-BB24</f>
        <v/>
      </c>
      <c r="BC25" s="8">
        <f>BC23-BC24</f>
        <v/>
      </c>
      <c r="BD25" s="8">
        <f>BD23-BD24</f>
        <v/>
      </c>
      <c r="BE25" s="8">
        <f>BE23-BE24</f>
        <v/>
      </c>
      <c r="BF25" s="8">
        <f>BF23-BF24</f>
        <v/>
      </c>
      <c r="BG25" s="8">
        <f>BG23-BG24</f>
        <v/>
      </c>
      <c r="BH25" s="8">
        <f>BH23-BH24</f>
        <v/>
      </c>
      <c r="BI25" s="8">
        <f>BI23-BI24</f>
        <v/>
      </c>
      <c r="BJ25" s="8">
        <f>BJ23-BJ24</f>
        <v/>
      </c>
    </row>
    <row r="26">
      <c r="A26" s="4" t="inlineStr">
        <is>
          <t>Average operating cash flow, trailing 3 months</t>
        </is>
      </c>
      <c r="B26" s="17" t="inlineStr">
        <is>
          <t>R</t>
        </is>
      </c>
      <c r="C26" s="8">
        <f>AVERAGE(C14:C14)</f>
        <v/>
      </c>
      <c r="D26" s="8">
        <f>AVERAGE(C14:D14)</f>
        <v/>
      </c>
      <c r="E26" s="8">
        <f>AVERAGE(C14:E14)</f>
        <v/>
      </c>
      <c r="F26" s="8">
        <f>AVERAGE(D14:F14)</f>
        <v/>
      </c>
      <c r="G26" s="8">
        <f>AVERAGE(E14:G14)</f>
        <v/>
      </c>
      <c r="H26" s="8">
        <f>AVERAGE(F14:H14)</f>
        <v/>
      </c>
      <c r="I26" s="8">
        <f>AVERAGE(G14:I14)</f>
        <v/>
      </c>
      <c r="J26" s="8">
        <f>AVERAGE(H14:J14)</f>
        <v/>
      </c>
      <c r="K26" s="8">
        <f>AVERAGE(I14:K14)</f>
        <v/>
      </c>
      <c r="L26" s="8">
        <f>AVERAGE(J14:L14)</f>
        <v/>
      </c>
      <c r="M26" s="8">
        <f>AVERAGE(K14:M14)</f>
        <v/>
      </c>
      <c r="N26" s="8">
        <f>AVERAGE(L14:N14)</f>
        <v/>
      </c>
      <c r="O26" s="8">
        <f>AVERAGE(M14:O14)</f>
        <v/>
      </c>
      <c r="P26" s="8">
        <f>AVERAGE(N14:P14)</f>
        <v/>
      </c>
      <c r="Q26" s="8">
        <f>AVERAGE(O14:Q14)</f>
        <v/>
      </c>
      <c r="R26" s="8">
        <f>AVERAGE(P14:R14)</f>
        <v/>
      </c>
      <c r="S26" s="8">
        <f>AVERAGE(Q14:S14)</f>
        <v/>
      </c>
      <c r="T26" s="8">
        <f>AVERAGE(R14:T14)</f>
        <v/>
      </c>
      <c r="U26" s="8">
        <f>AVERAGE(S14:U14)</f>
        <v/>
      </c>
      <c r="V26" s="8">
        <f>AVERAGE(T14:V14)</f>
        <v/>
      </c>
      <c r="W26" s="8">
        <f>AVERAGE(U14:W14)</f>
        <v/>
      </c>
      <c r="X26" s="8">
        <f>AVERAGE(V14:X14)</f>
        <v/>
      </c>
      <c r="Y26" s="8">
        <f>AVERAGE(W14:Y14)</f>
        <v/>
      </c>
      <c r="Z26" s="8">
        <f>AVERAGE(X14:Z14)</f>
        <v/>
      </c>
      <c r="AA26" s="8">
        <f>AVERAGE(Y14:AA14)</f>
        <v/>
      </c>
      <c r="AB26" s="8">
        <f>AVERAGE(Z14:AB14)</f>
        <v/>
      </c>
      <c r="AC26" s="8">
        <f>AVERAGE(AA14:AC14)</f>
        <v/>
      </c>
      <c r="AD26" s="8">
        <f>AVERAGE(AB14:AD14)</f>
        <v/>
      </c>
      <c r="AE26" s="8">
        <f>AVERAGE(AC14:AE14)</f>
        <v/>
      </c>
      <c r="AF26" s="8">
        <f>AVERAGE(AD14:AF14)</f>
        <v/>
      </c>
      <c r="AG26" s="8">
        <f>AVERAGE(AE14:AG14)</f>
        <v/>
      </c>
      <c r="AH26" s="8">
        <f>AVERAGE(AF14:AH14)</f>
        <v/>
      </c>
      <c r="AI26" s="8">
        <f>AVERAGE(AG14:AI14)</f>
        <v/>
      </c>
      <c r="AJ26" s="8">
        <f>AVERAGE(AH14:AJ14)</f>
        <v/>
      </c>
      <c r="AK26" s="8">
        <f>AVERAGE(AI14:AK14)</f>
        <v/>
      </c>
      <c r="AL26" s="8">
        <f>AVERAGE(AJ14:AL14)</f>
        <v/>
      </c>
      <c r="AM26" s="8">
        <f>AVERAGE(AK14:AM14)</f>
        <v/>
      </c>
      <c r="AN26" s="8">
        <f>AVERAGE(AL14:AN14)</f>
        <v/>
      </c>
      <c r="AO26" s="8">
        <f>AVERAGE(AM14:AO14)</f>
        <v/>
      </c>
      <c r="AP26" s="8">
        <f>AVERAGE(AN14:AP14)</f>
        <v/>
      </c>
      <c r="AQ26" s="8">
        <f>AVERAGE(AO14:AQ14)</f>
        <v/>
      </c>
      <c r="AR26" s="8">
        <f>AVERAGE(AP14:AR14)</f>
        <v/>
      </c>
      <c r="AS26" s="8">
        <f>AVERAGE(AQ14:AS14)</f>
        <v/>
      </c>
      <c r="AT26" s="8">
        <f>AVERAGE(AR14:AT14)</f>
        <v/>
      </c>
      <c r="AU26" s="8">
        <f>AVERAGE(AS14:AU14)</f>
        <v/>
      </c>
      <c r="AV26" s="8">
        <f>AVERAGE(AT14:AV14)</f>
        <v/>
      </c>
      <c r="AW26" s="8">
        <f>AVERAGE(AU14:AW14)</f>
        <v/>
      </c>
      <c r="AX26" s="8">
        <f>AVERAGE(AV14:AX14)</f>
        <v/>
      </c>
      <c r="AY26" s="8">
        <f>AVERAGE(AW14:AY14)</f>
        <v/>
      </c>
      <c r="AZ26" s="8">
        <f>AVERAGE(AX14:AZ14)</f>
        <v/>
      </c>
      <c r="BA26" s="8">
        <f>AVERAGE(AY14:BA14)</f>
        <v/>
      </c>
      <c r="BB26" s="8">
        <f>AVERAGE(AZ14:BB14)</f>
        <v/>
      </c>
      <c r="BC26" s="8">
        <f>AVERAGE(BA14:BC14)</f>
        <v/>
      </c>
      <c r="BD26" s="8">
        <f>AVERAGE(BB14:BD14)</f>
        <v/>
      </c>
      <c r="BE26" s="8">
        <f>AVERAGE(BC14:BE14)</f>
        <v/>
      </c>
      <c r="BF26" s="8">
        <f>AVERAGE(BD14:BF14)</f>
        <v/>
      </c>
      <c r="BG26" s="8">
        <f>AVERAGE(BE14:BG14)</f>
        <v/>
      </c>
      <c r="BH26" s="8">
        <f>AVERAGE(BF14:BH14)</f>
        <v/>
      </c>
      <c r="BI26" s="8">
        <f>AVERAGE(BG14:BI14)</f>
        <v/>
      </c>
      <c r="BJ26" s="8">
        <f>AVERAGE(BH14:$BJ$14)</f>
        <v/>
      </c>
    </row>
    <row r="27">
      <c r="A27" s="4" t="inlineStr">
        <is>
          <t>Runway at trailing burn (months)</t>
        </is>
      </c>
      <c r="B27" s="17" t="inlineStr">
        <is>
          <t>months</t>
        </is>
      </c>
      <c r="C27" s="41">
        <f>IF(C26&gt;=0,"CF positive",C23/-C26)</f>
        <v/>
      </c>
      <c r="D27" s="41">
        <f>IF(D26&gt;=0,"CF positive",D23/-D26)</f>
        <v/>
      </c>
      <c r="E27" s="41">
        <f>IF(E26&gt;=0,"CF positive",E23/-E26)</f>
        <v/>
      </c>
      <c r="F27" s="41">
        <f>IF(F26&gt;=0,"CF positive",F23/-F26)</f>
        <v/>
      </c>
      <c r="G27" s="41">
        <f>IF(G26&gt;=0,"CF positive",G23/-G26)</f>
        <v/>
      </c>
      <c r="H27" s="41">
        <f>IF(H26&gt;=0,"CF positive",H23/-H26)</f>
        <v/>
      </c>
      <c r="I27" s="41">
        <f>IF(I26&gt;=0,"CF positive",I23/-I26)</f>
        <v/>
      </c>
      <c r="J27" s="41">
        <f>IF(J26&gt;=0,"CF positive",J23/-J26)</f>
        <v/>
      </c>
      <c r="K27" s="41">
        <f>IF(K26&gt;=0,"CF positive",K23/-K26)</f>
        <v/>
      </c>
      <c r="L27" s="41">
        <f>IF(L26&gt;=0,"CF positive",L23/-L26)</f>
        <v/>
      </c>
      <c r="M27" s="41">
        <f>IF(M26&gt;=0,"CF positive",M23/-M26)</f>
        <v/>
      </c>
      <c r="N27" s="41">
        <f>IF(N26&gt;=0,"CF positive",N23/-N26)</f>
        <v/>
      </c>
      <c r="O27" s="41">
        <f>IF(O26&gt;=0,"CF positive",O23/-O26)</f>
        <v/>
      </c>
      <c r="P27" s="41">
        <f>IF(P26&gt;=0,"CF positive",P23/-P26)</f>
        <v/>
      </c>
      <c r="Q27" s="41">
        <f>IF(Q26&gt;=0,"CF positive",Q23/-Q26)</f>
        <v/>
      </c>
      <c r="R27" s="41">
        <f>IF(R26&gt;=0,"CF positive",R23/-R26)</f>
        <v/>
      </c>
      <c r="S27" s="41">
        <f>IF(S26&gt;=0,"CF positive",S23/-S26)</f>
        <v/>
      </c>
      <c r="T27" s="41">
        <f>IF(T26&gt;=0,"CF positive",T23/-T26)</f>
        <v/>
      </c>
      <c r="U27" s="41">
        <f>IF(U26&gt;=0,"CF positive",U23/-U26)</f>
        <v/>
      </c>
      <c r="V27" s="41">
        <f>IF(V26&gt;=0,"CF positive",V23/-V26)</f>
        <v/>
      </c>
      <c r="W27" s="41">
        <f>IF(W26&gt;=0,"CF positive",W23/-W26)</f>
        <v/>
      </c>
      <c r="X27" s="41">
        <f>IF(X26&gt;=0,"CF positive",X23/-X26)</f>
        <v/>
      </c>
      <c r="Y27" s="41">
        <f>IF(Y26&gt;=0,"CF positive",Y23/-Y26)</f>
        <v/>
      </c>
      <c r="Z27" s="41">
        <f>IF(Z26&gt;=0,"CF positive",Z23/-Z26)</f>
        <v/>
      </c>
      <c r="AA27" s="41">
        <f>IF(AA26&gt;=0,"CF positive",AA23/-AA26)</f>
        <v/>
      </c>
      <c r="AB27" s="41">
        <f>IF(AB26&gt;=0,"CF positive",AB23/-AB26)</f>
        <v/>
      </c>
      <c r="AC27" s="41">
        <f>IF(AC26&gt;=0,"CF positive",AC23/-AC26)</f>
        <v/>
      </c>
      <c r="AD27" s="41">
        <f>IF(AD26&gt;=0,"CF positive",AD23/-AD26)</f>
        <v/>
      </c>
      <c r="AE27" s="41">
        <f>IF(AE26&gt;=0,"CF positive",AE23/-AE26)</f>
        <v/>
      </c>
      <c r="AF27" s="41">
        <f>IF(AF26&gt;=0,"CF positive",AF23/-AF26)</f>
        <v/>
      </c>
      <c r="AG27" s="41">
        <f>IF(AG26&gt;=0,"CF positive",AG23/-AG26)</f>
        <v/>
      </c>
      <c r="AH27" s="41">
        <f>IF(AH26&gt;=0,"CF positive",AH23/-AH26)</f>
        <v/>
      </c>
      <c r="AI27" s="41">
        <f>IF(AI26&gt;=0,"CF positive",AI23/-AI26)</f>
        <v/>
      </c>
      <c r="AJ27" s="41">
        <f>IF(AJ26&gt;=0,"CF positive",AJ23/-AJ26)</f>
        <v/>
      </c>
      <c r="AK27" s="41">
        <f>IF(AK26&gt;=0,"CF positive",AK23/-AK26)</f>
        <v/>
      </c>
      <c r="AL27" s="41">
        <f>IF(AL26&gt;=0,"CF positive",AL23/-AL26)</f>
        <v/>
      </c>
      <c r="AM27" s="41">
        <f>IF(AM26&gt;=0,"CF positive",AM23/-AM26)</f>
        <v/>
      </c>
      <c r="AN27" s="41">
        <f>IF(AN26&gt;=0,"CF positive",AN23/-AN26)</f>
        <v/>
      </c>
      <c r="AO27" s="41">
        <f>IF(AO26&gt;=0,"CF positive",AO23/-AO26)</f>
        <v/>
      </c>
      <c r="AP27" s="41">
        <f>IF(AP26&gt;=0,"CF positive",AP23/-AP26)</f>
        <v/>
      </c>
      <c r="AQ27" s="41">
        <f>IF(AQ26&gt;=0,"CF positive",AQ23/-AQ26)</f>
        <v/>
      </c>
      <c r="AR27" s="41">
        <f>IF(AR26&gt;=0,"CF positive",AR23/-AR26)</f>
        <v/>
      </c>
      <c r="AS27" s="41">
        <f>IF(AS26&gt;=0,"CF positive",AS23/-AS26)</f>
        <v/>
      </c>
      <c r="AT27" s="41">
        <f>IF(AT26&gt;=0,"CF positive",AT23/-AT26)</f>
        <v/>
      </c>
      <c r="AU27" s="41">
        <f>IF(AU26&gt;=0,"CF positive",AU23/-AU26)</f>
        <v/>
      </c>
      <c r="AV27" s="41">
        <f>IF(AV26&gt;=0,"CF positive",AV23/-AV26)</f>
        <v/>
      </c>
      <c r="AW27" s="41">
        <f>IF(AW26&gt;=0,"CF positive",AW23/-AW26)</f>
        <v/>
      </c>
      <c r="AX27" s="41">
        <f>IF(AX26&gt;=0,"CF positive",AX23/-AX26)</f>
        <v/>
      </c>
      <c r="AY27" s="41">
        <f>IF(AY26&gt;=0,"CF positive",AY23/-AY26)</f>
        <v/>
      </c>
      <c r="AZ27" s="41">
        <f>IF(AZ26&gt;=0,"CF positive",AZ23/-AZ26)</f>
        <v/>
      </c>
      <c r="BA27" s="41">
        <f>IF(BA26&gt;=0,"CF positive",BA23/-BA26)</f>
        <v/>
      </c>
      <c r="BB27" s="41">
        <f>IF(BB26&gt;=0,"CF positive",BB23/-BB26)</f>
        <v/>
      </c>
      <c r="BC27" s="41">
        <f>IF(BC26&gt;=0,"CF positive",BC23/-BC26)</f>
        <v/>
      </c>
      <c r="BD27" s="41">
        <f>IF(BD26&gt;=0,"CF positive",BD23/-BD26)</f>
        <v/>
      </c>
      <c r="BE27" s="41">
        <f>IF(BE26&gt;=0,"CF positive",BE23/-BE26)</f>
        <v/>
      </c>
      <c r="BF27" s="41">
        <f>IF(BF26&gt;=0,"CF positive",BF23/-BF26)</f>
        <v/>
      </c>
      <c r="BG27" s="41">
        <f>IF(BG26&gt;=0,"CF positive",BG23/-BG26)</f>
        <v/>
      </c>
      <c r="BH27" s="41">
        <f>IF(BH26&gt;=0,"CF positive",BH23/-BH26)</f>
        <v/>
      </c>
      <c r="BI27" s="41">
        <f>IF(BI26&gt;=0,"CF positive",BI23/-BI26)</f>
        <v/>
      </c>
      <c r="BJ27" s="41">
        <f>IF(BJ26&gt;=0,"CF positive",BJ23/-BJ26)</f>
        <v/>
      </c>
    </row>
    <row r="28"/>
    <row r="29">
      <c r="A29" s="19" t="inlineStr">
        <is>
          <t>Helper rows for key outputs (999 = condition not met; 1E+15 = month excluded)</t>
        </is>
      </c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19" t="n"/>
      <c r="AS29" s="19" t="n"/>
      <c r="AT29" s="19" t="n"/>
      <c r="AU29" s="19" t="n"/>
      <c r="AV29" s="19" t="n"/>
      <c r="AW29" s="19" t="n"/>
      <c r="AX29" s="19" t="n"/>
      <c r="AY29" s="19" t="n"/>
      <c r="AZ29" s="19" t="n"/>
      <c r="BA29" s="19" t="n"/>
      <c r="BB29" s="19" t="n"/>
      <c r="BC29" s="19" t="n"/>
      <c r="BD29" s="19" t="n"/>
      <c r="BE29" s="19" t="n"/>
      <c r="BF29" s="19" t="n"/>
      <c r="BG29" s="19" t="n"/>
      <c r="BH29" s="19" t="n"/>
      <c r="BI29" s="19" t="n"/>
      <c r="BJ29" s="19" t="n"/>
    </row>
    <row r="30">
      <c r="A30" s="4" t="inlineStr">
        <is>
          <t>EBITDA &gt;= 0 (month #)</t>
        </is>
      </c>
      <c r="B30" s="17" t="inlineStr">
        <is>
          <t>month #</t>
        </is>
      </c>
      <c r="C30" s="10">
        <f>IF('P&amp;L'!C46&gt;=0,C$3,999)</f>
        <v/>
      </c>
      <c r="D30" s="10">
        <f>IF('P&amp;L'!D46&gt;=0,D$3,999)</f>
        <v/>
      </c>
      <c r="E30" s="10">
        <f>IF('P&amp;L'!E46&gt;=0,E$3,999)</f>
        <v/>
      </c>
      <c r="F30" s="10">
        <f>IF('P&amp;L'!F46&gt;=0,F$3,999)</f>
        <v/>
      </c>
      <c r="G30" s="10">
        <f>IF('P&amp;L'!G46&gt;=0,G$3,999)</f>
        <v/>
      </c>
      <c r="H30" s="10">
        <f>IF('P&amp;L'!H46&gt;=0,H$3,999)</f>
        <v/>
      </c>
      <c r="I30" s="10">
        <f>IF('P&amp;L'!I46&gt;=0,I$3,999)</f>
        <v/>
      </c>
      <c r="J30" s="10">
        <f>IF('P&amp;L'!J46&gt;=0,J$3,999)</f>
        <v/>
      </c>
      <c r="K30" s="10">
        <f>IF('P&amp;L'!K46&gt;=0,K$3,999)</f>
        <v/>
      </c>
      <c r="L30" s="10">
        <f>IF('P&amp;L'!L46&gt;=0,L$3,999)</f>
        <v/>
      </c>
      <c r="M30" s="10">
        <f>IF('P&amp;L'!M46&gt;=0,M$3,999)</f>
        <v/>
      </c>
      <c r="N30" s="10">
        <f>IF('P&amp;L'!N46&gt;=0,N$3,999)</f>
        <v/>
      </c>
      <c r="O30" s="10">
        <f>IF('P&amp;L'!O46&gt;=0,O$3,999)</f>
        <v/>
      </c>
      <c r="P30" s="10">
        <f>IF('P&amp;L'!P46&gt;=0,P$3,999)</f>
        <v/>
      </c>
      <c r="Q30" s="10">
        <f>IF('P&amp;L'!Q46&gt;=0,Q$3,999)</f>
        <v/>
      </c>
      <c r="R30" s="10">
        <f>IF('P&amp;L'!R46&gt;=0,R$3,999)</f>
        <v/>
      </c>
      <c r="S30" s="10">
        <f>IF('P&amp;L'!S46&gt;=0,S$3,999)</f>
        <v/>
      </c>
      <c r="T30" s="10">
        <f>IF('P&amp;L'!T46&gt;=0,T$3,999)</f>
        <v/>
      </c>
      <c r="U30" s="10">
        <f>IF('P&amp;L'!U46&gt;=0,U$3,999)</f>
        <v/>
      </c>
      <c r="V30" s="10">
        <f>IF('P&amp;L'!V46&gt;=0,V$3,999)</f>
        <v/>
      </c>
      <c r="W30" s="10">
        <f>IF('P&amp;L'!W46&gt;=0,W$3,999)</f>
        <v/>
      </c>
      <c r="X30" s="10">
        <f>IF('P&amp;L'!X46&gt;=0,X$3,999)</f>
        <v/>
      </c>
      <c r="Y30" s="10">
        <f>IF('P&amp;L'!Y46&gt;=0,Y$3,999)</f>
        <v/>
      </c>
      <c r="Z30" s="10">
        <f>IF('P&amp;L'!Z46&gt;=0,Z$3,999)</f>
        <v/>
      </c>
      <c r="AA30" s="10">
        <f>IF('P&amp;L'!AA46&gt;=0,AA$3,999)</f>
        <v/>
      </c>
      <c r="AB30" s="10">
        <f>IF('P&amp;L'!AB46&gt;=0,AB$3,999)</f>
        <v/>
      </c>
      <c r="AC30" s="10">
        <f>IF('P&amp;L'!AC46&gt;=0,AC$3,999)</f>
        <v/>
      </c>
      <c r="AD30" s="10">
        <f>IF('P&amp;L'!AD46&gt;=0,AD$3,999)</f>
        <v/>
      </c>
      <c r="AE30" s="10">
        <f>IF('P&amp;L'!AE46&gt;=0,AE$3,999)</f>
        <v/>
      </c>
      <c r="AF30" s="10">
        <f>IF('P&amp;L'!AF46&gt;=0,AF$3,999)</f>
        <v/>
      </c>
      <c r="AG30" s="10">
        <f>IF('P&amp;L'!AG46&gt;=0,AG$3,999)</f>
        <v/>
      </c>
      <c r="AH30" s="10">
        <f>IF('P&amp;L'!AH46&gt;=0,AH$3,999)</f>
        <v/>
      </c>
      <c r="AI30" s="10">
        <f>IF('P&amp;L'!AI46&gt;=0,AI$3,999)</f>
        <v/>
      </c>
      <c r="AJ30" s="10">
        <f>IF('P&amp;L'!AJ46&gt;=0,AJ$3,999)</f>
        <v/>
      </c>
      <c r="AK30" s="10">
        <f>IF('P&amp;L'!AK46&gt;=0,AK$3,999)</f>
        <v/>
      </c>
      <c r="AL30" s="10">
        <f>IF('P&amp;L'!AL46&gt;=0,AL$3,999)</f>
        <v/>
      </c>
      <c r="AM30" s="10">
        <f>IF('P&amp;L'!AM46&gt;=0,AM$3,999)</f>
        <v/>
      </c>
      <c r="AN30" s="10">
        <f>IF('P&amp;L'!AN46&gt;=0,AN$3,999)</f>
        <v/>
      </c>
      <c r="AO30" s="10">
        <f>IF('P&amp;L'!AO46&gt;=0,AO$3,999)</f>
        <v/>
      </c>
      <c r="AP30" s="10">
        <f>IF('P&amp;L'!AP46&gt;=0,AP$3,999)</f>
        <v/>
      </c>
      <c r="AQ30" s="10">
        <f>IF('P&amp;L'!AQ46&gt;=0,AQ$3,999)</f>
        <v/>
      </c>
      <c r="AR30" s="10">
        <f>IF('P&amp;L'!AR46&gt;=0,AR$3,999)</f>
        <v/>
      </c>
      <c r="AS30" s="10">
        <f>IF('P&amp;L'!AS46&gt;=0,AS$3,999)</f>
        <v/>
      </c>
      <c r="AT30" s="10">
        <f>IF('P&amp;L'!AT46&gt;=0,AT$3,999)</f>
        <v/>
      </c>
      <c r="AU30" s="10">
        <f>IF('P&amp;L'!AU46&gt;=0,AU$3,999)</f>
        <v/>
      </c>
      <c r="AV30" s="10">
        <f>IF('P&amp;L'!AV46&gt;=0,AV$3,999)</f>
        <v/>
      </c>
      <c r="AW30" s="10">
        <f>IF('P&amp;L'!AW46&gt;=0,AW$3,999)</f>
        <v/>
      </c>
      <c r="AX30" s="10">
        <f>IF('P&amp;L'!AX46&gt;=0,AX$3,999)</f>
        <v/>
      </c>
      <c r="AY30" s="10">
        <f>IF('P&amp;L'!AY46&gt;=0,AY$3,999)</f>
        <v/>
      </c>
      <c r="AZ30" s="10">
        <f>IF('P&amp;L'!AZ46&gt;=0,AZ$3,999)</f>
        <v/>
      </c>
      <c r="BA30" s="10">
        <f>IF('P&amp;L'!BA46&gt;=0,BA$3,999)</f>
        <v/>
      </c>
      <c r="BB30" s="10">
        <f>IF('P&amp;L'!BB46&gt;=0,BB$3,999)</f>
        <v/>
      </c>
      <c r="BC30" s="10">
        <f>IF('P&amp;L'!BC46&gt;=0,BC$3,999)</f>
        <v/>
      </c>
      <c r="BD30" s="10">
        <f>IF('P&amp;L'!BD46&gt;=0,BD$3,999)</f>
        <v/>
      </c>
      <c r="BE30" s="10">
        <f>IF('P&amp;L'!BE46&gt;=0,BE$3,999)</f>
        <v/>
      </c>
      <c r="BF30" s="10">
        <f>IF('P&amp;L'!BF46&gt;=0,BF$3,999)</f>
        <v/>
      </c>
      <c r="BG30" s="10">
        <f>IF('P&amp;L'!BG46&gt;=0,BG$3,999)</f>
        <v/>
      </c>
      <c r="BH30" s="10">
        <f>IF('P&amp;L'!BH46&gt;=0,BH$3,999)</f>
        <v/>
      </c>
      <c r="BI30" s="10">
        <f>IF('P&amp;L'!BI46&gt;=0,BI$3,999)</f>
        <v/>
      </c>
      <c r="BJ30" s="10">
        <f>IF('P&amp;L'!BJ46&gt;=0,BJ$3,999)</f>
        <v/>
      </c>
    </row>
    <row r="31">
      <c r="A31" s="4" t="inlineStr">
        <is>
          <t>Lowest EBITDA from this month onward</t>
        </is>
      </c>
      <c r="B31" s="17" t="inlineStr">
        <is>
          <t>R</t>
        </is>
      </c>
      <c r="C31" s="8">
        <f>MIN('P&amp;L'!C46:$BJ$46)</f>
        <v/>
      </c>
      <c r="D31" s="8">
        <f>MIN('P&amp;L'!D46:$BJ$46)</f>
        <v/>
      </c>
      <c r="E31" s="8">
        <f>MIN('P&amp;L'!E46:$BJ$46)</f>
        <v/>
      </c>
      <c r="F31" s="8">
        <f>MIN('P&amp;L'!F46:$BJ$46)</f>
        <v/>
      </c>
      <c r="G31" s="8">
        <f>MIN('P&amp;L'!G46:$BJ$46)</f>
        <v/>
      </c>
      <c r="H31" s="8">
        <f>MIN('P&amp;L'!H46:$BJ$46)</f>
        <v/>
      </c>
      <c r="I31" s="8">
        <f>MIN('P&amp;L'!I46:$BJ$46)</f>
        <v/>
      </c>
      <c r="J31" s="8">
        <f>MIN('P&amp;L'!J46:$BJ$46)</f>
        <v/>
      </c>
      <c r="K31" s="8">
        <f>MIN('P&amp;L'!K46:$BJ$46)</f>
        <v/>
      </c>
      <c r="L31" s="8">
        <f>MIN('P&amp;L'!L46:$BJ$46)</f>
        <v/>
      </c>
      <c r="M31" s="8">
        <f>MIN('P&amp;L'!M46:$BJ$46)</f>
        <v/>
      </c>
      <c r="N31" s="8">
        <f>MIN('P&amp;L'!N46:$BJ$46)</f>
        <v/>
      </c>
      <c r="O31" s="8">
        <f>MIN('P&amp;L'!O46:$BJ$46)</f>
        <v/>
      </c>
      <c r="P31" s="8">
        <f>MIN('P&amp;L'!P46:$BJ$46)</f>
        <v/>
      </c>
      <c r="Q31" s="8">
        <f>MIN('P&amp;L'!Q46:$BJ$46)</f>
        <v/>
      </c>
      <c r="R31" s="8">
        <f>MIN('P&amp;L'!R46:$BJ$46)</f>
        <v/>
      </c>
      <c r="S31" s="8">
        <f>MIN('P&amp;L'!S46:$BJ$46)</f>
        <v/>
      </c>
      <c r="T31" s="8">
        <f>MIN('P&amp;L'!T46:$BJ$46)</f>
        <v/>
      </c>
      <c r="U31" s="8">
        <f>MIN('P&amp;L'!U46:$BJ$46)</f>
        <v/>
      </c>
      <c r="V31" s="8">
        <f>MIN('P&amp;L'!V46:$BJ$46)</f>
        <v/>
      </c>
      <c r="W31" s="8">
        <f>MIN('P&amp;L'!W46:$BJ$46)</f>
        <v/>
      </c>
      <c r="X31" s="8">
        <f>MIN('P&amp;L'!X46:$BJ$46)</f>
        <v/>
      </c>
      <c r="Y31" s="8">
        <f>MIN('P&amp;L'!Y46:$BJ$46)</f>
        <v/>
      </c>
      <c r="Z31" s="8">
        <f>MIN('P&amp;L'!Z46:$BJ$46)</f>
        <v/>
      </c>
      <c r="AA31" s="8">
        <f>MIN('P&amp;L'!AA46:$BJ$46)</f>
        <v/>
      </c>
      <c r="AB31" s="8">
        <f>MIN('P&amp;L'!AB46:$BJ$46)</f>
        <v/>
      </c>
      <c r="AC31" s="8">
        <f>MIN('P&amp;L'!AC46:$BJ$46)</f>
        <v/>
      </c>
      <c r="AD31" s="8">
        <f>MIN('P&amp;L'!AD46:$BJ$46)</f>
        <v/>
      </c>
      <c r="AE31" s="8">
        <f>MIN('P&amp;L'!AE46:$BJ$46)</f>
        <v/>
      </c>
      <c r="AF31" s="8">
        <f>MIN('P&amp;L'!AF46:$BJ$46)</f>
        <v/>
      </c>
      <c r="AG31" s="8">
        <f>MIN('P&amp;L'!AG46:$BJ$46)</f>
        <v/>
      </c>
      <c r="AH31" s="8">
        <f>MIN('P&amp;L'!AH46:$BJ$46)</f>
        <v/>
      </c>
      <c r="AI31" s="8">
        <f>MIN('P&amp;L'!AI46:$BJ$46)</f>
        <v/>
      </c>
      <c r="AJ31" s="8">
        <f>MIN('P&amp;L'!AJ46:$BJ$46)</f>
        <v/>
      </c>
      <c r="AK31" s="8">
        <f>MIN('P&amp;L'!AK46:$BJ$46)</f>
        <v/>
      </c>
      <c r="AL31" s="8">
        <f>MIN('P&amp;L'!AL46:$BJ$46)</f>
        <v/>
      </c>
      <c r="AM31" s="8">
        <f>MIN('P&amp;L'!AM46:$BJ$46)</f>
        <v/>
      </c>
      <c r="AN31" s="8">
        <f>MIN('P&amp;L'!AN46:$BJ$46)</f>
        <v/>
      </c>
      <c r="AO31" s="8">
        <f>MIN('P&amp;L'!AO46:$BJ$46)</f>
        <v/>
      </c>
      <c r="AP31" s="8">
        <f>MIN('P&amp;L'!AP46:$BJ$46)</f>
        <v/>
      </c>
      <c r="AQ31" s="8">
        <f>MIN('P&amp;L'!AQ46:$BJ$46)</f>
        <v/>
      </c>
      <c r="AR31" s="8">
        <f>MIN('P&amp;L'!AR46:$BJ$46)</f>
        <v/>
      </c>
      <c r="AS31" s="8">
        <f>MIN('P&amp;L'!AS46:$BJ$46)</f>
        <v/>
      </c>
      <c r="AT31" s="8">
        <f>MIN('P&amp;L'!AT46:$BJ$46)</f>
        <v/>
      </c>
      <c r="AU31" s="8">
        <f>MIN('P&amp;L'!AU46:$BJ$46)</f>
        <v/>
      </c>
      <c r="AV31" s="8">
        <f>MIN('P&amp;L'!AV46:$BJ$46)</f>
        <v/>
      </c>
      <c r="AW31" s="8">
        <f>MIN('P&amp;L'!AW46:$BJ$46)</f>
        <v/>
      </c>
      <c r="AX31" s="8">
        <f>MIN('P&amp;L'!AX46:$BJ$46)</f>
        <v/>
      </c>
      <c r="AY31" s="8">
        <f>MIN('P&amp;L'!AY46:$BJ$46)</f>
        <v/>
      </c>
      <c r="AZ31" s="8">
        <f>MIN('P&amp;L'!AZ46:$BJ$46)</f>
        <v/>
      </c>
      <c r="BA31" s="8">
        <f>MIN('P&amp;L'!BA46:$BJ$46)</f>
        <v/>
      </c>
      <c r="BB31" s="8">
        <f>MIN('P&amp;L'!BB46:$BJ$46)</f>
        <v/>
      </c>
      <c r="BC31" s="8">
        <f>MIN('P&amp;L'!BC46:$BJ$46)</f>
        <v/>
      </c>
      <c r="BD31" s="8">
        <f>MIN('P&amp;L'!BD46:$BJ$46)</f>
        <v/>
      </c>
      <c r="BE31" s="8">
        <f>MIN('P&amp;L'!BE46:$BJ$46)</f>
        <v/>
      </c>
      <c r="BF31" s="8">
        <f>MIN('P&amp;L'!BF46:$BJ$46)</f>
        <v/>
      </c>
      <c r="BG31" s="8">
        <f>MIN('P&amp;L'!BG46:$BJ$46)</f>
        <v/>
      </c>
      <c r="BH31" s="8">
        <f>MIN('P&amp;L'!BH46:$BJ$46)</f>
        <v/>
      </c>
      <c r="BI31" s="8">
        <f>MIN('P&amp;L'!BI46:$BJ$46)</f>
        <v/>
      </c>
      <c r="BJ31" s="8">
        <f>MIN('P&amp;L'!BJ46:$BJ$46)</f>
        <v/>
      </c>
    </row>
    <row r="32">
      <c r="A32" s="4" t="inlineStr">
        <is>
          <t>EBITDA stays &gt;= 0 from this month (month #)</t>
        </is>
      </c>
      <c r="B32" s="17" t="inlineStr">
        <is>
          <t>month #</t>
        </is>
      </c>
      <c r="C32" s="10">
        <f>IF(C31&gt;=0,C$3,999)</f>
        <v/>
      </c>
      <c r="D32" s="10">
        <f>IF(D31&gt;=0,D$3,999)</f>
        <v/>
      </c>
      <c r="E32" s="10">
        <f>IF(E31&gt;=0,E$3,999)</f>
        <v/>
      </c>
      <c r="F32" s="10">
        <f>IF(F31&gt;=0,F$3,999)</f>
        <v/>
      </c>
      <c r="G32" s="10">
        <f>IF(G31&gt;=0,G$3,999)</f>
        <v/>
      </c>
      <c r="H32" s="10">
        <f>IF(H31&gt;=0,H$3,999)</f>
        <v/>
      </c>
      <c r="I32" s="10">
        <f>IF(I31&gt;=0,I$3,999)</f>
        <v/>
      </c>
      <c r="J32" s="10">
        <f>IF(J31&gt;=0,J$3,999)</f>
        <v/>
      </c>
      <c r="K32" s="10">
        <f>IF(K31&gt;=0,K$3,999)</f>
        <v/>
      </c>
      <c r="L32" s="10">
        <f>IF(L31&gt;=0,L$3,999)</f>
        <v/>
      </c>
      <c r="M32" s="10">
        <f>IF(M31&gt;=0,M$3,999)</f>
        <v/>
      </c>
      <c r="N32" s="10">
        <f>IF(N31&gt;=0,N$3,999)</f>
        <v/>
      </c>
      <c r="O32" s="10">
        <f>IF(O31&gt;=0,O$3,999)</f>
        <v/>
      </c>
      <c r="P32" s="10">
        <f>IF(P31&gt;=0,P$3,999)</f>
        <v/>
      </c>
      <c r="Q32" s="10">
        <f>IF(Q31&gt;=0,Q$3,999)</f>
        <v/>
      </c>
      <c r="R32" s="10">
        <f>IF(R31&gt;=0,R$3,999)</f>
        <v/>
      </c>
      <c r="S32" s="10">
        <f>IF(S31&gt;=0,S$3,999)</f>
        <v/>
      </c>
      <c r="T32" s="10">
        <f>IF(T31&gt;=0,T$3,999)</f>
        <v/>
      </c>
      <c r="U32" s="10">
        <f>IF(U31&gt;=0,U$3,999)</f>
        <v/>
      </c>
      <c r="V32" s="10">
        <f>IF(V31&gt;=0,V$3,999)</f>
        <v/>
      </c>
      <c r="W32" s="10">
        <f>IF(W31&gt;=0,W$3,999)</f>
        <v/>
      </c>
      <c r="X32" s="10">
        <f>IF(X31&gt;=0,X$3,999)</f>
        <v/>
      </c>
      <c r="Y32" s="10">
        <f>IF(Y31&gt;=0,Y$3,999)</f>
        <v/>
      </c>
      <c r="Z32" s="10">
        <f>IF(Z31&gt;=0,Z$3,999)</f>
        <v/>
      </c>
      <c r="AA32" s="10">
        <f>IF(AA31&gt;=0,AA$3,999)</f>
        <v/>
      </c>
      <c r="AB32" s="10">
        <f>IF(AB31&gt;=0,AB$3,999)</f>
        <v/>
      </c>
      <c r="AC32" s="10">
        <f>IF(AC31&gt;=0,AC$3,999)</f>
        <v/>
      </c>
      <c r="AD32" s="10">
        <f>IF(AD31&gt;=0,AD$3,999)</f>
        <v/>
      </c>
      <c r="AE32" s="10">
        <f>IF(AE31&gt;=0,AE$3,999)</f>
        <v/>
      </c>
      <c r="AF32" s="10">
        <f>IF(AF31&gt;=0,AF$3,999)</f>
        <v/>
      </c>
      <c r="AG32" s="10">
        <f>IF(AG31&gt;=0,AG$3,999)</f>
        <v/>
      </c>
      <c r="AH32" s="10">
        <f>IF(AH31&gt;=0,AH$3,999)</f>
        <v/>
      </c>
      <c r="AI32" s="10">
        <f>IF(AI31&gt;=0,AI$3,999)</f>
        <v/>
      </c>
      <c r="AJ32" s="10">
        <f>IF(AJ31&gt;=0,AJ$3,999)</f>
        <v/>
      </c>
      <c r="AK32" s="10">
        <f>IF(AK31&gt;=0,AK$3,999)</f>
        <v/>
      </c>
      <c r="AL32" s="10">
        <f>IF(AL31&gt;=0,AL$3,999)</f>
        <v/>
      </c>
      <c r="AM32" s="10">
        <f>IF(AM31&gt;=0,AM$3,999)</f>
        <v/>
      </c>
      <c r="AN32" s="10">
        <f>IF(AN31&gt;=0,AN$3,999)</f>
        <v/>
      </c>
      <c r="AO32" s="10">
        <f>IF(AO31&gt;=0,AO$3,999)</f>
        <v/>
      </c>
      <c r="AP32" s="10">
        <f>IF(AP31&gt;=0,AP$3,999)</f>
        <v/>
      </c>
      <c r="AQ32" s="10">
        <f>IF(AQ31&gt;=0,AQ$3,999)</f>
        <v/>
      </c>
      <c r="AR32" s="10">
        <f>IF(AR31&gt;=0,AR$3,999)</f>
        <v/>
      </c>
      <c r="AS32" s="10">
        <f>IF(AS31&gt;=0,AS$3,999)</f>
        <v/>
      </c>
      <c r="AT32" s="10">
        <f>IF(AT31&gt;=0,AT$3,999)</f>
        <v/>
      </c>
      <c r="AU32" s="10">
        <f>IF(AU31&gt;=0,AU$3,999)</f>
        <v/>
      </c>
      <c r="AV32" s="10">
        <f>IF(AV31&gt;=0,AV$3,999)</f>
        <v/>
      </c>
      <c r="AW32" s="10">
        <f>IF(AW31&gt;=0,AW$3,999)</f>
        <v/>
      </c>
      <c r="AX32" s="10">
        <f>IF(AX31&gt;=0,AX$3,999)</f>
        <v/>
      </c>
      <c r="AY32" s="10">
        <f>IF(AY31&gt;=0,AY$3,999)</f>
        <v/>
      </c>
      <c r="AZ32" s="10">
        <f>IF(AZ31&gt;=0,AZ$3,999)</f>
        <v/>
      </c>
      <c r="BA32" s="10">
        <f>IF(BA31&gt;=0,BA$3,999)</f>
        <v/>
      </c>
      <c r="BB32" s="10">
        <f>IF(BB31&gt;=0,BB$3,999)</f>
        <v/>
      </c>
      <c r="BC32" s="10">
        <f>IF(BC31&gt;=0,BC$3,999)</f>
        <v/>
      </c>
      <c r="BD32" s="10">
        <f>IF(BD31&gt;=0,BD$3,999)</f>
        <v/>
      </c>
      <c r="BE32" s="10">
        <f>IF(BE31&gt;=0,BE$3,999)</f>
        <v/>
      </c>
      <c r="BF32" s="10">
        <f>IF(BF31&gt;=0,BF$3,999)</f>
        <v/>
      </c>
      <c r="BG32" s="10">
        <f>IF(BG31&gt;=0,BG$3,999)</f>
        <v/>
      </c>
      <c r="BH32" s="10">
        <f>IF(BH31&gt;=0,BH$3,999)</f>
        <v/>
      </c>
      <c r="BI32" s="10">
        <f>IF(BI31&gt;=0,BI$3,999)</f>
        <v/>
      </c>
      <c r="BJ32" s="10">
        <f>IF(BJ31&gt;=0,BJ$3,999)</f>
        <v/>
      </c>
    </row>
    <row r="33">
      <c r="A33" s="4" t="inlineStr">
        <is>
          <t>Operating cash flow &gt;= 0 (month #)</t>
        </is>
      </c>
      <c r="B33" s="17" t="inlineStr">
        <is>
          <t>month #</t>
        </is>
      </c>
      <c r="C33" s="10">
        <f>IF(C14&gt;=0,C$3,999)</f>
        <v/>
      </c>
      <c r="D33" s="10">
        <f>IF(D14&gt;=0,D$3,999)</f>
        <v/>
      </c>
      <c r="E33" s="10">
        <f>IF(E14&gt;=0,E$3,999)</f>
        <v/>
      </c>
      <c r="F33" s="10">
        <f>IF(F14&gt;=0,F$3,999)</f>
        <v/>
      </c>
      <c r="G33" s="10">
        <f>IF(G14&gt;=0,G$3,999)</f>
        <v/>
      </c>
      <c r="H33" s="10">
        <f>IF(H14&gt;=0,H$3,999)</f>
        <v/>
      </c>
      <c r="I33" s="10">
        <f>IF(I14&gt;=0,I$3,999)</f>
        <v/>
      </c>
      <c r="J33" s="10">
        <f>IF(J14&gt;=0,J$3,999)</f>
        <v/>
      </c>
      <c r="K33" s="10">
        <f>IF(K14&gt;=0,K$3,999)</f>
        <v/>
      </c>
      <c r="L33" s="10">
        <f>IF(L14&gt;=0,L$3,999)</f>
        <v/>
      </c>
      <c r="M33" s="10">
        <f>IF(M14&gt;=0,M$3,999)</f>
        <v/>
      </c>
      <c r="N33" s="10">
        <f>IF(N14&gt;=0,N$3,999)</f>
        <v/>
      </c>
      <c r="O33" s="10">
        <f>IF(O14&gt;=0,O$3,999)</f>
        <v/>
      </c>
      <c r="P33" s="10">
        <f>IF(P14&gt;=0,P$3,999)</f>
        <v/>
      </c>
      <c r="Q33" s="10">
        <f>IF(Q14&gt;=0,Q$3,999)</f>
        <v/>
      </c>
      <c r="R33" s="10">
        <f>IF(R14&gt;=0,R$3,999)</f>
        <v/>
      </c>
      <c r="S33" s="10">
        <f>IF(S14&gt;=0,S$3,999)</f>
        <v/>
      </c>
      <c r="T33" s="10">
        <f>IF(T14&gt;=0,T$3,999)</f>
        <v/>
      </c>
      <c r="U33" s="10">
        <f>IF(U14&gt;=0,U$3,999)</f>
        <v/>
      </c>
      <c r="V33" s="10">
        <f>IF(V14&gt;=0,V$3,999)</f>
        <v/>
      </c>
      <c r="W33" s="10">
        <f>IF(W14&gt;=0,W$3,999)</f>
        <v/>
      </c>
      <c r="X33" s="10">
        <f>IF(X14&gt;=0,X$3,999)</f>
        <v/>
      </c>
      <c r="Y33" s="10">
        <f>IF(Y14&gt;=0,Y$3,999)</f>
        <v/>
      </c>
      <c r="Z33" s="10">
        <f>IF(Z14&gt;=0,Z$3,999)</f>
        <v/>
      </c>
      <c r="AA33" s="10">
        <f>IF(AA14&gt;=0,AA$3,999)</f>
        <v/>
      </c>
      <c r="AB33" s="10">
        <f>IF(AB14&gt;=0,AB$3,999)</f>
        <v/>
      </c>
      <c r="AC33" s="10">
        <f>IF(AC14&gt;=0,AC$3,999)</f>
        <v/>
      </c>
      <c r="AD33" s="10">
        <f>IF(AD14&gt;=0,AD$3,999)</f>
        <v/>
      </c>
      <c r="AE33" s="10">
        <f>IF(AE14&gt;=0,AE$3,999)</f>
        <v/>
      </c>
      <c r="AF33" s="10">
        <f>IF(AF14&gt;=0,AF$3,999)</f>
        <v/>
      </c>
      <c r="AG33" s="10">
        <f>IF(AG14&gt;=0,AG$3,999)</f>
        <v/>
      </c>
      <c r="AH33" s="10">
        <f>IF(AH14&gt;=0,AH$3,999)</f>
        <v/>
      </c>
      <c r="AI33" s="10">
        <f>IF(AI14&gt;=0,AI$3,999)</f>
        <v/>
      </c>
      <c r="AJ33" s="10">
        <f>IF(AJ14&gt;=0,AJ$3,999)</f>
        <v/>
      </c>
      <c r="AK33" s="10">
        <f>IF(AK14&gt;=0,AK$3,999)</f>
        <v/>
      </c>
      <c r="AL33" s="10">
        <f>IF(AL14&gt;=0,AL$3,999)</f>
        <v/>
      </c>
      <c r="AM33" s="10">
        <f>IF(AM14&gt;=0,AM$3,999)</f>
        <v/>
      </c>
      <c r="AN33" s="10">
        <f>IF(AN14&gt;=0,AN$3,999)</f>
        <v/>
      </c>
      <c r="AO33" s="10">
        <f>IF(AO14&gt;=0,AO$3,999)</f>
        <v/>
      </c>
      <c r="AP33" s="10">
        <f>IF(AP14&gt;=0,AP$3,999)</f>
        <v/>
      </c>
      <c r="AQ33" s="10">
        <f>IF(AQ14&gt;=0,AQ$3,999)</f>
        <v/>
      </c>
      <c r="AR33" s="10">
        <f>IF(AR14&gt;=0,AR$3,999)</f>
        <v/>
      </c>
      <c r="AS33" s="10">
        <f>IF(AS14&gt;=0,AS$3,999)</f>
        <v/>
      </c>
      <c r="AT33" s="10">
        <f>IF(AT14&gt;=0,AT$3,999)</f>
        <v/>
      </c>
      <c r="AU33" s="10">
        <f>IF(AU14&gt;=0,AU$3,999)</f>
        <v/>
      </c>
      <c r="AV33" s="10">
        <f>IF(AV14&gt;=0,AV$3,999)</f>
        <v/>
      </c>
      <c r="AW33" s="10">
        <f>IF(AW14&gt;=0,AW$3,999)</f>
        <v/>
      </c>
      <c r="AX33" s="10">
        <f>IF(AX14&gt;=0,AX$3,999)</f>
        <v/>
      </c>
      <c r="AY33" s="10">
        <f>IF(AY14&gt;=0,AY$3,999)</f>
        <v/>
      </c>
      <c r="AZ33" s="10">
        <f>IF(AZ14&gt;=0,AZ$3,999)</f>
        <v/>
      </c>
      <c r="BA33" s="10">
        <f>IF(BA14&gt;=0,BA$3,999)</f>
        <v/>
      </c>
      <c r="BB33" s="10">
        <f>IF(BB14&gt;=0,BB$3,999)</f>
        <v/>
      </c>
      <c r="BC33" s="10">
        <f>IF(BC14&gt;=0,BC$3,999)</f>
        <v/>
      </c>
      <c r="BD33" s="10">
        <f>IF(BD14&gt;=0,BD$3,999)</f>
        <v/>
      </c>
      <c r="BE33" s="10">
        <f>IF(BE14&gt;=0,BE$3,999)</f>
        <v/>
      </c>
      <c r="BF33" s="10">
        <f>IF(BF14&gt;=0,BF$3,999)</f>
        <v/>
      </c>
      <c r="BG33" s="10">
        <f>IF(BG14&gt;=0,BG$3,999)</f>
        <v/>
      </c>
      <c r="BH33" s="10">
        <f>IF(BH14&gt;=0,BH$3,999)</f>
        <v/>
      </c>
      <c r="BI33" s="10">
        <f>IF(BI14&gt;=0,BI$3,999)</f>
        <v/>
      </c>
      <c r="BJ33" s="10">
        <f>IF(BJ14&gt;=0,BJ$3,999)</f>
        <v/>
      </c>
    </row>
    <row r="34">
      <c r="A34" s="4" t="inlineStr">
        <is>
          <t>Lowest operating cash flow from this month onward</t>
        </is>
      </c>
      <c r="B34" s="17" t="inlineStr">
        <is>
          <t>R</t>
        </is>
      </c>
      <c r="C34" s="8">
        <f>MIN(C14:$BJ$14)</f>
        <v/>
      </c>
      <c r="D34" s="8">
        <f>MIN(D14:$BJ$14)</f>
        <v/>
      </c>
      <c r="E34" s="8">
        <f>MIN(E14:$BJ$14)</f>
        <v/>
      </c>
      <c r="F34" s="8">
        <f>MIN(F14:$BJ$14)</f>
        <v/>
      </c>
      <c r="G34" s="8">
        <f>MIN(G14:$BJ$14)</f>
        <v/>
      </c>
      <c r="H34" s="8">
        <f>MIN(H14:$BJ$14)</f>
        <v/>
      </c>
      <c r="I34" s="8">
        <f>MIN(I14:$BJ$14)</f>
        <v/>
      </c>
      <c r="J34" s="8">
        <f>MIN(J14:$BJ$14)</f>
        <v/>
      </c>
      <c r="K34" s="8">
        <f>MIN(K14:$BJ$14)</f>
        <v/>
      </c>
      <c r="L34" s="8">
        <f>MIN(L14:$BJ$14)</f>
        <v/>
      </c>
      <c r="M34" s="8">
        <f>MIN(M14:$BJ$14)</f>
        <v/>
      </c>
      <c r="N34" s="8">
        <f>MIN(N14:$BJ$14)</f>
        <v/>
      </c>
      <c r="O34" s="8">
        <f>MIN(O14:$BJ$14)</f>
        <v/>
      </c>
      <c r="P34" s="8">
        <f>MIN(P14:$BJ$14)</f>
        <v/>
      </c>
      <c r="Q34" s="8">
        <f>MIN(Q14:$BJ$14)</f>
        <v/>
      </c>
      <c r="R34" s="8">
        <f>MIN(R14:$BJ$14)</f>
        <v/>
      </c>
      <c r="S34" s="8">
        <f>MIN(S14:$BJ$14)</f>
        <v/>
      </c>
      <c r="T34" s="8">
        <f>MIN(T14:$BJ$14)</f>
        <v/>
      </c>
      <c r="U34" s="8">
        <f>MIN(U14:$BJ$14)</f>
        <v/>
      </c>
      <c r="V34" s="8">
        <f>MIN(V14:$BJ$14)</f>
        <v/>
      </c>
      <c r="W34" s="8">
        <f>MIN(W14:$BJ$14)</f>
        <v/>
      </c>
      <c r="X34" s="8">
        <f>MIN(X14:$BJ$14)</f>
        <v/>
      </c>
      <c r="Y34" s="8">
        <f>MIN(Y14:$BJ$14)</f>
        <v/>
      </c>
      <c r="Z34" s="8">
        <f>MIN(Z14:$BJ$14)</f>
        <v/>
      </c>
      <c r="AA34" s="8">
        <f>MIN(AA14:$BJ$14)</f>
        <v/>
      </c>
      <c r="AB34" s="8">
        <f>MIN(AB14:$BJ$14)</f>
        <v/>
      </c>
      <c r="AC34" s="8">
        <f>MIN(AC14:$BJ$14)</f>
        <v/>
      </c>
      <c r="AD34" s="8">
        <f>MIN(AD14:$BJ$14)</f>
        <v/>
      </c>
      <c r="AE34" s="8">
        <f>MIN(AE14:$BJ$14)</f>
        <v/>
      </c>
      <c r="AF34" s="8">
        <f>MIN(AF14:$BJ$14)</f>
        <v/>
      </c>
      <c r="AG34" s="8">
        <f>MIN(AG14:$BJ$14)</f>
        <v/>
      </c>
      <c r="AH34" s="8">
        <f>MIN(AH14:$BJ$14)</f>
        <v/>
      </c>
      <c r="AI34" s="8">
        <f>MIN(AI14:$BJ$14)</f>
        <v/>
      </c>
      <c r="AJ34" s="8">
        <f>MIN(AJ14:$BJ$14)</f>
        <v/>
      </c>
      <c r="AK34" s="8">
        <f>MIN(AK14:$BJ$14)</f>
        <v/>
      </c>
      <c r="AL34" s="8">
        <f>MIN(AL14:$BJ$14)</f>
        <v/>
      </c>
      <c r="AM34" s="8">
        <f>MIN(AM14:$BJ$14)</f>
        <v/>
      </c>
      <c r="AN34" s="8">
        <f>MIN(AN14:$BJ$14)</f>
        <v/>
      </c>
      <c r="AO34" s="8">
        <f>MIN(AO14:$BJ$14)</f>
        <v/>
      </c>
      <c r="AP34" s="8">
        <f>MIN(AP14:$BJ$14)</f>
        <v/>
      </c>
      <c r="AQ34" s="8">
        <f>MIN(AQ14:$BJ$14)</f>
        <v/>
      </c>
      <c r="AR34" s="8">
        <f>MIN(AR14:$BJ$14)</f>
        <v/>
      </c>
      <c r="AS34" s="8">
        <f>MIN(AS14:$BJ$14)</f>
        <v/>
      </c>
      <c r="AT34" s="8">
        <f>MIN(AT14:$BJ$14)</f>
        <v/>
      </c>
      <c r="AU34" s="8">
        <f>MIN(AU14:$BJ$14)</f>
        <v/>
      </c>
      <c r="AV34" s="8">
        <f>MIN(AV14:$BJ$14)</f>
        <v/>
      </c>
      <c r="AW34" s="8">
        <f>MIN(AW14:$BJ$14)</f>
        <v/>
      </c>
      <c r="AX34" s="8">
        <f>MIN(AX14:$BJ$14)</f>
        <v/>
      </c>
      <c r="AY34" s="8">
        <f>MIN(AY14:$BJ$14)</f>
        <v/>
      </c>
      <c r="AZ34" s="8">
        <f>MIN(AZ14:$BJ$14)</f>
        <v/>
      </c>
      <c r="BA34" s="8">
        <f>MIN(BA14:$BJ$14)</f>
        <v/>
      </c>
      <c r="BB34" s="8">
        <f>MIN(BB14:$BJ$14)</f>
        <v/>
      </c>
      <c r="BC34" s="8">
        <f>MIN(BC14:$BJ$14)</f>
        <v/>
      </c>
      <c r="BD34" s="8">
        <f>MIN(BD14:$BJ$14)</f>
        <v/>
      </c>
      <c r="BE34" s="8">
        <f>MIN(BE14:$BJ$14)</f>
        <v/>
      </c>
      <c r="BF34" s="8">
        <f>MIN(BF14:$BJ$14)</f>
        <v/>
      </c>
      <c r="BG34" s="8">
        <f>MIN(BG14:$BJ$14)</f>
        <v/>
      </c>
      <c r="BH34" s="8">
        <f>MIN(BH14:$BJ$14)</f>
        <v/>
      </c>
      <c r="BI34" s="8">
        <f>MIN(BI14:$BJ$14)</f>
        <v/>
      </c>
      <c r="BJ34" s="8">
        <f>MIN(BJ14:$BJ$14)</f>
        <v/>
      </c>
    </row>
    <row r="35">
      <c r="A35" s="4" t="inlineStr">
        <is>
          <t>Operating cash flow stays &gt;= 0 from this month (month #)</t>
        </is>
      </c>
      <c r="B35" s="17" t="inlineStr">
        <is>
          <t>month #</t>
        </is>
      </c>
      <c r="C35" s="10">
        <f>IF(C34&gt;=0,C$3,999)</f>
        <v/>
      </c>
      <c r="D35" s="10">
        <f>IF(D34&gt;=0,D$3,999)</f>
        <v/>
      </c>
      <c r="E35" s="10">
        <f>IF(E34&gt;=0,E$3,999)</f>
        <v/>
      </c>
      <c r="F35" s="10">
        <f>IF(F34&gt;=0,F$3,999)</f>
        <v/>
      </c>
      <c r="G35" s="10">
        <f>IF(G34&gt;=0,G$3,999)</f>
        <v/>
      </c>
      <c r="H35" s="10">
        <f>IF(H34&gt;=0,H$3,999)</f>
        <v/>
      </c>
      <c r="I35" s="10">
        <f>IF(I34&gt;=0,I$3,999)</f>
        <v/>
      </c>
      <c r="J35" s="10">
        <f>IF(J34&gt;=0,J$3,999)</f>
        <v/>
      </c>
      <c r="K35" s="10">
        <f>IF(K34&gt;=0,K$3,999)</f>
        <v/>
      </c>
      <c r="L35" s="10">
        <f>IF(L34&gt;=0,L$3,999)</f>
        <v/>
      </c>
      <c r="M35" s="10">
        <f>IF(M34&gt;=0,M$3,999)</f>
        <v/>
      </c>
      <c r="N35" s="10">
        <f>IF(N34&gt;=0,N$3,999)</f>
        <v/>
      </c>
      <c r="O35" s="10">
        <f>IF(O34&gt;=0,O$3,999)</f>
        <v/>
      </c>
      <c r="P35" s="10">
        <f>IF(P34&gt;=0,P$3,999)</f>
        <v/>
      </c>
      <c r="Q35" s="10">
        <f>IF(Q34&gt;=0,Q$3,999)</f>
        <v/>
      </c>
      <c r="R35" s="10">
        <f>IF(R34&gt;=0,R$3,999)</f>
        <v/>
      </c>
      <c r="S35" s="10">
        <f>IF(S34&gt;=0,S$3,999)</f>
        <v/>
      </c>
      <c r="T35" s="10">
        <f>IF(T34&gt;=0,T$3,999)</f>
        <v/>
      </c>
      <c r="U35" s="10">
        <f>IF(U34&gt;=0,U$3,999)</f>
        <v/>
      </c>
      <c r="V35" s="10">
        <f>IF(V34&gt;=0,V$3,999)</f>
        <v/>
      </c>
      <c r="W35" s="10">
        <f>IF(W34&gt;=0,W$3,999)</f>
        <v/>
      </c>
      <c r="X35" s="10">
        <f>IF(X34&gt;=0,X$3,999)</f>
        <v/>
      </c>
      <c r="Y35" s="10">
        <f>IF(Y34&gt;=0,Y$3,999)</f>
        <v/>
      </c>
      <c r="Z35" s="10">
        <f>IF(Z34&gt;=0,Z$3,999)</f>
        <v/>
      </c>
      <c r="AA35" s="10">
        <f>IF(AA34&gt;=0,AA$3,999)</f>
        <v/>
      </c>
      <c r="AB35" s="10">
        <f>IF(AB34&gt;=0,AB$3,999)</f>
        <v/>
      </c>
      <c r="AC35" s="10">
        <f>IF(AC34&gt;=0,AC$3,999)</f>
        <v/>
      </c>
      <c r="AD35" s="10">
        <f>IF(AD34&gt;=0,AD$3,999)</f>
        <v/>
      </c>
      <c r="AE35" s="10">
        <f>IF(AE34&gt;=0,AE$3,999)</f>
        <v/>
      </c>
      <c r="AF35" s="10">
        <f>IF(AF34&gt;=0,AF$3,999)</f>
        <v/>
      </c>
      <c r="AG35" s="10">
        <f>IF(AG34&gt;=0,AG$3,999)</f>
        <v/>
      </c>
      <c r="AH35" s="10">
        <f>IF(AH34&gt;=0,AH$3,999)</f>
        <v/>
      </c>
      <c r="AI35" s="10">
        <f>IF(AI34&gt;=0,AI$3,999)</f>
        <v/>
      </c>
      <c r="AJ35" s="10">
        <f>IF(AJ34&gt;=0,AJ$3,999)</f>
        <v/>
      </c>
      <c r="AK35" s="10">
        <f>IF(AK34&gt;=0,AK$3,999)</f>
        <v/>
      </c>
      <c r="AL35" s="10">
        <f>IF(AL34&gt;=0,AL$3,999)</f>
        <v/>
      </c>
      <c r="AM35" s="10">
        <f>IF(AM34&gt;=0,AM$3,999)</f>
        <v/>
      </c>
      <c r="AN35" s="10">
        <f>IF(AN34&gt;=0,AN$3,999)</f>
        <v/>
      </c>
      <c r="AO35" s="10">
        <f>IF(AO34&gt;=0,AO$3,999)</f>
        <v/>
      </c>
      <c r="AP35" s="10">
        <f>IF(AP34&gt;=0,AP$3,999)</f>
        <v/>
      </c>
      <c r="AQ35" s="10">
        <f>IF(AQ34&gt;=0,AQ$3,999)</f>
        <v/>
      </c>
      <c r="AR35" s="10">
        <f>IF(AR34&gt;=0,AR$3,999)</f>
        <v/>
      </c>
      <c r="AS35" s="10">
        <f>IF(AS34&gt;=0,AS$3,999)</f>
        <v/>
      </c>
      <c r="AT35" s="10">
        <f>IF(AT34&gt;=0,AT$3,999)</f>
        <v/>
      </c>
      <c r="AU35" s="10">
        <f>IF(AU34&gt;=0,AU$3,999)</f>
        <v/>
      </c>
      <c r="AV35" s="10">
        <f>IF(AV34&gt;=0,AV$3,999)</f>
        <v/>
      </c>
      <c r="AW35" s="10">
        <f>IF(AW34&gt;=0,AW$3,999)</f>
        <v/>
      </c>
      <c r="AX35" s="10">
        <f>IF(AX34&gt;=0,AX$3,999)</f>
        <v/>
      </c>
      <c r="AY35" s="10">
        <f>IF(AY34&gt;=0,AY$3,999)</f>
        <v/>
      </c>
      <c r="AZ35" s="10">
        <f>IF(AZ34&gt;=0,AZ$3,999)</f>
        <v/>
      </c>
      <c r="BA35" s="10">
        <f>IF(BA34&gt;=0,BA$3,999)</f>
        <v/>
      </c>
      <c r="BB35" s="10">
        <f>IF(BB34&gt;=0,BB$3,999)</f>
        <v/>
      </c>
      <c r="BC35" s="10">
        <f>IF(BC34&gt;=0,BC$3,999)</f>
        <v/>
      </c>
      <c r="BD35" s="10">
        <f>IF(BD34&gt;=0,BD$3,999)</f>
        <v/>
      </c>
      <c r="BE35" s="10">
        <f>IF(BE34&gt;=0,BE$3,999)</f>
        <v/>
      </c>
      <c r="BF35" s="10">
        <f>IF(BF34&gt;=0,BF$3,999)</f>
        <v/>
      </c>
      <c r="BG35" s="10">
        <f>IF(BG34&gt;=0,BG$3,999)</f>
        <v/>
      </c>
      <c r="BH35" s="10">
        <f>IF(BH34&gt;=0,BH$3,999)</f>
        <v/>
      </c>
      <c r="BI35" s="10">
        <f>IF(BI34&gt;=0,BI$3,999)</f>
        <v/>
      </c>
      <c r="BJ35" s="10">
        <f>IF(BJ34&gt;=0,BJ$3,999)</f>
        <v/>
      </c>
    </row>
    <row r="36">
      <c r="A36" s="4" t="inlineStr">
        <is>
          <t>Closing cash &lt; 0 after the seed lands (month #)</t>
        </is>
      </c>
      <c r="B36" s="17" t="inlineStr">
        <is>
          <t>month #</t>
        </is>
      </c>
      <c r="C36" s="10">
        <f>IF(AND(C$3&gt;=Assumptions!$B$14,C23&lt;0),C$3,999)</f>
        <v/>
      </c>
      <c r="D36" s="10">
        <f>IF(AND(D$3&gt;=Assumptions!$B$14,D23&lt;0),D$3,999)</f>
        <v/>
      </c>
      <c r="E36" s="10">
        <f>IF(AND(E$3&gt;=Assumptions!$B$14,E23&lt;0),E$3,999)</f>
        <v/>
      </c>
      <c r="F36" s="10">
        <f>IF(AND(F$3&gt;=Assumptions!$B$14,F23&lt;0),F$3,999)</f>
        <v/>
      </c>
      <c r="G36" s="10">
        <f>IF(AND(G$3&gt;=Assumptions!$B$14,G23&lt;0),G$3,999)</f>
        <v/>
      </c>
      <c r="H36" s="10">
        <f>IF(AND(H$3&gt;=Assumptions!$B$14,H23&lt;0),H$3,999)</f>
        <v/>
      </c>
      <c r="I36" s="10">
        <f>IF(AND(I$3&gt;=Assumptions!$B$14,I23&lt;0),I$3,999)</f>
        <v/>
      </c>
      <c r="J36" s="10">
        <f>IF(AND(J$3&gt;=Assumptions!$B$14,J23&lt;0),J$3,999)</f>
        <v/>
      </c>
      <c r="K36" s="10">
        <f>IF(AND(K$3&gt;=Assumptions!$B$14,K23&lt;0),K$3,999)</f>
        <v/>
      </c>
      <c r="L36" s="10">
        <f>IF(AND(L$3&gt;=Assumptions!$B$14,L23&lt;0),L$3,999)</f>
        <v/>
      </c>
      <c r="M36" s="10">
        <f>IF(AND(M$3&gt;=Assumptions!$B$14,M23&lt;0),M$3,999)</f>
        <v/>
      </c>
      <c r="N36" s="10">
        <f>IF(AND(N$3&gt;=Assumptions!$B$14,N23&lt;0),N$3,999)</f>
        <v/>
      </c>
      <c r="O36" s="10">
        <f>IF(AND(O$3&gt;=Assumptions!$B$14,O23&lt;0),O$3,999)</f>
        <v/>
      </c>
      <c r="P36" s="10">
        <f>IF(AND(P$3&gt;=Assumptions!$B$14,P23&lt;0),P$3,999)</f>
        <v/>
      </c>
      <c r="Q36" s="10">
        <f>IF(AND(Q$3&gt;=Assumptions!$B$14,Q23&lt;0),Q$3,999)</f>
        <v/>
      </c>
      <c r="R36" s="10">
        <f>IF(AND(R$3&gt;=Assumptions!$B$14,R23&lt;0),R$3,999)</f>
        <v/>
      </c>
      <c r="S36" s="10">
        <f>IF(AND(S$3&gt;=Assumptions!$B$14,S23&lt;0),S$3,999)</f>
        <v/>
      </c>
      <c r="T36" s="10">
        <f>IF(AND(T$3&gt;=Assumptions!$B$14,T23&lt;0),T$3,999)</f>
        <v/>
      </c>
      <c r="U36" s="10">
        <f>IF(AND(U$3&gt;=Assumptions!$B$14,U23&lt;0),U$3,999)</f>
        <v/>
      </c>
      <c r="V36" s="10">
        <f>IF(AND(V$3&gt;=Assumptions!$B$14,V23&lt;0),V$3,999)</f>
        <v/>
      </c>
      <c r="W36" s="10">
        <f>IF(AND(W$3&gt;=Assumptions!$B$14,W23&lt;0),W$3,999)</f>
        <v/>
      </c>
      <c r="X36" s="10">
        <f>IF(AND(X$3&gt;=Assumptions!$B$14,X23&lt;0),X$3,999)</f>
        <v/>
      </c>
      <c r="Y36" s="10">
        <f>IF(AND(Y$3&gt;=Assumptions!$B$14,Y23&lt;0),Y$3,999)</f>
        <v/>
      </c>
      <c r="Z36" s="10">
        <f>IF(AND(Z$3&gt;=Assumptions!$B$14,Z23&lt;0),Z$3,999)</f>
        <v/>
      </c>
      <c r="AA36" s="10">
        <f>IF(AND(AA$3&gt;=Assumptions!$B$14,AA23&lt;0),AA$3,999)</f>
        <v/>
      </c>
      <c r="AB36" s="10">
        <f>IF(AND(AB$3&gt;=Assumptions!$B$14,AB23&lt;0),AB$3,999)</f>
        <v/>
      </c>
      <c r="AC36" s="10">
        <f>IF(AND(AC$3&gt;=Assumptions!$B$14,AC23&lt;0),AC$3,999)</f>
        <v/>
      </c>
      <c r="AD36" s="10">
        <f>IF(AND(AD$3&gt;=Assumptions!$B$14,AD23&lt;0),AD$3,999)</f>
        <v/>
      </c>
      <c r="AE36" s="10">
        <f>IF(AND(AE$3&gt;=Assumptions!$B$14,AE23&lt;0),AE$3,999)</f>
        <v/>
      </c>
      <c r="AF36" s="10">
        <f>IF(AND(AF$3&gt;=Assumptions!$B$14,AF23&lt;0),AF$3,999)</f>
        <v/>
      </c>
      <c r="AG36" s="10">
        <f>IF(AND(AG$3&gt;=Assumptions!$B$14,AG23&lt;0),AG$3,999)</f>
        <v/>
      </c>
      <c r="AH36" s="10">
        <f>IF(AND(AH$3&gt;=Assumptions!$B$14,AH23&lt;0),AH$3,999)</f>
        <v/>
      </c>
      <c r="AI36" s="10">
        <f>IF(AND(AI$3&gt;=Assumptions!$B$14,AI23&lt;0),AI$3,999)</f>
        <v/>
      </c>
      <c r="AJ36" s="10">
        <f>IF(AND(AJ$3&gt;=Assumptions!$B$14,AJ23&lt;0),AJ$3,999)</f>
        <v/>
      </c>
      <c r="AK36" s="10">
        <f>IF(AND(AK$3&gt;=Assumptions!$B$14,AK23&lt;0),AK$3,999)</f>
        <v/>
      </c>
      <c r="AL36" s="10">
        <f>IF(AND(AL$3&gt;=Assumptions!$B$14,AL23&lt;0),AL$3,999)</f>
        <v/>
      </c>
      <c r="AM36" s="10">
        <f>IF(AND(AM$3&gt;=Assumptions!$B$14,AM23&lt;0),AM$3,999)</f>
        <v/>
      </c>
      <c r="AN36" s="10">
        <f>IF(AND(AN$3&gt;=Assumptions!$B$14,AN23&lt;0),AN$3,999)</f>
        <v/>
      </c>
      <c r="AO36" s="10">
        <f>IF(AND(AO$3&gt;=Assumptions!$B$14,AO23&lt;0),AO$3,999)</f>
        <v/>
      </c>
      <c r="AP36" s="10">
        <f>IF(AND(AP$3&gt;=Assumptions!$B$14,AP23&lt;0),AP$3,999)</f>
        <v/>
      </c>
      <c r="AQ36" s="10">
        <f>IF(AND(AQ$3&gt;=Assumptions!$B$14,AQ23&lt;0),AQ$3,999)</f>
        <v/>
      </c>
      <c r="AR36" s="10">
        <f>IF(AND(AR$3&gt;=Assumptions!$B$14,AR23&lt;0),AR$3,999)</f>
        <v/>
      </c>
      <c r="AS36" s="10">
        <f>IF(AND(AS$3&gt;=Assumptions!$B$14,AS23&lt;0),AS$3,999)</f>
        <v/>
      </c>
      <c r="AT36" s="10">
        <f>IF(AND(AT$3&gt;=Assumptions!$B$14,AT23&lt;0),AT$3,999)</f>
        <v/>
      </c>
      <c r="AU36" s="10">
        <f>IF(AND(AU$3&gt;=Assumptions!$B$14,AU23&lt;0),AU$3,999)</f>
        <v/>
      </c>
      <c r="AV36" s="10">
        <f>IF(AND(AV$3&gt;=Assumptions!$B$14,AV23&lt;0),AV$3,999)</f>
        <v/>
      </c>
      <c r="AW36" s="10">
        <f>IF(AND(AW$3&gt;=Assumptions!$B$14,AW23&lt;0),AW$3,999)</f>
        <v/>
      </c>
      <c r="AX36" s="10">
        <f>IF(AND(AX$3&gt;=Assumptions!$B$14,AX23&lt;0),AX$3,999)</f>
        <v/>
      </c>
      <c r="AY36" s="10">
        <f>IF(AND(AY$3&gt;=Assumptions!$B$14,AY23&lt;0),AY$3,999)</f>
        <v/>
      </c>
      <c r="AZ36" s="10">
        <f>IF(AND(AZ$3&gt;=Assumptions!$B$14,AZ23&lt;0),AZ$3,999)</f>
        <v/>
      </c>
      <c r="BA36" s="10">
        <f>IF(AND(BA$3&gt;=Assumptions!$B$14,BA23&lt;0),BA$3,999)</f>
        <v/>
      </c>
      <c r="BB36" s="10">
        <f>IF(AND(BB$3&gt;=Assumptions!$B$14,BB23&lt;0),BB$3,999)</f>
        <v/>
      </c>
      <c r="BC36" s="10">
        <f>IF(AND(BC$3&gt;=Assumptions!$B$14,BC23&lt;0),BC$3,999)</f>
        <v/>
      </c>
      <c r="BD36" s="10">
        <f>IF(AND(BD$3&gt;=Assumptions!$B$14,BD23&lt;0),BD$3,999)</f>
        <v/>
      </c>
      <c r="BE36" s="10">
        <f>IF(AND(BE$3&gt;=Assumptions!$B$14,BE23&lt;0),BE$3,999)</f>
        <v/>
      </c>
      <c r="BF36" s="10">
        <f>IF(AND(BF$3&gt;=Assumptions!$B$14,BF23&lt;0),BF$3,999)</f>
        <v/>
      </c>
      <c r="BG36" s="10">
        <f>IF(AND(BG$3&gt;=Assumptions!$B$14,BG23&lt;0),BG$3,999)</f>
        <v/>
      </c>
      <c r="BH36" s="10">
        <f>IF(AND(BH$3&gt;=Assumptions!$B$14,BH23&lt;0),BH$3,999)</f>
        <v/>
      </c>
      <c r="BI36" s="10">
        <f>IF(AND(BI$3&gt;=Assumptions!$B$14,BI23&lt;0),BI$3,999)</f>
        <v/>
      </c>
      <c r="BJ36" s="10">
        <f>IF(AND(BJ$3&gt;=Assumptions!$B$14,BJ23&lt;0),BJ$3,999)</f>
        <v/>
      </c>
    </row>
    <row r="37">
      <c r="A37" s="4" t="inlineStr">
        <is>
          <t>Closing cash below buffer after the seed lands (month #)</t>
        </is>
      </c>
      <c r="B37" s="17" t="inlineStr">
        <is>
          <t>month #</t>
        </is>
      </c>
      <c r="C37" s="10">
        <f>IF(AND(C$3&gt;=Assumptions!$B$14,C23&lt;Assumptions!$B$15),C$3,999)</f>
        <v/>
      </c>
      <c r="D37" s="10">
        <f>IF(AND(D$3&gt;=Assumptions!$B$14,D23&lt;Assumptions!$B$15),D$3,999)</f>
        <v/>
      </c>
      <c r="E37" s="10">
        <f>IF(AND(E$3&gt;=Assumptions!$B$14,E23&lt;Assumptions!$B$15),E$3,999)</f>
        <v/>
      </c>
      <c r="F37" s="10">
        <f>IF(AND(F$3&gt;=Assumptions!$B$14,F23&lt;Assumptions!$B$15),F$3,999)</f>
        <v/>
      </c>
      <c r="G37" s="10">
        <f>IF(AND(G$3&gt;=Assumptions!$B$14,G23&lt;Assumptions!$B$15),G$3,999)</f>
        <v/>
      </c>
      <c r="H37" s="10">
        <f>IF(AND(H$3&gt;=Assumptions!$B$14,H23&lt;Assumptions!$B$15),H$3,999)</f>
        <v/>
      </c>
      <c r="I37" s="10">
        <f>IF(AND(I$3&gt;=Assumptions!$B$14,I23&lt;Assumptions!$B$15),I$3,999)</f>
        <v/>
      </c>
      <c r="J37" s="10">
        <f>IF(AND(J$3&gt;=Assumptions!$B$14,J23&lt;Assumptions!$B$15),J$3,999)</f>
        <v/>
      </c>
      <c r="K37" s="10">
        <f>IF(AND(K$3&gt;=Assumptions!$B$14,K23&lt;Assumptions!$B$15),K$3,999)</f>
        <v/>
      </c>
      <c r="L37" s="10">
        <f>IF(AND(L$3&gt;=Assumptions!$B$14,L23&lt;Assumptions!$B$15),L$3,999)</f>
        <v/>
      </c>
      <c r="M37" s="10">
        <f>IF(AND(M$3&gt;=Assumptions!$B$14,M23&lt;Assumptions!$B$15),M$3,999)</f>
        <v/>
      </c>
      <c r="N37" s="10">
        <f>IF(AND(N$3&gt;=Assumptions!$B$14,N23&lt;Assumptions!$B$15),N$3,999)</f>
        <v/>
      </c>
      <c r="O37" s="10">
        <f>IF(AND(O$3&gt;=Assumptions!$B$14,O23&lt;Assumptions!$B$15),O$3,999)</f>
        <v/>
      </c>
      <c r="P37" s="10">
        <f>IF(AND(P$3&gt;=Assumptions!$B$14,P23&lt;Assumptions!$B$15),P$3,999)</f>
        <v/>
      </c>
      <c r="Q37" s="10">
        <f>IF(AND(Q$3&gt;=Assumptions!$B$14,Q23&lt;Assumptions!$B$15),Q$3,999)</f>
        <v/>
      </c>
      <c r="R37" s="10">
        <f>IF(AND(R$3&gt;=Assumptions!$B$14,R23&lt;Assumptions!$B$15),R$3,999)</f>
        <v/>
      </c>
      <c r="S37" s="10">
        <f>IF(AND(S$3&gt;=Assumptions!$B$14,S23&lt;Assumptions!$B$15),S$3,999)</f>
        <v/>
      </c>
      <c r="T37" s="10">
        <f>IF(AND(T$3&gt;=Assumptions!$B$14,T23&lt;Assumptions!$B$15),T$3,999)</f>
        <v/>
      </c>
      <c r="U37" s="10">
        <f>IF(AND(U$3&gt;=Assumptions!$B$14,U23&lt;Assumptions!$B$15),U$3,999)</f>
        <v/>
      </c>
      <c r="V37" s="10">
        <f>IF(AND(V$3&gt;=Assumptions!$B$14,V23&lt;Assumptions!$B$15),V$3,999)</f>
        <v/>
      </c>
      <c r="W37" s="10">
        <f>IF(AND(W$3&gt;=Assumptions!$B$14,W23&lt;Assumptions!$B$15),W$3,999)</f>
        <v/>
      </c>
      <c r="X37" s="10">
        <f>IF(AND(X$3&gt;=Assumptions!$B$14,X23&lt;Assumptions!$B$15),X$3,999)</f>
        <v/>
      </c>
      <c r="Y37" s="10">
        <f>IF(AND(Y$3&gt;=Assumptions!$B$14,Y23&lt;Assumptions!$B$15),Y$3,999)</f>
        <v/>
      </c>
      <c r="Z37" s="10">
        <f>IF(AND(Z$3&gt;=Assumptions!$B$14,Z23&lt;Assumptions!$B$15),Z$3,999)</f>
        <v/>
      </c>
      <c r="AA37" s="10">
        <f>IF(AND(AA$3&gt;=Assumptions!$B$14,AA23&lt;Assumptions!$B$15),AA$3,999)</f>
        <v/>
      </c>
      <c r="AB37" s="10">
        <f>IF(AND(AB$3&gt;=Assumptions!$B$14,AB23&lt;Assumptions!$B$15),AB$3,999)</f>
        <v/>
      </c>
      <c r="AC37" s="10">
        <f>IF(AND(AC$3&gt;=Assumptions!$B$14,AC23&lt;Assumptions!$B$15),AC$3,999)</f>
        <v/>
      </c>
      <c r="AD37" s="10">
        <f>IF(AND(AD$3&gt;=Assumptions!$B$14,AD23&lt;Assumptions!$B$15),AD$3,999)</f>
        <v/>
      </c>
      <c r="AE37" s="10">
        <f>IF(AND(AE$3&gt;=Assumptions!$B$14,AE23&lt;Assumptions!$B$15),AE$3,999)</f>
        <v/>
      </c>
      <c r="AF37" s="10">
        <f>IF(AND(AF$3&gt;=Assumptions!$B$14,AF23&lt;Assumptions!$B$15),AF$3,999)</f>
        <v/>
      </c>
      <c r="AG37" s="10">
        <f>IF(AND(AG$3&gt;=Assumptions!$B$14,AG23&lt;Assumptions!$B$15),AG$3,999)</f>
        <v/>
      </c>
      <c r="AH37" s="10">
        <f>IF(AND(AH$3&gt;=Assumptions!$B$14,AH23&lt;Assumptions!$B$15),AH$3,999)</f>
        <v/>
      </c>
      <c r="AI37" s="10">
        <f>IF(AND(AI$3&gt;=Assumptions!$B$14,AI23&lt;Assumptions!$B$15),AI$3,999)</f>
        <v/>
      </c>
      <c r="AJ37" s="10">
        <f>IF(AND(AJ$3&gt;=Assumptions!$B$14,AJ23&lt;Assumptions!$B$15),AJ$3,999)</f>
        <v/>
      </c>
      <c r="AK37" s="10">
        <f>IF(AND(AK$3&gt;=Assumptions!$B$14,AK23&lt;Assumptions!$B$15),AK$3,999)</f>
        <v/>
      </c>
      <c r="AL37" s="10">
        <f>IF(AND(AL$3&gt;=Assumptions!$B$14,AL23&lt;Assumptions!$B$15),AL$3,999)</f>
        <v/>
      </c>
      <c r="AM37" s="10">
        <f>IF(AND(AM$3&gt;=Assumptions!$B$14,AM23&lt;Assumptions!$B$15),AM$3,999)</f>
        <v/>
      </c>
      <c r="AN37" s="10">
        <f>IF(AND(AN$3&gt;=Assumptions!$B$14,AN23&lt;Assumptions!$B$15),AN$3,999)</f>
        <v/>
      </c>
      <c r="AO37" s="10">
        <f>IF(AND(AO$3&gt;=Assumptions!$B$14,AO23&lt;Assumptions!$B$15),AO$3,999)</f>
        <v/>
      </c>
      <c r="AP37" s="10">
        <f>IF(AND(AP$3&gt;=Assumptions!$B$14,AP23&lt;Assumptions!$B$15),AP$3,999)</f>
        <v/>
      </c>
      <c r="AQ37" s="10">
        <f>IF(AND(AQ$3&gt;=Assumptions!$B$14,AQ23&lt;Assumptions!$B$15),AQ$3,999)</f>
        <v/>
      </c>
      <c r="AR37" s="10">
        <f>IF(AND(AR$3&gt;=Assumptions!$B$14,AR23&lt;Assumptions!$B$15),AR$3,999)</f>
        <v/>
      </c>
      <c r="AS37" s="10">
        <f>IF(AND(AS$3&gt;=Assumptions!$B$14,AS23&lt;Assumptions!$B$15),AS$3,999)</f>
        <v/>
      </c>
      <c r="AT37" s="10">
        <f>IF(AND(AT$3&gt;=Assumptions!$B$14,AT23&lt;Assumptions!$B$15),AT$3,999)</f>
        <v/>
      </c>
      <c r="AU37" s="10">
        <f>IF(AND(AU$3&gt;=Assumptions!$B$14,AU23&lt;Assumptions!$B$15),AU$3,999)</f>
        <v/>
      </c>
      <c r="AV37" s="10">
        <f>IF(AND(AV$3&gt;=Assumptions!$B$14,AV23&lt;Assumptions!$B$15),AV$3,999)</f>
        <v/>
      </c>
      <c r="AW37" s="10">
        <f>IF(AND(AW$3&gt;=Assumptions!$B$14,AW23&lt;Assumptions!$B$15),AW$3,999)</f>
        <v/>
      </c>
      <c r="AX37" s="10">
        <f>IF(AND(AX$3&gt;=Assumptions!$B$14,AX23&lt;Assumptions!$B$15),AX$3,999)</f>
        <v/>
      </c>
      <c r="AY37" s="10">
        <f>IF(AND(AY$3&gt;=Assumptions!$B$14,AY23&lt;Assumptions!$B$15),AY$3,999)</f>
        <v/>
      </c>
      <c r="AZ37" s="10">
        <f>IF(AND(AZ$3&gt;=Assumptions!$B$14,AZ23&lt;Assumptions!$B$15),AZ$3,999)</f>
        <v/>
      </c>
      <c r="BA37" s="10">
        <f>IF(AND(BA$3&gt;=Assumptions!$B$14,BA23&lt;Assumptions!$B$15),BA$3,999)</f>
        <v/>
      </c>
      <c r="BB37" s="10">
        <f>IF(AND(BB$3&gt;=Assumptions!$B$14,BB23&lt;Assumptions!$B$15),BB$3,999)</f>
        <v/>
      </c>
      <c r="BC37" s="10">
        <f>IF(AND(BC$3&gt;=Assumptions!$B$14,BC23&lt;Assumptions!$B$15),BC$3,999)</f>
        <v/>
      </c>
      <c r="BD37" s="10">
        <f>IF(AND(BD$3&gt;=Assumptions!$B$14,BD23&lt;Assumptions!$B$15),BD$3,999)</f>
        <v/>
      </c>
      <c r="BE37" s="10">
        <f>IF(AND(BE$3&gt;=Assumptions!$B$14,BE23&lt;Assumptions!$B$15),BE$3,999)</f>
        <v/>
      </c>
      <c r="BF37" s="10">
        <f>IF(AND(BF$3&gt;=Assumptions!$B$14,BF23&lt;Assumptions!$B$15),BF$3,999)</f>
        <v/>
      </c>
      <c r="BG37" s="10">
        <f>IF(AND(BG$3&gt;=Assumptions!$B$14,BG23&lt;Assumptions!$B$15),BG$3,999)</f>
        <v/>
      </c>
      <c r="BH37" s="10">
        <f>IF(AND(BH$3&gt;=Assumptions!$B$14,BH23&lt;Assumptions!$B$15),BH$3,999)</f>
        <v/>
      </c>
      <c r="BI37" s="10">
        <f>IF(AND(BI$3&gt;=Assumptions!$B$14,BI23&lt;Assumptions!$B$15),BI$3,999)</f>
        <v/>
      </c>
      <c r="BJ37" s="10">
        <f>IF(AND(BJ$3&gt;=Assumptions!$B$14,BJ23&lt;Assumptions!$B$15),BJ$3,999)</f>
        <v/>
      </c>
    </row>
    <row r="38">
      <c r="A38" s="4" t="inlineStr">
        <is>
          <t>Closing cash in seed month</t>
        </is>
      </c>
      <c r="B38" s="17" t="inlineStr">
        <is>
          <t>R</t>
        </is>
      </c>
      <c r="C38" s="8">
        <f>IF(C$3=Assumptions!$B$14,C23,0)</f>
        <v/>
      </c>
      <c r="D38" s="8">
        <f>IF(D$3=Assumptions!$B$14,D23,0)</f>
        <v/>
      </c>
      <c r="E38" s="8">
        <f>IF(E$3=Assumptions!$B$14,E23,0)</f>
        <v/>
      </c>
      <c r="F38" s="8">
        <f>IF(F$3=Assumptions!$B$14,F23,0)</f>
        <v/>
      </c>
      <c r="G38" s="8">
        <f>IF(G$3=Assumptions!$B$14,G23,0)</f>
        <v/>
      </c>
      <c r="H38" s="8">
        <f>IF(H$3=Assumptions!$B$14,H23,0)</f>
        <v/>
      </c>
      <c r="I38" s="8">
        <f>IF(I$3=Assumptions!$B$14,I23,0)</f>
        <v/>
      </c>
      <c r="J38" s="8">
        <f>IF(J$3=Assumptions!$B$14,J23,0)</f>
        <v/>
      </c>
      <c r="K38" s="8">
        <f>IF(K$3=Assumptions!$B$14,K23,0)</f>
        <v/>
      </c>
      <c r="L38" s="8">
        <f>IF(L$3=Assumptions!$B$14,L23,0)</f>
        <v/>
      </c>
      <c r="M38" s="8">
        <f>IF(M$3=Assumptions!$B$14,M23,0)</f>
        <v/>
      </c>
      <c r="N38" s="8">
        <f>IF(N$3=Assumptions!$B$14,N23,0)</f>
        <v/>
      </c>
      <c r="O38" s="8">
        <f>IF(O$3=Assumptions!$B$14,O23,0)</f>
        <v/>
      </c>
      <c r="P38" s="8">
        <f>IF(P$3=Assumptions!$B$14,P23,0)</f>
        <v/>
      </c>
      <c r="Q38" s="8">
        <f>IF(Q$3=Assumptions!$B$14,Q23,0)</f>
        <v/>
      </c>
      <c r="R38" s="8">
        <f>IF(R$3=Assumptions!$B$14,R23,0)</f>
        <v/>
      </c>
      <c r="S38" s="8">
        <f>IF(S$3=Assumptions!$B$14,S23,0)</f>
        <v/>
      </c>
      <c r="T38" s="8">
        <f>IF(T$3=Assumptions!$B$14,T23,0)</f>
        <v/>
      </c>
      <c r="U38" s="8">
        <f>IF(U$3=Assumptions!$B$14,U23,0)</f>
        <v/>
      </c>
      <c r="V38" s="8">
        <f>IF(V$3=Assumptions!$B$14,V23,0)</f>
        <v/>
      </c>
      <c r="W38" s="8">
        <f>IF(W$3=Assumptions!$B$14,W23,0)</f>
        <v/>
      </c>
      <c r="X38" s="8">
        <f>IF(X$3=Assumptions!$B$14,X23,0)</f>
        <v/>
      </c>
      <c r="Y38" s="8">
        <f>IF(Y$3=Assumptions!$B$14,Y23,0)</f>
        <v/>
      </c>
      <c r="Z38" s="8">
        <f>IF(Z$3=Assumptions!$B$14,Z23,0)</f>
        <v/>
      </c>
      <c r="AA38" s="8">
        <f>IF(AA$3=Assumptions!$B$14,AA23,0)</f>
        <v/>
      </c>
      <c r="AB38" s="8">
        <f>IF(AB$3=Assumptions!$B$14,AB23,0)</f>
        <v/>
      </c>
      <c r="AC38" s="8">
        <f>IF(AC$3=Assumptions!$B$14,AC23,0)</f>
        <v/>
      </c>
      <c r="AD38" s="8">
        <f>IF(AD$3=Assumptions!$B$14,AD23,0)</f>
        <v/>
      </c>
      <c r="AE38" s="8">
        <f>IF(AE$3=Assumptions!$B$14,AE23,0)</f>
        <v/>
      </c>
      <c r="AF38" s="8">
        <f>IF(AF$3=Assumptions!$B$14,AF23,0)</f>
        <v/>
      </c>
      <c r="AG38" s="8">
        <f>IF(AG$3=Assumptions!$B$14,AG23,0)</f>
        <v/>
      </c>
      <c r="AH38" s="8">
        <f>IF(AH$3=Assumptions!$B$14,AH23,0)</f>
        <v/>
      </c>
      <c r="AI38" s="8">
        <f>IF(AI$3=Assumptions!$B$14,AI23,0)</f>
        <v/>
      </c>
      <c r="AJ38" s="8">
        <f>IF(AJ$3=Assumptions!$B$14,AJ23,0)</f>
        <v/>
      </c>
      <c r="AK38" s="8">
        <f>IF(AK$3=Assumptions!$B$14,AK23,0)</f>
        <v/>
      </c>
      <c r="AL38" s="8">
        <f>IF(AL$3=Assumptions!$B$14,AL23,0)</f>
        <v/>
      </c>
      <c r="AM38" s="8">
        <f>IF(AM$3=Assumptions!$B$14,AM23,0)</f>
        <v/>
      </c>
      <c r="AN38" s="8">
        <f>IF(AN$3=Assumptions!$B$14,AN23,0)</f>
        <v/>
      </c>
      <c r="AO38" s="8">
        <f>IF(AO$3=Assumptions!$B$14,AO23,0)</f>
        <v/>
      </c>
      <c r="AP38" s="8">
        <f>IF(AP$3=Assumptions!$B$14,AP23,0)</f>
        <v/>
      </c>
      <c r="AQ38" s="8">
        <f>IF(AQ$3=Assumptions!$B$14,AQ23,0)</f>
        <v/>
      </c>
      <c r="AR38" s="8">
        <f>IF(AR$3=Assumptions!$B$14,AR23,0)</f>
        <v/>
      </c>
      <c r="AS38" s="8">
        <f>IF(AS$3=Assumptions!$B$14,AS23,0)</f>
        <v/>
      </c>
      <c r="AT38" s="8">
        <f>IF(AT$3=Assumptions!$B$14,AT23,0)</f>
        <v/>
      </c>
      <c r="AU38" s="8">
        <f>IF(AU$3=Assumptions!$B$14,AU23,0)</f>
        <v/>
      </c>
      <c r="AV38" s="8">
        <f>IF(AV$3=Assumptions!$B$14,AV23,0)</f>
        <v/>
      </c>
      <c r="AW38" s="8">
        <f>IF(AW$3=Assumptions!$B$14,AW23,0)</f>
        <v/>
      </c>
      <c r="AX38" s="8">
        <f>IF(AX$3=Assumptions!$B$14,AX23,0)</f>
        <v/>
      </c>
      <c r="AY38" s="8">
        <f>IF(AY$3=Assumptions!$B$14,AY23,0)</f>
        <v/>
      </c>
      <c r="AZ38" s="8">
        <f>IF(AZ$3=Assumptions!$B$14,AZ23,0)</f>
        <v/>
      </c>
      <c r="BA38" s="8">
        <f>IF(BA$3=Assumptions!$B$14,BA23,0)</f>
        <v/>
      </c>
      <c r="BB38" s="8">
        <f>IF(BB$3=Assumptions!$B$14,BB23,0)</f>
        <v/>
      </c>
      <c r="BC38" s="8">
        <f>IF(BC$3=Assumptions!$B$14,BC23,0)</f>
        <v/>
      </c>
      <c r="BD38" s="8">
        <f>IF(BD$3=Assumptions!$B$14,BD23,0)</f>
        <v/>
      </c>
      <c r="BE38" s="8">
        <f>IF(BE$3=Assumptions!$B$14,BE23,0)</f>
        <v/>
      </c>
      <c r="BF38" s="8">
        <f>IF(BF$3=Assumptions!$B$14,BF23,0)</f>
        <v/>
      </c>
      <c r="BG38" s="8">
        <f>IF(BG$3=Assumptions!$B$14,BG23,0)</f>
        <v/>
      </c>
      <c r="BH38" s="8">
        <f>IF(BH$3=Assumptions!$B$14,BH23,0)</f>
        <v/>
      </c>
      <c r="BI38" s="8">
        <f>IF(BI$3=Assumptions!$B$14,BI23,0)</f>
        <v/>
      </c>
      <c r="BJ38" s="8">
        <f>IF(BJ$3=Assumptions!$B$14,BJ23,0)</f>
        <v/>
      </c>
    </row>
    <row r="39">
      <c r="A39" s="4" t="inlineStr">
        <is>
          <t>Closing cash from the seed month (1E+15 before)</t>
        </is>
      </c>
      <c r="B39" s="17" t="inlineStr">
        <is>
          <t>R</t>
        </is>
      </c>
      <c r="C39" s="8">
        <f>IF(C$3&gt;=Assumptions!$B$14,C23,1E+15)</f>
        <v/>
      </c>
      <c r="D39" s="8">
        <f>IF(D$3&gt;=Assumptions!$B$14,D23,1E+15)</f>
        <v/>
      </c>
      <c r="E39" s="8">
        <f>IF(E$3&gt;=Assumptions!$B$14,E23,1E+15)</f>
        <v/>
      </c>
      <c r="F39" s="8">
        <f>IF(F$3&gt;=Assumptions!$B$14,F23,1E+15)</f>
        <v/>
      </c>
      <c r="G39" s="8">
        <f>IF(G$3&gt;=Assumptions!$B$14,G23,1E+15)</f>
        <v/>
      </c>
      <c r="H39" s="8">
        <f>IF(H$3&gt;=Assumptions!$B$14,H23,1E+15)</f>
        <v/>
      </c>
      <c r="I39" s="8">
        <f>IF(I$3&gt;=Assumptions!$B$14,I23,1E+15)</f>
        <v/>
      </c>
      <c r="J39" s="8">
        <f>IF(J$3&gt;=Assumptions!$B$14,J23,1E+15)</f>
        <v/>
      </c>
      <c r="K39" s="8">
        <f>IF(K$3&gt;=Assumptions!$B$14,K23,1E+15)</f>
        <v/>
      </c>
      <c r="L39" s="8">
        <f>IF(L$3&gt;=Assumptions!$B$14,L23,1E+15)</f>
        <v/>
      </c>
      <c r="M39" s="8">
        <f>IF(M$3&gt;=Assumptions!$B$14,M23,1E+15)</f>
        <v/>
      </c>
      <c r="N39" s="8">
        <f>IF(N$3&gt;=Assumptions!$B$14,N23,1E+15)</f>
        <v/>
      </c>
      <c r="O39" s="8">
        <f>IF(O$3&gt;=Assumptions!$B$14,O23,1E+15)</f>
        <v/>
      </c>
      <c r="P39" s="8">
        <f>IF(P$3&gt;=Assumptions!$B$14,P23,1E+15)</f>
        <v/>
      </c>
      <c r="Q39" s="8">
        <f>IF(Q$3&gt;=Assumptions!$B$14,Q23,1E+15)</f>
        <v/>
      </c>
      <c r="R39" s="8">
        <f>IF(R$3&gt;=Assumptions!$B$14,R23,1E+15)</f>
        <v/>
      </c>
      <c r="S39" s="8">
        <f>IF(S$3&gt;=Assumptions!$B$14,S23,1E+15)</f>
        <v/>
      </c>
      <c r="T39" s="8">
        <f>IF(T$3&gt;=Assumptions!$B$14,T23,1E+15)</f>
        <v/>
      </c>
      <c r="U39" s="8">
        <f>IF(U$3&gt;=Assumptions!$B$14,U23,1E+15)</f>
        <v/>
      </c>
      <c r="V39" s="8">
        <f>IF(V$3&gt;=Assumptions!$B$14,V23,1E+15)</f>
        <v/>
      </c>
      <c r="W39" s="8">
        <f>IF(W$3&gt;=Assumptions!$B$14,W23,1E+15)</f>
        <v/>
      </c>
      <c r="X39" s="8">
        <f>IF(X$3&gt;=Assumptions!$B$14,X23,1E+15)</f>
        <v/>
      </c>
      <c r="Y39" s="8">
        <f>IF(Y$3&gt;=Assumptions!$B$14,Y23,1E+15)</f>
        <v/>
      </c>
      <c r="Z39" s="8">
        <f>IF(Z$3&gt;=Assumptions!$B$14,Z23,1E+15)</f>
        <v/>
      </c>
      <c r="AA39" s="8">
        <f>IF(AA$3&gt;=Assumptions!$B$14,AA23,1E+15)</f>
        <v/>
      </c>
      <c r="AB39" s="8">
        <f>IF(AB$3&gt;=Assumptions!$B$14,AB23,1E+15)</f>
        <v/>
      </c>
      <c r="AC39" s="8">
        <f>IF(AC$3&gt;=Assumptions!$B$14,AC23,1E+15)</f>
        <v/>
      </c>
      <c r="AD39" s="8">
        <f>IF(AD$3&gt;=Assumptions!$B$14,AD23,1E+15)</f>
        <v/>
      </c>
      <c r="AE39" s="8">
        <f>IF(AE$3&gt;=Assumptions!$B$14,AE23,1E+15)</f>
        <v/>
      </c>
      <c r="AF39" s="8">
        <f>IF(AF$3&gt;=Assumptions!$B$14,AF23,1E+15)</f>
        <v/>
      </c>
      <c r="AG39" s="8">
        <f>IF(AG$3&gt;=Assumptions!$B$14,AG23,1E+15)</f>
        <v/>
      </c>
      <c r="AH39" s="8">
        <f>IF(AH$3&gt;=Assumptions!$B$14,AH23,1E+15)</f>
        <v/>
      </c>
      <c r="AI39" s="8">
        <f>IF(AI$3&gt;=Assumptions!$B$14,AI23,1E+15)</f>
        <v/>
      </c>
      <c r="AJ39" s="8">
        <f>IF(AJ$3&gt;=Assumptions!$B$14,AJ23,1E+15)</f>
        <v/>
      </c>
      <c r="AK39" s="8">
        <f>IF(AK$3&gt;=Assumptions!$B$14,AK23,1E+15)</f>
        <v/>
      </c>
      <c r="AL39" s="8">
        <f>IF(AL$3&gt;=Assumptions!$B$14,AL23,1E+15)</f>
        <v/>
      </c>
      <c r="AM39" s="8">
        <f>IF(AM$3&gt;=Assumptions!$B$14,AM23,1E+15)</f>
        <v/>
      </c>
      <c r="AN39" s="8">
        <f>IF(AN$3&gt;=Assumptions!$B$14,AN23,1E+15)</f>
        <v/>
      </c>
      <c r="AO39" s="8">
        <f>IF(AO$3&gt;=Assumptions!$B$14,AO23,1E+15)</f>
        <v/>
      </c>
      <c r="AP39" s="8">
        <f>IF(AP$3&gt;=Assumptions!$B$14,AP23,1E+15)</f>
        <v/>
      </c>
      <c r="AQ39" s="8">
        <f>IF(AQ$3&gt;=Assumptions!$B$14,AQ23,1E+15)</f>
        <v/>
      </c>
      <c r="AR39" s="8">
        <f>IF(AR$3&gt;=Assumptions!$B$14,AR23,1E+15)</f>
        <v/>
      </c>
      <c r="AS39" s="8">
        <f>IF(AS$3&gt;=Assumptions!$B$14,AS23,1E+15)</f>
        <v/>
      </c>
      <c r="AT39" s="8">
        <f>IF(AT$3&gt;=Assumptions!$B$14,AT23,1E+15)</f>
        <v/>
      </c>
      <c r="AU39" s="8">
        <f>IF(AU$3&gt;=Assumptions!$B$14,AU23,1E+15)</f>
        <v/>
      </c>
      <c r="AV39" s="8">
        <f>IF(AV$3&gt;=Assumptions!$B$14,AV23,1E+15)</f>
        <v/>
      </c>
      <c r="AW39" s="8">
        <f>IF(AW$3&gt;=Assumptions!$B$14,AW23,1E+15)</f>
        <v/>
      </c>
      <c r="AX39" s="8">
        <f>IF(AX$3&gt;=Assumptions!$B$14,AX23,1E+15)</f>
        <v/>
      </c>
      <c r="AY39" s="8">
        <f>IF(AY$3&gt;=Assumptions!$B$14,AY23,1E+15)</f>
        <v/>
      </c>
      <c r="AZ39" s="8">
        <f>IF(AZ$3&gt;=Assumptions!$B$14,AZ23,1E+15)</f>
        <v/>
      </c>
      <c r="BA39" s="8">
        <f>IF(BA$3&gt;=Assumptions!$B$14,BA23,1E+15)</f>
        <v/>
      </c>
      <c r="BB39" s="8">
        <f>IF(BB$3&gt;=Assumptions!$B$14,BB23,1E+15)</f>
        <v/>
      </c>
      <c r="BC39" s="8">
        <f>IF(BC$3&gt;=Assumptions!$B$14,BC23,1E+15)</f>
        <v/>
      </c>
      <c r="BD39" s="8">
        <f>IF(BD$3&gt;=Assumptions!$B$14,BD23,1E+15)</f>
        <v/>
      </c>
      <c r="BE39" s="8">
        <f>IF(BE$3&gt;=Assumptions!$B$14,BE23,1E+15)</f>
        <v/>
      </c>
      <c r="BF39" s="8">
        <f>IF(BF$3&gt;=Assumptions!$B$14,BF23,1E+15)</f>
        <v/>
      </c>
      <c r="BG39" s="8">
        <f>IF(BG$3&gt;=Assumptions!$B$14,BG23,1E+15)</f>
        <v/>
      </c>
      <c r="BH39" s="8">
        <f>IF(BH$3&gt;=Assumptions!$B$14,BH23,1E+15)</f>
        <v/>
      </c>
      <c r="BI39" s="8">
        <f>IF(BI$3&gt;=Assumptions!$B$14,BI23,1E+15)</f>
        <v/>
      </c>
      <c r="BJ39" s="8">
        <f>IF(BJ$3&gt;=Assumptions!$B$14,BJ23,1E+15)</f>
        <v/>
      </c>
    </row>
    <row r="40">
      <c r="A40" s="4" t="inlineStr">
        <is>
          <t>Closing cash before the seed month (1E+15 after)</t>
        </is>
      </c>
      <c r="B40" s="17" t="inlineStr">
        <is>
          <t>R</t>
        </is>
      </c>
      <c r="C40" s="8">
        <f>IF(C$3&lt;Assumptions!$B$14,C23,1E+15)</f>
        <v/>
      </c>
      <c r="D40" s="8">
        <f>IF(D$3&lt;Assumptions!$B$14,D23,1E+15)</f>
        <v/>
      </c>
      <c r="E40" s="8">
        <f>IF(E$3&lt;Assumptions!$B$14,E23,1E+15)</f>
        <v/>
      </c>
      <c r="F40" s="8">
        <f>IF(F$3&lt;Assumptions!$B$14,F23,1E+15)</f>
        <v/>
      </c>
      <c r="G40" s="8">
        <f>IF(G$3&lt;Assumptions!$B$14,G23,1E+15)</f>
        <v/>
      </c>
      <c r="H40" s="8">
        <f>IF(H$3&lt;Assumptions!$B$14,H23,1E+15)</f>
        <v/>
      </c>
      <c r="I40" s="8">
        <f>IF(I$3&lt;Assumptions!$B$14,I23,1E+15)</f>
        <v/>
      </c>
      <c r="J40" s="8">
        <f>IF(J$3&lt;Assumptions!$B$14,J23,1E+15)</f>
        <v/>
      </c>
      <c r="K40" s="8">
        <f>IF(K$3&lt;Assumptions!$B$14,K23,1E+15)</f>
        <v/>
      </c>
      <c r="L40" s="8">
        <f>IF(L$3&lt;Assumptions!$B$14,L23,1E+15)</f>
        <v/>
      </c>
      <c r="M40" s="8">
        <f>IF(M$3&lt;Assumptions!$B$14,M23,1E+15)</f>
        <v/>
      </c>
      <c r="N40" s="8">
        <f>IF(N$3&lt;Assumptions!$B$14,N23,1E+15)</f>
        <v/>
      </c>
      <c r="O40" s="8">
        <f>IF(O$3&lt;Assumptions!$B$14,O23,1E+15)</f>
        <v/>
      </c>
      <c r="P40" s="8">
        <f>IF(P$3&lt;Assumptions!$B$14,P23,1E+15)</f>
        <v/>
      </c>
      <c r="Q40" s="8">
        <f>IF(Q$3&lt;Assumptions!$B$14,Q23,1E+15)</f>
        <v/>
      </c>
      <c r="R40" s="8">
        <f>IF(R$3&lt;Assumptions!$B$14,R23,1E+15)</f>
        <v/>
      </c>
      <c r="S40" s="8">
        <f>IF(S$3&lt;Assumptions!$B$14,S23,1E+15)</f>
        <v/>
      </c>
      <c r="T40" s="8">
        <f>IF(T$3&lt;Assumptions!$B$14,T23,1E+15)</f>
        <v/>
      </c>
      <c r="U40" s="8">
        <f>IF(U$3&lt;Assumptions!$B$14,U23,1E+15)</f>
        <v/>
      </c>
      <c r="V40" s="8">
        <f>IF(V$3&lt;Assumptions!$B$14,V23,1E+15)</f>
        <v/>
      </c>
      <c r="W40" s="8">
        <f>IF(W$3&lt;Assumptions!$B$14,W23,1E+15)</f>
        <v/>
      </c>
      <c r="X40" s="8">
        <f>IF(X$3&lt;Assumptions!$B$14,X23,1E+15)</f>
        <v/>
      </c>
      <c r="Y40" s="8">
        <f>IF(Y$3&lt;Assumptions!$B$14,Y23,1E+15)</f>
        <v/>
      </c>
      <c r="Z40" s="8">
        <f>IF(Z$3&lt;Assumptions!$B$14,Z23,1E+15)</f>
        <v/>
      </c>
      <c r="AA40" s="8">
        <f>IF(AA$3&lt;Assumptions!$B$14,AA23,1E+15)</f>
        <v/>
      </c>
      <c r="AB40" s="8">
        <f>IF(AB$3&lt;Assumptions!$B$14,AB23,1E+15)</f>
        <v/>
      </c>
      <c r="AC40" s="8">
        <f>IF(AC$3&lt;Assumptions!$B$14,AC23,1E+15)</f>
        <v/>
      </c>
      <c r="AD40" s="8">
        <f>IF(AD$3&lt;Assumptions!$B$14,AD23,1E+15)</f>
        <v/>
      </c>
      <c r="AE40" s="8">
        <f>IF(AE$3&lt;Assumptions!$B$14,AE23,1E+15)</f>
        <v/>
      </c>
      <c r="AF40" s="8">
        <f>IF(AF$3&lt;Assumptions!$B$14,AF23,1E+15)</f>
        <v/>
      </c>
      <c r="AG40" s="8">
        <f>IF(AG$3&lt;Assumptions!$B$14,AG23,1E+15)</f>
        <v/>
      </c>
      <c r="AH40" s="8">
        <f>IF(AH$3&lt;Assumptions!$B$14,AH23,1E+15)</f>
        <v/>
      </c>
      <c r="AI40" s="8">
        <f>IF(AI$3&lt;Assumptions!$B$14,AI23,1E+15)</f>
        <v/>
      </c>
      <c r="AJ40" s="8">
        <f>IF(AJ$3&lt;Assumptions!$B$14,AJ23,1E+15)</f>
        <v/>
      </c>
      <c r="AK40" s="8">
        <f>IF(AK$3&lt;Assumptions!$B$14,AK23,1E+15)</f>
        <v/>
      </c>
      <c r="AL40" s="8">
        <f>IF(AL$3&lt;Assumptions!$B$14,AL23,1E+15)</f>
        <v/>
      </c>
      <c r="AM40" s="8">
        <f>IF(AM$3&lt;Assumptions!$B$14,AM23,1E+15)</f>
        <v/>
      </c>
      <c r="AN40" s="8">
        <f>IF(AN$3&lt;Assumptions!$B$14,AN23,1E+15)</f>
        <v/>
      </c>
      <c r="AO40" s="8">
        <f>IF(AO$3&lt;Assumptions!$B$14,AO23,1E+15)</f>
        <v/>
      </c>
      <c r="AP40" s="8">
        <f>IF(AP$3&lt;Assumptions!$B$14,AP23,1E+15)</f>
        <v/>
      </c>
      <c r="AQ40" s="8">
        <f>IF(AQ$3&lt;Assumptions!$B$14,AQ23,1E+15)</f>
        <v/>
      </c>
      <c r="AR40" s="8">
        <f>IF(AR$3&lt;Assumptions!$B$14,AR23,1E+15)</f>
        <v/>
      </c>
      <c r="AS40" s="8">
        <f>IF(AS$3&lt;Assumptions!$B$14,AS23,1E+15)</f>
        <v/>
      </c>
      <c r="AT40" s="8">
        <f>IF(AT$3&lt;Assumptions!$B$14,AT23,1E+15)</f>
        <v/>
      </c>
      <c r="AU40" s="8">
        <f>IF(AU$3&lt;Assumptions!$B$14,AU23,1E+15)</f>
        <v/>
      </c>
      <c r="AV40" s="8">
        <f>IF(AV$3&lt;Assumptions!$B$14,AV23,1E+15)</f>
        <v/>
      </c>
      <c r="AW40" s="8">
        <f>IF(AW$3&lt;Assumptions!$B$14,AW23,1E+15)</f>
        <v/>
      </c>
      <c r="AX40" s="8">
        <f>IF(AX$3&lt;Assumptions!$B$14,AX23,1E+15)</f>
        <v/>
      </c>
      <c r="AY40" s="8">
        <f>IF(AY$3&lt;Assumptions!$B$14,AY23,1E+15)</f>
        <v/>
      </c>
      <c r="AZ40" s="8">
        <f>IF(AZ$3&lt;Assumptions!$B$14,AZ23,1E+15)</f>
        <v/>
      </c>
      <c r="BA40" s="8">
        <f>IF(BA$3&lt;Assumptions!$B$14,BA23,1E+15)</f>
        <v/>
      </c>
      <c r="BB40" s="8">
        <f>IF(BB$3&lt;Assumptions!$B$14,BB23,1E+15)</f>
        <v/>
      </c>
      <c r="BC40" s="8">
        <f>IF(BC$3&lt;Assumptions!$B$14,BC23,1E+15)</f>
        <v/>
      </c>
      <c r="BD40" s="8">
        <f>IF(BD$3&lt;Assumptions!$B$14,BD23,1E+15)</f>
        <v/>
      </c>
      <c r="BE40" s="8">
        <f>IF(BE$3&lt;Assumptions!$B$14,BE23,1E+15)</f>
        <v/>
      </c>
      <c r="BF40" s="8">
        <f>IF(BF$3&lt;Assumptions!$B$14,BF23,1E+15)</f>
        <v/>
      </c>
      <c r="BG40" s="8">
        <f>IF(BG$3&lt;Assumptions!$B$14,BG23,1E+15)</f>
        <v/>
      </c>
      <c r="BH40" s="8">
        <f>IF(BH$3&lt;Assumptions!$B$14,BH23,1E+15)</f>
        <v/>
      </c>
      <c r="BI40" s="8">
        <f>IF(BI$3&lt;Assumptions!$B$14,BI23,1E+15)</f>
        <v/>
      </c>
      <c r="BJ40" s="8">
        <f>IF(BJ$3&lt;Assumptions!$B$14,BJ23,1E+15)</f>
        <v/>
      </c>
    </row>
    <row r="41">
      <c r="A41" s="4" t="inlineStr">
        <is>
          <t>Operating cash flow in the 12 months after seed</t>
        </is>
      </c>
      <c r="B41" s="17" t="inlineStr">
        <is>
          <t>R</t>
        </is>
      </c>
      <c r="C41" s="8">
        <f>IF(AND(C$3&gt;Assumptions!$B$14,C$3&lt;=Assumptions!$B$14+12),C14,0)</f>
        <v/>
      </c>
      <c r="D41" s="8">
        <f>IF(AND(D$3&gt;Assumptions!$B$14,D$3&lt;=Assumptions!$B$14+12),D14,0)</f>
        <v/>
      </c>
      <c r="E41" s="8">
        <f>IF(AND(E$3&gt;Assumptions!$B$14,E$3&lt;=Assumptions!$B$14+12),E14,0)</f>
        <v/>
      </c>
      <c r="F41" s="8">
        <f>IF(AND(F$3&gt;Assumptions!$B$14,F$3&lt;=Assumptions!$B$14+12),F14,0)</f>
        <v/>
      </c>
      <c r="G41" s="8">
        <f>IF(AND(G$3&gt;Assumptions!$B$14,G$3&lt;=Assumptions!$B$14+12),G14,0)</f>
        <v/>
      </c>
      <c r="H41" s="8">
        <f>IF(AND(H$3&gt;Assumptions!$B$14,H$3&lt;=Assumptions!$B$14+12),H14,0)</f>
        <v/>
      </c>
      <c r="I41" s="8">
        <f>IF(AND(I$3&gt;Assumptions!$B$14,I$3&lt;=Assumptions!$B$14+12),I14,0)</f>
        <v/>
      </c>
      <c r="J41" s="8">
        <f>IF(AND(J$3&gt;Assumptions!$B$14,J$3&lt;=Assumptions!$B$14+12),J14,0)</f>
        <v/>
      </c>
      <c r="K41" s="8">
        <f>IF(AND(K$3&gt;Assumptions!$B$14,K$3&lt;=Assumptions!$B$14+12),K14,0)</f>
        <v/>
      </c>
      <c r="L41" s="8">
        <f>IF(AND(L$3&gt;Assumptions!$B$14,L$3&lt;=Assumptions!$B$14+12),L14,0)</f>
        <v/>
      </c>
      <c r="M41" s="8">
        <f>IF(AND(M$3&gt;Assumptions!$B$14,M$3&lt;=Assumptions!$B$14+12),M14,0)</f>
        <v/>
      </c>
      <c r="N41" s="8">
        <f>IF(AND(N$3&gt;Assumptions!$B$14,N$3&lt;=Assumptions!$B$14+12),N14,0)</f>
        <v/>
      </c>
      <c r="O41" s="8">
        <f>IF(AND(O$3&gt;Assumptions!$B$14,O$3&lt;=Assumptions!$B$14+12),O14,0)</f>
        <v/>
      </c>
      <c r="P41" s="8">
        <f>IF(AND(P$3&gt;Assumptions!$B$14,P$3&lt;=Assumptions!$B$14+12),P14,0)</f>
        <v/>
      </c>
      <c r="Q41" s="8">
        <f>IF(AND(Q$3&gt;Assumptions!$B$14,Q$3&lt;=Assumptions!$B$14+12),Q14,0)</f>
        <v/>
      </c>
      <c r="R41" s="8">
        <f>IF(AND(R$3&gt;Assumptions!$B$14,R$3&lt;=Assumptions!$B$14+12),R14,0)</f>
        <v/>
      </c>
      <c r="S41" s="8">
        <f>IF(AND(S$3&gt;Assumptions!$B$14,S$3&lt;=Assumptions!$B$14+12),S14,0)</f>
        <v/>
      </c>
      <c r="T41" s="8">
        <f>IF(AND(T$3&gt;Assumptions!$B$14,T$3&lt;=Assumptions!$B$14+12),T14,0)</f>
        <v/>
      </c>
      <c r="U41" s="8">
        <f>IF(AND(U$3&gt;Assumptions!$B$14,U$3&lt;=Assumptions!$B$14+12),U14,0)</f>
        <v/>
      </c>
      <c r="V41" s="8">
        <f>IF(AND(V$3&gt;Assumptions!$B$14,V$3&lt;=Assumptions!$B$14+12),V14,0)</f>
        <v/>
      </c>
      <c r="W41" s="8">
        <f>IF(AND(W$3&gt;Assumptions!$B$14,W$3&lt;=Assumptions!$B$14+12),W14,0)</f>
        <v/>
      </c>
      <c r="X41" s="8">
        <f>IF(AND(X$3&gt;Assumptions!$B$14,X$3&lt;=Assumptions!$B$14+12),X14,0)</f>
        <v/>
      </c>
      <c r="Y41" s="8">
        <f>IF(AND(Y$3&gt;Assumptions!$B$14,Y$3&lt;=Assumptions!$B$14+12),Y14,0)</f>
        <v/>
      </c>
      <c r="Z41" s="8">
        <f>IF(AND(Z$3&gt;Assumptions!$B$14,Z$3&lt;=Assumptions!$B$14+12),Z14,0)</f>
        <v/>
      </c>
      <c r="AA41" s="8">
        <f>IF(AND(AA$3&gt;Assumptions!$B$14,AA$3&lt;=Assumptions!$B$14+12),AA14,0)</f>
        <v/>
      </c>
      <c r="AB41" s="8">
        <f>IF(AND(AB$3&gt;Assumptions!$B$14,AB$3&lt;=Assumptions!$B$14+12),AB14,0)</f>
        <v/>
      </c>
      <c r="AC41" s="8">
        <f>IF(AND(AC$3&gt;Assumptions!$B$14,AC$3&lt;=Assumptions!$B$14+12),AC14,0)</f>
        <v/>
      </c>
      <c r="AD41" s="8">
        <f>IF(AND(AD$3&gt;Assumptions!$B$14,AD$3&lt;=Assumptions!$B$14+12),AD14,0)</f>
        <v/>
      </c>
      <c r="AE41" s="8">
        <f>IF(AND(AE$3&gt;Assumptions!$B$14,AE$3&lt;=Assumptions!$B$14+12),AE14,0)</f>
        <v/>
      </c>
      <c r="AF41" s="8">
        <f>IF(AND(AF$3&gt;Assumptions!$B$14,AF$3&lt;=Assumptions!$B$14+12),AF14,0)</f>
        <v/>
      </c>
      <c r="AG41" s="8">
        <f>IF(AND(AG$3&gt;Assumptions!$B$14,AG$3&lt;=Assumptions!$B$14+12),AG14,0)</f>
        <v/>
      </c>
      <c r="AH41" s="8">
        <f>IF(AND(AH$3&gt;Assumptions!$B$14,AH$3&lt;=Assumptions!$B$14+12),AH14,0)</f>
        <v/>
      </c>
      <c r="AI41" s="8">
        <f>IF(AND(AI$3&gt;Assumptions!$B$14,AI$3&lt;=Assumptions!$B$14+12),AI14,0)</f>
        <v/>
      </c>
      <c r="AJ41" s="8">
        <f>IF(AND(AJ$3&gt;Assumptions!$B$14,AJ$3&lt;=Assumptions!$B$14+12),AJ14,0)</f>
        <v/>
      </c>
      <c r="AK41" s="8">
        <f>IF(AND(AK$3&gt;Assumptions!$B$14,AK$3&lt;=Assumptions!$B$14+12),AK14,0)</f>
        <v/>
      </c>
      <c r="AL41" s="8">
        <f>IF(AND(AL$3&gt;Assumptions!$B$14,AL$3&lt;=Assumptions!$B$14+12),AL14,0)</f>
        <v/>
      </c>
      <c r="AM41" s="8">
        <f>IF(AND(AM$3&gt;Assumptions!$B$14,AM$3&lt;=Assumptions!$B$14+12),AM14,0)</f>
        <v/>
      </c>
      <c r="AN41" s="8">
        <f>IF(AND(AN$3&gt;Assumptions!$B$14,AN$3&lt;=Assumptions!$B$14+12),AN14,0)</f>
        <v/>
      </c>
      <c r="AO41" s="8">
        <f>IF(AND(AO$3&gt;Assumptions!$B$14,AO$3&lt;=Assumptions!$B$14+12),AO14,0)</f>
        <v/>
      </c>
      <c r="AP41" s="8">
        <f>IF(AND(AP$3&gt;Assumptions!$B$14,AP$3&lt;=Assumptions!$B$14+12),AP14,0)</f>
        <v/>
      </c>
      <c r="AQ41" s="8">
        <f>IF(AND(AQ$3&gt;Assumptions!$B$14,AQ$3&lt;=Assumptions!$B$14+12),AQ14,0)</f>
        <v/>
      </c>
      <c r="AR41" s="8">
        <f>IF(AND(AR$3&gt;Assumptions!$B$14,AR$3&lt;=Assumptions!$B$14+12),AR14,0)</f>
        <v/>
      </c>
      <c r="AS41" s="8">
        <f>IF(AND(AS$3&gt;Assumptions!$B$14,AS$3&lt;=Assumptions!$B$14+12),AS14,0)</f>
        <v/>
      </c>
      <c r="AT41" s="8">
        <f>IF(AND(AT$3&gt;Assumptions!$B$14,AT$3&lt;=Assumptions!$B$14+12),AT14,0)</f>
        <v/>
      </c>
      <c r="AU41" s="8">
        <f>IF(AND(AU$3&gt;Assumptions!$B$14,AU$3&lt;=Assumptions!$B$14+12),AU14,0)</f>
        <v/>
      </c>
      <c r="AV41" s="8">
        <f>IF(AND(AV$3&gt;Assumptions!$B$14,AV$3&lt;=Assumptions!$B$14+12),AV14,0)</f>
        <v/>
      </c>
      <c r="AW41" s="8">
        <f>IF(AND(AW$3&gt;Assumptions!$B$14,AW$3&lt;=Assumptions!$B$14+12),AW14,0)</f>
        <v/>
      </c>
      <c r="AX41" s="8">
        <f>IF(AND(AX$3&gt;Assumptions!$B$14,AX$3&lt;=Assumptions!$B$14+12),AX14,0)</f>
        <v/>
      </c>
      <c r="AY41" s="8">
        <f>IF(AND(AY$3&gt;Assumptions!$B$14,AY$3&lt;=Assumptions!$B$14+12),AY14,0)</f>
        <v/>
      </c>
      <c r="AZ41" s="8">
        <f>IF(AND(AZ$3&gt;Assumptions!$B$14,AZ$3&lt;=Assumptions!$B$14+12),AZ14,0)</f>
        <v/>
      </c>
      <c r="BA41" s="8">
        <f>IF(AND(BA$3&gt;Assumptions!$B$14,BA$3&lt;=Assumptions!$B$14+12),BA14,0)</f>
        <v/>
      </c>
      <c r="BB41" s="8">
        <f>IF(AND(BB$3&gt;Assumptions!$B$14,BB$3&lt;=Assumptions!$B$14+12),BB14,0)</f>
        <v/>
      </c>
      <c r="BC41" s="8">
        <f>IF(AND(BC$3&gt;Assumptions!$B$14,BC$3&lt;=Assumptions!$B$14+12),BC14,0)</f>
        <v/>
      </c>
      <c r="BD41" s="8">
        <f>IF(AND(BD$3&gt;Assumptions!$B$14,BD$3&lt;=Assumptions!$B$14+12),BD14,0)</f>
        <v/>
      </c>
      <c r="BE41" s="8">
        <f>IF(AND(BE$3&gt;Assumptions!$B$14,BE$3&lt;=Assumptions!$B$14+12),BE14,0)</f>
        <v/>
      </c>
      <c r="BF41" s="8">
        <f>IF(AND(BF$3&gt;Assumptions!$B$14,BF$3&lt;=Assumptions!$B$14+12),BF14,0)</f>
        <v/>
      </c>
      <c r="BG41" s="8">
        <f>IF(AND(BG$3&gt;Assumptions!$B$14,BG$3&lt;=Assumptions!$B$14+12),BG14,0)</f>
        <v/>
      </c>
      <c r="BH41" s="8">
        <f>IF(AND(BH$3&gt;Assumptions!$B$14,BH$3&lt;=Assumptions!$B$14+12),BH14,0)</f>
        <v/>
      </c>
      <c r="BI41" s="8">
        <f>IF(AND(BI$3&gt;Assumptions!$B$14,BI$3&lt;=Assumptions!$B$14+12),BI14,0)</f>
        <v/>
      </c>
      <c r="BJ41" s="8">
        <f>IF(AND(BJ$3&gt;Assumptions!$B$14,BJ$3&lt;=Assumptions!$B$14+12),BJ14,0)</f>
        <v/>
      </c>
    </row>
    <row r="42"/>
    <row r="43"/>
    <row r="44">
      <c r="A44" s="6" t="inlineStr">
        <is>
          <t>KEY CASH OUTPUTS (selected scenario)</t>
        </is>
      </c>
      <c r="B44" s="6" t="n"/>
    </row>
    <row r="45">
      <c r="A45" s="4" t="inlineStr">
        <is>
          <t>Break-even: first month EBITDA &gt;= 0 (month #)</t>
        </is>
      </c>
      <c r="B45" s="52">
        <f>MIN($C$30:$BJ$30)</f>
        <v/>
      </c>
    </row>
    <row r="46">
      <c r="A46" s="3" t="inlineStr">
        <is>
          <t>Break-even: first month EBITDA &gt;= 0</t>
        </is>
      </c>
      <c r="B46" s="53">
        <f>IF($B$45=999,"Not within horizon (to Sep 2031)",INDEX(Revenue_Build!$C$4:$BJ$4,$B$45))</f>
        <v/>
      </c>
    </row>
    <row r="47">
      <c r="A47" s="4" t="inlineStr">
        <is>
          <t>Sustained break-even: EBITDA &gt;= 0 every month thereafter (month #)</t>
        </is>
      </c>
      <c r="B47" s="52">
        <f>MIN($C$32:$BJ$32)</f>
        <v/>
      </c>
    </row>
    <row r="48">
      <c r="A48" s="3" t="inlineStr">
        <is>
          <t>Sustained break-even: EBITDA &gt;= 0 every month thereafter</t>
        </is>
      </c>
      <c r="B48" s="53">
        <f>IF($B$47=999,"Not within horizon (to Sep 2031)",INDEX(Revenue_Build!$C$4:$BJ$4,$B$47))</f>
        <v/>
      </c>
    </row>
    <row r="49">
      <c r="A49" s="4" t="inlineStr">
        <is>
          <t>Cash-flow positive: first month operating cash flow &gt;= 0 (month #)</t>
        </is>
      </c>
      <c r="B49" s="52">
        <f>MIN($C$33:$BJ$33)</f>
        <v/>
      </c>
    </row>
    <row r="50">
      <c r="A50" s="3" t="inlineStr">
        <is>
          <t>Cash-flow positive: first month operating cash flow &gt;= 0</t>
        </is>
      </c>
      <c r="B50" s="53">
        <f>IF($B$49=999,"Not within horizon (to Sep 2031)",INDEX(Revenue_Build!$C$4:$BJ$4,$B$49))</f>
        <v/>
      </c>
    </row>
    <row r="51">
      <c r="A51" s="4" t="inlineStr">
        <is>
          <t>Sustained cash-flow positive: operating cash flow &gt;= 0 every month thereafter (month #)</t>
        </is>
      </c>
      <c r="B51" s="52">
        <f>MIN($C$35:$BJ$35)</f>
        <v/>
      </c>
    </row>
    <row r="52">
      <c r="A52" s="3" t="inlineStr">
        <is>
          <t>Sustained cash-flow positive: operating cash flow &gt;= 0 every month thereafter</t>
        </is>
      </c>
      <c r="B52" s="53">
        <f>IF($B$51=999,"Not within horizon (to Sep 2031)",INDEX(Revenue_Build!$C$4:$BJ$4,$B$51))</f>
        <v/>
      </c>
    </row>
    <row r="53">
      <c r="A53" s="3" t="inlineStr">
        <is>
          <t>Minimum closing cash (all months, incl. pre-seed)</t>
        </is>
      </c>
      <c r="B53" s="48">
        <f>MIN($C$23:$BJ$23)</f>
        <v/>
      </c>
    </row>
    <row r="54">
      <c r="A54" s="4" t="inlineStr">
        <is>
          <t>Month # of minimum cash</t>
        </is>
      </c>
      <c r="B54" s="52">
        <f>MATCH($B$53,$C$23:$BJ$23,0)</f>
        <v/>
      </c>
    </row>
    <row r="55">
      <c r="A55" s="3" t="inlineStr">
        <is>
          <t>Month of minimum cash</t>
        </is>
      </c>
      <c r="B55" s="53">
        <f>INDEX(Revenue_Build!$C$4:$BJ$4,$B$54)</f>
        <v/>
      </c>
    </row>
    <row r="56">
      <c r="A56" s="3" t="inlineStr">
        <is>
          <t>Minimum closing cash from the seed month on</t>
        </is>
      </c>
      <c r="B56" s="48">
        <f>MIN($C$39:$BJ$39)</f>
        <v/>
      </c>
    </row>
    <row r="57">
      <c r="A57" s="4" t="inlineStr">
        <is>
          <t>Month # of minimum post-seed cash</t>
        </is>
      </c>
      <c r="B57" s="52">
        <f>MATCH($B$56,$C$39:$BJ$39,0)</f>
        <v/>
      </c>
    </row>
    <row r="58">
      <c r="A58" s="3" t="inlineStr">
        <is>
          <t>Month of minimum post-seed cash (cash trough)</t>
        </is>
      </c>
      <c r="B58" s="53">
        <f>INDEX(Revenue_Build!$C$4:$BJ$4,$B$57)</f>
        <v/>
      </c>
    </row>
    <row r="59">
      <c r="A59" s="3" t="inlineStr">
        <is>
          <t>Minimum closing cash before the seed lands</t>
        </is>
      </c>
      <c r="B59" s="48">
        <f>MIN($C$40:$BJ$40)</f>
        <v/>
      </c>
    </row>
    <row r="60">
      <c r="A60" s="4" t="inlineStr">
        <is>
          <t>Month # of minimum pre-seed cash</t>
        </is>
      </c>
      <c r="B60" s="52">
        <f>MATCH($B$59,$C$40:$BJ$40,0)</f>
        <v/>
      </c>
    </row>
    <row r="61">
      <c r="A61" s="3" t="inlineStr">
        <is>
          <t>Month of minimum pre-seed cash</t>
        </is>
      </c>
      <c r="B61" s="53">
        <f>INDEX(Revenue_Build!$C$4:$BJ$4,$B$60)</f>
        <v/>
      </c>
    </row>
    <row r="62">
      <c r="A62" s="3" t="inlineStr">
        <is>
          <t>PRE-SEED BRIDGE REQUIRED (shortfall below zero before the seed lands)</t>
        </is>
      </c>
      <c r="B62" s="48">
        <f>MAX(0,-$B$59)</f>
        <v/>
      </c>
    </row>
    <row r="63">
      <c r="A63" s="3" t="inlineStr">
        <is>
          <t>Minimum-cash buffer</t>
        </is>
      </c>
      <c r="B63" s="48">
        <f>Assumptions!$B$15</f>
        <v/>
      </c>
    </row>
    <row r="64">
      <c r="A64" s="3" t="inlineStr">
        <is>
          <t>Headroom: minimum post-seed cash minus buffer</t>
        </is>
      </c>
      <c r="B64" s="48">
        <f>$B$56-$B$63</f>
        <v/>
      </c>
    </row>
    <row r="65">
      <c r="A65" s="3" t="inlineStr">
        <is>
          <t>Shortfall vs buffer (extra cash needed to hold the buffer)</t>
        </is>
      </c>
      <c r="B65" s="48">
        <f>MAX(0,-$B$64)</f>
        <v/>
      </c>
    </row>
    <row r="66">
      <c r="A66" s="4" t="inlineStr">
        <is>
          <t>First post-seed month below the buffer (month #; 999 = never)</t>
        </is>
      </c>
      <c r="B66" s="52">
        <f>MIN($C$37:$BJ$37)</f>
        <v/>
      </c>
    </row>
    <row r="67">
      <c r="A67" s="3" t="inlineStr">
        <is>
          <t>First post-seed month below the buffer</t>
        </is>
      </c>
      <c r="B67" s="53">
        <f>IF($B$66=999,"Never",INDEX(Revenue_Build!$C$4:$BJ$4,$B$66))</f>
        <v/>
      </c>
    </row>
    <row r="68">
      <c r="A68" s="3" t="inlineStr">
        <is>
          <t>PROFITABLE ON THE SEED ALONE? (no Series A, cash &gt;= buffer, sustained EBITDA and cash-flow break-even)</t>
        </is>
      </c>
      <c r="B68" s="53">
        <f>IF(AND(OR(Assumptions!$B$16=0,Assumptions!$B$17=0),$B$56&gt;=$B$63,$B$47&lt;999,$B$51&lt;999),"Yes","No")</f>
        <v/>
      </c>
    </row>
    <row r="69">
      <c r="A69" s="4" t="inlineStr">
        <is>
          <t>First post-seed month closing cash &lt; 0 (month #; 999 = never)</t>
        </is>
      </c>
      <c r="B69" s="52">
        <f>MIN($C$36:$BJ$36)</f>
        <v/>
      </c>
    </row>
    <row r="70">
      <c r="A70" s="3" t="inlineStr">
        <is>
          <t>Months from seed until cash runs out</t>
        </is>
      </c>
      <c r="B70" s="52">
        <f>IF($B$69=999,"Not exhausted within 60 months",$B$69-Assumptions!$B$14)</f>
        <v/>
      </c>
    </row>
    <row r="71">
      <c r="A71" s="3" t="inlineStr">
        <is>
          <t>Closing cash in seed month</t>
        </is>
      </c>
      <c r="B71" s="48">
        <f>SUM($C$38:$BJ$38)</f>
        <v/>
      </c>
    </row>
    <row r="72">
      <c r="A72" s="3" t="inlineStr">
        <is>
          <t>Average monthly net burn, 12 months after seed</t>
        </is>
      </c>
      <c r="B72" s="48">
        <f>-SUM($C$41:$BJ$41)/12</f>
        <v/>
      </c>
    </row>
    <row r="73">
      <c r="A73" s="3" t="inlineStr">
        <is>
          <t>Runway at seed close (cash / avg burn of next 12 months)</t>
        </is>
      </c>
      <c r="B73" s="54">
        <f>IF($B$72&lt;=0,"Cash generative",$B$71/$B$72)</f>
        <v/>
      </c>
    </row>
    <row r="74">
      <c r="A74" s="3" t="inlineStr">
        <is>
          <t>Months from seed to cash trough</t>
        </is>
      </c>
      <c r="B74" s="52">
        <f>$B$57-Assumptions!$B$14</f>
        <v/>
      </c>
    </row>
    <row r="75">
      <c r="A75" s="3" t="inlineStr">
        <is>
          <t>Additional funding needed to keep post-seed cash &gt;= 0</t>
        </is>
      </c>
      <c r="B75" s="48">
        <f>MAX(0,-$B$56)</f>
        <v/>
      </c>
    </row>
    <row r="76">
      <c r="A76" s="3" t="inlineStr">
        <is>
          <t>Effective launch month #: Nigeria (999 = not launched)</t>
        </is>
      </c>
      <c r="B76" s="52">
        <f>IF(SUM(Revenue_Build!$C$15:$BJ$15)=0,999,61-SUM(Revenue_Build!$C$15:$BJ$15))</f>
        <v/>
      </c>
    </row>
    <row r="77">
      <c r="A77" s="3" t="inlineStr">
        <is>
          <t>Effective launch month: Nigeria</t>
        </is>
      </c>
      <c r="B77" s="53">
        <f>IF($B$76=999,"Not launched",INDEX(Revenue_Build!$C$4:$BJ$4,$B$76))</f>
        <v/>
      </c>
    </row>
    <row r="78">
      <c r="A78" s="3" t="inlineStr">
        <is>
          <t>Effective launch month #: Kenya (999 = not launched)</t>
        </is>
      </c>
      <c r="B78" s="52">
        <f>IF(SUM(Revenue_Build!$C$17:$BJ$17)=0,999,61-SUM(Revenue_Build!$C$17:$BJ$17))</f>
        <v/>
      </c>
    </row>
    <row r="79">
      <c r="A79" s="3" t="inlineStr">
        <is>
          <t>Effective launch month: Kenya</t>
        </is>
      </c>
      <c r="B79" s="53">
        <f>IF($B$78=999,"Not launched",INDEX(Revenue_Build!$C$4:$BJ$4,$B$78))</f>
        <v/>
      </c>
    </row>
    <row r="80">
      <c r="A80" s="3" t="inlineStr">
        <is>
          <t>Effective launch month #: Ghana (999 = not launched)</t>
        </is>
      </c>
      <c r="B80" s="52">
        <f>IF(SUM(Revenue_Build!$C$19:$BJ$19)=0,999,61-SUM(Revenue_Build!$C$19:$BJ$19))</f>
        <v/>
      </c>
    </row>
    <row r="81">
      <c r="A81" s="3" t="inlineStr">
        <is>
          <t>Effective launch month: Ghana</t>
        </is>
      </c>
      <c r="B81" s="53">
        <f>IF($B$80=999,"Not launched",INDEX(Revenue_Build!$C$4:$BJ$4,$B$80))</f>
        <v/>
      </c>
    </row>
    <row r="82">
      <c r="A82" s="3" t="inlineStr">
        <is>
          <t>Effective launch month #: Rest of Africa (USD) (999 = not launched)</t>
        </is>
      </c>
      <c r="B82" s="52">
        <f>IF(SUM(Revenue_Build!$C$21:$BJ$21)=0,999,61-SUM(Revenue_Build!$C$21:$BJ$21))</f>
        <v/>
      </c>
    </row>
    <row r="83">
      <c r="A83" s="3" t="inlineStr">
        <is>
          <t>Effective launch month: Rest of Africa (USD)</t>
        </is>
      </c>
      <c r="B83" s="53">
        <f>IF($B$82=999,"Not launched",INDEX(Revenue_Build!$C$4:$BJ$4,$B$82))</f>
        <v/>
      </c>
    </row>
    <row r="84">
      <c r="A84" s="3" t="inlineStr">
        <is>
          <t>Effective launch month #: Botswana &amp; Namibia (999 = not launched)</t>
        </is>
      </c>
      <c r="B84" s="52">
        <f>IF(SUM(Revenue_Build!$C$23:$BJ$23)=0,999,61-SUM(Revenue_Build!$C$23:$BJ$23))</f>
        <v/>
      </c>
    </row>
    <row r="85">
      <c r="A85" s="3" t="inlineStr">
        <is>
          <t>Effective launch month: Botswana &amp; Namibia</t>
        </is>
      </c>
      <c r="B85" s="53">
        <f>IF($B$84=999,"Not launched",INDEX(Revenue_Build!$C$4:$BJ$4,$B$84))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7474F"/>
    <outlinePr summaryBelow="1" summaryRight="1"/>
    <pageSetUpPr/>
  </sheetPr>
  <dimension ref="A1:G7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2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6" t="inlineStr">
        <is>
          <t>Unit Economics</t>
        </is>
      </c>
    </row>
    <row r="2">
      <c r="A2" s="17" t="inlineStr">
        <is>
          <t>Unit economics by segment and year. LTV uses software gross margin and segment churn.</t>
        </is>
      </c>
    </row>
    <row r="3"/>
    <row r="4">
      <c r="A4" s="6" t="inlineStr">
        <is>
          <t>R unless stated</t>
        </is>
      </c>
      <c r="B4" s="6" t="inlineStr">
        <is>
          <t>Unit</t>
        </is>
      </c>
      <c r="C4" s="38" t="inlineStr">
        <is>
          <t>FY1</t>
        </is>
      </c>
      <c r="D4" s="38" t="inlineStr">
        <is>
          <t>FY2</t>
        </is>
      </c>
      <c r="E4" s="38" t="inlineStr">
        <is>
          <t>FY3</t>
        </is>
      </c>
      <c r="F4" s="38" t="inlineStr">
        <is>
          <t>FY4</t>
        </is>
      </c>
      <c r="G4" s="38" t="inlineStr">
        <is>
          <t>FY5</t>
        </is>
      </c>
    </row>
    <row r="5">
      <c r="C5" s="46" t="inlineStr">
        <is>
          <t>Oct 2026 - Sep 2027</t>
        </is>
      </c>
      <c r="D5" s="46" t="inlineStr">
        <is>
          <t>Oct 2027 - Sep 2028</t>
        </is>
      </c>
      <c r="E5" s="46" t="inlineStr">
        <is>
          <t>Oct 2028 - Sep 2029</t>
        </is>
      </c>
      <c r="F5" s="46" t="inlineStr">
        <is>
          <t>Oct 2029 - Sep 2030</t>
        </is>
      </c>
      <c r="G5" s="46" t="inlineStr">
        <is>
          <t>Oct 2030 - Sep 2031</t>
        </is>
      </c>
    </row>
    <row r="6"/>
    <row r="7">
      <c r="A7" s="19" t="inlineStr">
        <is>
          <t>By segment: ARPA (gross list), churn, LTV = ARPA x software GM % / monthly churn</t>
        </is>
      </c>
      <c r="B7" s="19" t="n"/>
      <c r="C7" s="19" t="n"/>
      <c r="D7" s="19" t="n"/>
      <c r="E7" s="19" t="n"/>
      <c r="F7" s="19" t="n"/>
      <c r="G7" s="19" t="n"/>
    </row>
    <row r="8">
      <c r="A8" s="4" t="inlineStr">
        <is>
          <t>ARPA: Solo</t>
        </is>
      </c>
      <c r="B8" s="17" t="inlineStr">
        <is>
          <t>R / month</t>
        </is>
      </c>
      <c r="C8" s="47">
        <f>IF(SUM(Revenue_Build!C270:N270)=0,0,SUM(Revenue_Build!C343:N343)/SUM(Revenue_Build!C270:N270))</f>
        <v/>
      </c>
      <c r="D8" s="47">
        <f>IF(SUM(Revenue_Build!O270:Z270)=0,0,SUM(Revenue_Build!O343:Z343)/SUM(Revenue_Build!O270:Z270))</f>
        <v/>
      </c>
      <c r="E8" s="47">
        <f>IF(SUM(Revenue_Build!AA270:AL270)=0,0,SUM(Revenue_Build!AA343:AL343)/SUM(Revenue_Build!AA270:AL270))</f>
        <v/>
      </c>
      <c r="F8" s="47">
        <f>IF(SUM(Revenue_Build!AM270:AX270)=0,0,SUM(Revenue_Build!AM343:AX343)/SUM(Revenue_Build!AM270:AX270))</f>
        <v/>
      </c>
      <c r="G8" s="47">
        <f>IF(SUM(Revenue_Build!AY270:BJ270)=0,0,SUM(Revenue_Build!AY343:BJ343)/SUM(Revenue_Build!AY270:BJ270))</f>
        <v/>
      </c>
    </row>
    <row r="9">
      <c r="A9" s="4" t="inlineStr">
        <is>
          <t>ARPA: SMEs</t>
        </is>
      </c>
      <c r="B9" s="17" t="inlineStr">
        <is>
          <t>R / month</t>
        </is>
      </c>
      <c r="C9" s="47">
        <f>IF(SUM(Revenue_Build!C274:N274)=0,0,SUM(Revenue_Build!C344:N344)/SUM(Revenue_Build!C274:N274))</f>
        <v/>
      </c>
      <c r="D9" s="47">
        <f>IF(SUM(Revenue_Build!O274:Z274)=0,0,SUM(Revenue_Build!O344:Z344)/SUM(Revenue_Build!O274:Z274))</f>
        <v/>
      </c>
      <c r="E9" s="47">
        <f>IF(SUM(Revenue_Build!AA274:AL274)=0,0,SUM(Revenue_Build!AA344:AL344)/SUM(Revenue_Build!AA274:AL274))</f>
        <v/>
      </c>
      <c r="F9" s="47">
        <f>IF(SUM(Revenue_Build!AM274:AX274)=0,0,SUM(Revenue_Build!AM344:AX344)/SUM(Revenue_Build!AM274:AX274))</f>
        <v/>
      </c>
      <c r="G9" s="47">
        <f>IF(SUM(Revenue_Build!AY274:BJ274)=0,0,SUM(Revenue_Build!AY344:BJ344)/SUM(Revenue_Build!AY274:BJ274))</f>
        <v/>
      </c>
    </row>
    <row r="10">
      <c r="A10" s="4" t="inlineStr">
        <is>
          <t>ARPA: Agencies</t>
        </is>
      </c>
      <c r="B10" s="17" t="inlineStr">
        <is>
          <t>R / month</t>
        </is>
      </c>
      <c r="C10" s="47">
        <f>IF(SUM(Revenue_Build!C278:N278)=0,0,SUM(Revenue_Build!C345:N345)/SUM(Revenue_Build!C278:N278))</f>
        <v/>
      </c>
      <c r="D10" s="47">
        <f>IF(SUM(Revenue_Build!O278:Z278)=0,0,SUM(Revenue_Build!O345:Z345)/SUM(Revenue_Build!O278:Z278))</f>
        <v/>
      </c>
      <c r="E10" s="47">
        <f>IF(SUM(Revenue_Build!AA278:AL278)=0,0,SUM(Revenue_Build!AA345:AL345)/SUM(Revenue_Build!AA278:AL278))</f>
        <v/>
      </c>
      <c r="F10" s="47">
        <f>IF(SUM(Revenue_Build!AM278:AX278)=0,0,SUM(Revenue_Build!AM345:AX345)/SUM(Revenue_Build!AM278:AX278))</f>
        <v/>
      </c>
      <c r="G10" s="47">
        <f>IF(SUM(Revenue_Build!AY278:BJ278)=0,0,SUM(Revenue_Build!AY345:BJ345)/SUM(Revenue_Build!AY278:BJ278))</f>
        <v/>
      </c>
    </row>
    <row r="11">
      <c r="A11" s="4" t="inlineStr">
        <is>
          <t>ARPA: Enterprise</t>
        </is>
      </c>
      <c r="B11" s="17" t="inlineStr">
        <is>
          <t>R / month</t>
        </is>
      </c>
      <c r="C11" s="47">
        <f>IF(SUM(Revenue_Build!C282:N282)=0,0,SUM(Revenue_Build!C346:N346)/SUM(Revenue_Build!C282:N282))</f>
        <v/>
      </c>
      <c r="D11" s="47">
        <f>IF(SUM(Revenue_Build!O282:Z282)=0,0,SUM(Revenue_Build!O346:Z346)/SUM(Revenue_Build!O282:Z282))</f>
        <v/>
      </c>
      <c r="E11" s="47">
        <f>IF(SUM(Revenue_Build!AA282:AL282)=0,0,SUM(Revenue_Build!AA346:AL346)/SUM(Revenue_Build!AA282:AL282))</f>
        <v/>
      </c>
      <c r="F11" s="47">
        <f>IF(SUM(Revenue_Build!AM282:AX282)=0,0,SUM(Revenue_Build!AM346:AX346)/SUM(Revenue_Build!AM282:AX282))</f>
        <v/>
      </c>
      <c r="G11" s="47">
        <f>IF(SUM(Revenue_Build!AY282:BJ282)=0,0,SUM(Revenue_Build!AY346:BJ346)/SUM(Revenue_Build!AY282:BJ282))</f>
        <v/>
      </c>
    </row>
    <row r="12">
      <c r="A12" s="4" t="inlineStr">
        <is>
          <t>Software gross margin % (used for LTV)</t>
        </is>
      </c>
      <c r="B12" s="17" t="inlineStr">
        <is>
          <t>%</t>
        </is>
      </c>
      <c r="C12" s="50">
        <f>Annual_Summary!C42</f>
        <v/>
      </c>
      <c r="D12" s="50">
        <f>Annual_Summary!D42</f>
        <v/>
      </c>
      <c r="E12" s="50">
        <f>Annual_Summary!E42</f>
        <v/>
      </c>
      <c r="F12" s="50">
        <f>Annual_Summary!F42</f>
        <v/>
      </c>
      <c r="G12" s="50">
        <f>Annual_Summary!G42</f>
        <v/>
      </c>
    </row>
    <row r="13">
      <c r="A13" s="4" t="inlineStr">
        <is>
          <t>Monthly logo churn: Solo (churned / opening)</t>
        </is>
      </c>
      <c r="B13" s="17" t="inlineStr">
        <is>
          <t>%</t>
        </is>
      </c>
      <c r="C13" s="50">
        <f>IF(SUM(Revenue_Build!C269:N269)=0,0,SUM(Revenue_Build!C271:N271)/SUM(Revenue_Build!C269:N269))</f>
        <v/>
      </c>
      <c r="D13" s="50">
        <f>IF(SUM(Revenue_Build!O269:Z269)=0,0,SUM(Revenue_Build!O271:Z271)/SUM(Revenue_Build!O269:Z269))</f>
        <v/>
      </c>
      <c r="E13" s="50">
        <f>IF(SUM(Revenue_Build!AA269:AL269)=0,0,SUM(Revenue_Build!AA271:AL271)/SUM(Revenue_Build!AA269:AL269))</f>
        <v/>
      </c>
      <c r="F13" s="50">
        <f>IF(SUM(Revenue_Build!AM269:AX269)=0,0,SUM(Revenue_Build!AM271:AX271)/SUM(Revenue_Build!AM269:AX269))</f>
        <v/>
      </c>
      <c r="G13" s="50">
        <f>IF(SUM(Revenue_Build!AY269:BJ269)=0,0,SUM(Revenue_Build!AY271:BJ271)/SUM(Revenue_Build!AY269:BJ269))</f>
        <v/>
      </c>
    </row>
    <row r="14">
      <c r="A14" s="4" t="inlineStr">
        <is>
          <t>Monthly logo churn: SMEs (churned / opening)</t>
        </is>
      </c>
      <c r="B14" s="17" t="inlineStr">
        <is>
          <t>%</t>
        </is>
      </c>
      <c r="C14" s="50">
        <f>IF(SUM(Revenue_Build!C273:N273)=0,0,SUM(Revenue_Build!C275:N275)/SUM(Revenue_Build!C273:N273))</f>
        <v/>
      </c>
      <c r="D14" s="50">
        <f>IF(SUM(Revenue_Build!O273:Z273)=0,0,SUM(Revenue_Build!O275:Z275)/SUM(Revenue_Build!O273:Z273))</f>
        <v/>
      </c>
      <c r="E14" s="50">
        <f>IF(SUM(Revenue_Build!AA273:AL273)=0,0,SUM(Revenue_Build!AA275:AL275)/SUM(Revenue_Build!AA273:AL273))</f>
        <v/>
      </c>
      <c r="F14" s="50">
        <f>IF(SUM(Revenue_Build!AM273:AX273)=0,0,SUM(Revenue_Build!AM275:AX275)/SUM(Revenue_Build!AM273:AX273))</f>
        <v/>
      </c>
      <c r="G14" s="50">
        <f>IF(SUM(Revenue_Build!AY273:BJ273)=0,0,SUM(Revenue_Build!AY275:BJ275)/SUM(Revenue_Build!AY273:BJ273))</f>
        <v/>
      </c>
    </row>
    <row r="15">
      <c r="A15" s="4" t="inlineStr">
        <is>
          <t>Monthly logo churn: Agencies (churned / opening)</t>
        </is>
      </c>
      <c r="B15" s="17" t="inlineStr">
        <is>
          <t>%</t>
        </is>
      </c>
      <c r="C15" s="50">
        <f>IF(SUM(Revenue_Build!C277:N277)=0,0,SUM(Revenue_Build!C279:N279)/SUM(Revenue_Build!C277:N277))</f>
        <v/>
      </c>
      <c r="D15" s="50">
        <f>IF(SUM(Revenue_Build!O277:Z277)=0,0,SUM(Revenue_Build!O279:Z279)/SUM(Revenue_Build!O277:Z277))</f>
        <v/>
      </c>
      <c r="E15" s="50">
        <f>IF(SUM(Revenue_Build!AA277:AL277)=0,0,SUM(Revenue_Build!AA279:AL279)/SUM(Revenue_Build!AA277:AL277))</f>
        <v/>
      </c>
      <c r="F15" s="50">
        <f>IF(SUM(Revenue_Build!AM277:AX277)=0,0,SUM(Revenue_Build!AM279:AX279)/SUM(Revenue_Build!AM277:AX277))</f>
        <v/>
      </c>
      <c r="G15" s="50">
        <f>IF(SUM(Revenue_Build!AY277:BJ277)=0,0,SUM(Revenue_Build!AY279:BJ279)/SUM(Revenue_Build!AY277:BJ277))</f>
        <v/>
      </c>
    </row>
    <row r="16">
      <c r="A16" s="4" t="inlineStr">
        <is>
          <t>Monthly logo churn: Enterprise (churned / opening)</t>
        </is>
      </c>
      <c r="B16" s="17" t="inlineStr">
        <is>
          <t>%</t>
        </is>
      </c>
      <c r="C16" s="50">
        <f>IF(SUM(Revenue_Build!C281:N281)=0,0,SUM(Revenue_Build!C283:N283)/SUM(Revenue_Build!C281:N281))</f>
        <v/>
      </c>
      <c r="D16" s="50">
        <f>IF(SUM(Revenue_Build!O281:Z281)=0,0,SUM(Revenue_Build!O283:Z283)/SUM(Revenue_Build!O281:Z281))</f>
        <v/>
      </c>
      <c r="E16" s="50">
        <f>IF(SUM(Revenue_Build!AA281:AL281)=0,0,SUM(Revenue_Build!AA283:AL283)/SUM(Revenue_Build!AA281:AL281))</f>
        <v/>
      </c>
      <c r="F16" s="50">
        <f>IF(SUM(Revenue_Build!AM281:AX281)=0,0,SUM(Revenue_Build!AM283:AX283)/SUM(Revenue_Build!AM281:AX281))</f>
        <v/>
      </c>
      <c r="G16" s="50">
        <f>IF(SUM(Revenue_Build!AY281:BJ281)=0,0,SUM(Revenue_Build!AY283:BJ283)/SUM(Revenue_Build!AY281:BJ281))</f>
        <v/>
      </c>
    </row>
    <row r="17">
      <c r="A17" s="3" t="inlineStr">
        <is>
          <t>LTV: Solo</t>
        </is>
      </c>
      <c r="B17" s="17" t="inlineStr">
        <is>
          <t>R</t>
        </is>
      </c>
      <c r="C17" s="48">
        <f>IF(C13=0,0,C8*C12/C13)</f>
        <v/>
      </c>
      <c r="D17" s="48">
        <f>IF(D13=0,0,D8*D12/D13)</f>
        <v/>
      </c>
      <c r="E17" s="48">
        <f>IF(E13=0,0,E8*E12/E13)</f>
        <v/>
      </c>
      <c r="F17" s="48">
        <f>IF(F13=0,0,F8*F12/F13)</f>
        <v/>
      </c>
      <c r="G17" s="48">
        <f>IF(G13=0,0,G8*G12/G13)</f>
        <v/>
      </c>
    </row>
    <row r="18">
      <c r="A18" s="3" t="inlineStr">
        <is>
          <t>LTV: SMEs</t>
        </is>
      </c>
      <c r="B18" s="17" t="inlineStr">
        <is>
          <t>R</t>
        </is>
      </c>
      <c r="C18" s="48">
        <f>IF(C14=0,0,C9*C12/C14)</f>
        <v/>
      </c>
      <c r="D18" s="48">
        <f>IF(D14=0,0,D9*D12/D14)</f>
        <v/>
      </c>
      <c r="E18" s="48">
        <f>IF(E14=0,0,E9*E12/E14)</f>
        <v/>
      </c>
      <c r="F18" s="48">
        <f>IF(F14=0,0,F9*F12/F14)</f>
        <v/>
      </c>
      <c r="G18" s="48">
        <f>IF(G14=0,0,G9*G12/G14)</f>
        <v/>
      </c>
    </row>
    <row r="19">
      <c r="A19" s="3" t="inlineStr">
        <is>
          <t>LTV: Agencies</t>
        </is>
      </c>
      <c r="B19" s="17" t="inlineStr">
        <is>
          <t>R</t>
        </is>
      </c>
      <c r="C19" s="48">
        <f>IF(C15=0,0,C10*C12/C15)</f>
        <v/>
      </c>
      <c r="D19" s="48">
        <f>IF(D15=0,0,D10*D12/D15)</f>
        <v/>
      </c>
      <c r="E19" s="48">
        <f>IF(E15=0,0,E10*E12/E15)</f>
        <v/>
      </c>
      <c r="F19" s="48">
        <f>IF(F15=0,0,F10*F12/F15)</f>
        <v/>
      </c>
      <c r="G19" s="48">
        <f>IF(G15=0,0,G10*G12/G15)</f>
        <v/>
      </c>
    </row>
    <row r="20">
      <c r="A20" s="3" t="inlineStr">
        <is>
          <t>LTV: Enterprise</t>
        </is>
      </c>
      <c r="B20" s="17" t="inlineStr">
        <is>
          <t>R</t>
        </is>
      </c>
      <c r="C20" s="48">
        <f>IF(C16=0,0,C11*C12/C16)</f>
        <v/>
      </c>
      <c r="D20" s="48">
        <f>IF(D16=0,0,D11*D12/D16)</f>
        <v/>
      </c>
      <c r="E20" s="48">
        <f>IF(E16=0,0,E11*E12/E16)</f>
        <v/>
      </c>
      <c r="F20" s="48">
        <f>IF(F16=0,0,F11*F12/F16)</f>
        <v/>
      </c>
      <c r="G20" s="48">
        <f>IF(G16=0,0,G11*G12/G16)</f>
        <v/>
      </c>
    </row>
    <row r="21"/>
    <row r="22">
      <c r="A22" s="19" t="inlineStr">
        <is>
          <t>By segment: acquisition spend, new customers, CAC (self-serve brand/launch/marketing payroll shared by new-customer mix)</t>
        </is>
      </c>
      <c r="B22" s="19" t="n"/>
      <c r="C22" s="19" t="n"/>
      <c r="D22" s="19" t="n"/>
      <c r="E22" s="19" t="n"/>
      <c r="F22" s="19" t="n"/>
      <c r="G22" s="19" t="n"/>
    </row>
    <row r="23">
      <c r="A23" s="4" t="inlineStr">
        <is>
          <t>Acquisition spend: Solo</t>
        </is>
      </c>
      <c r="B23" s="17" t="inlineStr">
        <is>
          <t>R</t>
        </is>
      </c>
      <c r="C23" s="47">
        <f>SUM(Revenue_Build!C108:N108)+(SUM(Costs!C169:N169)+SUM(Costs!C170:N170)+SUM(Costs!C171:N171)+SUM(Costs!C146:N146))*IF((SUM(Revenue_Build!C272:N272)+SUM(Revenue_Build!C276:N276))=0,0,SUM(Revenue_Build!C272:N272)/(SUM(Revenue_Build!C272:N272)+SUM(Revenue_Build!C276:N276)))</f>
        <v/>
      </c>
      <c r="D23" s="47">
        <f>SUM(Revenue_Build!O108:Z108)+(SUM(Costs!O169:Z169)+SUM(Costs!O170:Z170)+SUM(Costs!O171:Z171)+SUM(Costs!O146:Z146))*IF((SUM(Revenue_Build!O272:Z272)+SUM(Revenue_Build!O276:Z276))=0,0,SUM(Revenue_Build!O272:Z272)/(SUM(Revenue_Build!O272:Z272)+SUM(Revenue_Build!O276:Z276)))</f>
        <v/>
      </c>
      <c r="E23" s="47">
        <f>SUM(Revenue_Build!AA108:AL108)+(SUM(Costs!AA169:AL169)+SUM(Costs!AA170:AL170)+SUM(Costs!AA171:AL171)+SUM(Costs!AA146:AL146))*IF((SUM(Revenue_Build!AA272:AL272)+SUM(Revenue_Build!AA276:AL276))=0,0,SUM(Revenue_Build!AA272:AL272)/(SUM(Revenue_Build!AA272:AL272)+SUM(Revenue_Build!AA276:AL276)))</f>
        <v/>
      </c>
      <c r="F23" s="47">
        <f>SUM(Revenue_Build!AM108:AX108)+(SUM(Costs!AM169:AX169)+SUM(Costs!AM170:AX170)+SUM(Costs!AM171:AX171)+SUM(Costs!AM146:AX146))*IF((SUM(Revenue_Build!AM272:AX272)+SUM(Revenue_Build!AM276:AX276))=0,0,SUM(Revenue_Build!AM272:AX272)/(SUM(Revenue_Build!AM272:AX272)+SUM(Revenue_Build!AM276:AX276)))</f>
        <v/>
      </c>
      <c r="G23" s="47">
        <f>SUM(Revenue_Build!AY108:BJ108)+(SUM(Costs!AY169:BJ169)+SUM(Costs!AY170:BJ170)+SUM(Costs!AY171:BJ171)+SUM(Costs!AY146:BJ146))*IF((SUM(Revenue_Build!AY272:BJ272)+SUM(Revenue_Build!AY276:BJ276))=0,0,SUM(Revenue_Build!AY272:BJ272)/(SUM(Revenue_Build!AY272:BJ272)+SUM(Revenue_Build!AY276:BJ276)))</f>
        <v/>
      </c>
    </row>
    <row r="24">
      <c r="A24" s="4" t="inlineStr">
        <is>
          <t>Acquisition spend: SMEs</t>
        </is>
      </c>
      <c r="B24" s="17" t="inlineStr">
        <is>
          <t>R</t>
        </is>
      </c>
      <c r="C24" s="47">
        <f>SUM(Revenue_Build!C109:N109)+(SUM(Costs!C169:N169)+SUM(Costs!C170:N170)+SUM(Costs!C171:N171)+SUM(Costs!C146:N146))*IF((SUM(Revenue_Build!C272:N272)+SUM(Revenue_Build!C276:N276))=0,0,SUM(Revenue_Build!C276:N276)/(SUM(Revenue_Build!C272:N272)+SUM(Revenue_Build!C276:N276)))</f>
        <v/>
      </c>
      <c r="D24" s="47">
        <f>SUM(Revenue_Build!O109:Z109)+(SUM(Costs!O169:Z169)+SUM(Costs!O170:Z170)+SUM(Costs!O171:Z171)+SUM(Costs!O146:Z146))*IF((SUM(Revenue_Build!O272:Z272)+SUM(Revenue_Build!O276:Z276))=0,0,SUM(Revenue_Build!O276:Z276)/(SUM(Revenue_Build!O272:Z272)+SUM(Revenue_Build!O276:Z276)))</f>
        <v/>
      </c>
      <c r="E24" s="47">
        <f>SUM(Revenue_Build!AA109:AL109)+(SUM(Costs!AA169:AL169)+SUM(Costs!AA170:AL170)+SUM(Costs!AA171:AL171)+SUM(Costs!AA146:AL146))*IF((SUM(Revenue_Build!AA272:AL272)+SUM(Revenue_Build!AA276:AL276))=0,0,SUM(Revenue_Build!AA276:AL276)/(SUM(Revenue_Build!AA272:AL272)+SUM(Revenue_Build!AA276:AL276)))</f>
        <v/>
      </c>
      <c r="F24" s="47">
        <f>SUM(Revenue_Build!AM109:AX109)+(SUM(Costs!AM169:AX169)+SUM(Costs!AM170:AX170)+SUM(Costs!AM171:AX171)+SUM(Costs!AM146:AX146))*IF((SUM(Revenue_Build!AM272:AX272)+SUM(Revenue_Build!AM276:AX276))=0,0,SUM(Revenue_Build!AM276:AX276)/(SUM(Revenue_Build!AM272:AX272)+SUM(Revenue_Build!AM276:AX276)))</f>
        <v/>
      </c>
      <c r="G24" s="47">
        <f>SUM(Revenue_Build!AY109:BJ109)+(SUM(Costs!AY169:BJ169)+SUM(Costs!AY170:BJ170)+SUM(Costs!AY171:BJ171)+SUM(Costs!AY146:BJ146))*IF((SUM(Revenue_Build!AY272:BJ272)+SUM(Revenue_Build!AY276:BJ276))=0,0,SUM(Revenue_Build!AY276:BJ276)/(SUM(Revenue_Build!AY272:BJ272)+SUM(Revenue_Build!AY276:BJ276)))</f>
        <v/>
      </c>
    </row>
    <row r="25">
      <c r="A25" s="4" t="inlineStr">
        <is>
          <t>Acquisition spend: Agencies</t>
        </is>
      </c>
      <c r="B25" s="17" t="inlineStr">
        <is>
          <t>R</t>
        </is>
      </c>
      <c r="C25" s="47">
        <f>SUM(Costs!C173:N173)+SUM(Costs!C152:N152)</f>
        <v/>
      </c>
      <c r="D25" s="47">
        <f>SUM(Costs!O173:Z173)+SUM(Costs!O152:Z152)</f>
        <v/>
      </c>
      <c r="E25" s="47">
        <f>SUM(Costs!AA173:AL173)+SUM(Costs!AA152:AL152)</f>
        <v/>
      </c>
      <c r="F25" s="47">
        <f>SUM(Costs!AM173:AX173)+SUM(Costs!AM152:AX152)</f>
        <v/>
      </c>
      <c r="G25" s="47">
        <f>SUM(Costs!AY173:BJ173)+SUM(Costs!AY152:BJ152)</f>
        <v/>
      </c>
    </row>
    <row r="26">
      <c r="A26" s="4" t="inlineStr">
        <is>
          <t>Acquisition spend: Enterprise</t>
        </is>
      </c>
      <c r="B26" s="17" t="inlineStr">
        <is>
          <t>R</t>
        </is>
      </c>
      <c r="C26" s="47">
        <f>SUM(Costs!C174:N174)</f>
        <v/>
      </c>
      <c r="D26" s="47">
        <f>SUM(Costs!O174:Z174)</f>
        <v/>
      </c>
      <c r="E26" s="47">
        <f>SUM(Costs!AA174:AL174)</f>
        <v/>
      </c>
      <c r="F26" s="47">
        <f>SUM(Costs!AM174:AX174)</f>
        <v/>
      </c>
      <c r="G26" s="47">
        <f>SUM(Costs!AY174:BJ174)</f>
        <v/>
      </c>
    </row>
    <row r="27">
      <c r="A27" s="4" t="inlineStr">
        <is>
          <t>New customers: Solo</t>
        </is>
      </c>
      <c r="B27" s="17" t="inlineStr">
        <is>
          <t>workspaces</t>
        </is>
      </c>
      <c r="C27" s="51">
        <f>SUM(Revenue_Build!C272:N272)</f>
        <v/>
      </c>
      <c r="D27" s="51">
        <f>SUM(Revenue_Build!O272:Z272)</f>
        <v/>
      </c>
      <c r="E27" s="51">
        <f>SUM(Revenue_Build!AA272:AL272)</f>
        <v/>
      </c>
      <c r="F27" s="51">
        <f>SUM(Revenue_Build!AM272:AX272)</f>
        <v/>
      </c>
      <c r="G27" s="51">
        <f>SUM(Revenue_Build!AY272:BJ272)</f>
        <v/>
      </c>
    </row>
    <row r="28">
      <c r="A28" s="4" t="inlineStr">
        <is>
          <t>New customers: SMEs</t>
        </is>
      </c>
      <c r="B28" s="17" t="inlineStr">
        <is>
          <t>workspaces</t>
        </is>
      </c>
      <c r="C28" s="51">
        <f>SUM(Revenue_Build!C276:N276)</f>
        <v/>
      </c>
      <c r="D28" s="51">
        <f>SUM(Revenue_Build!O276:Z276)</f>
        <v/>
      </c>
      <c r="E28" s="51">
        <f>SUM(Revenue_Build!AA276:AL276)</f>
        <v/>
      </c>
      <c r="F28" s="51">
        <f>SUM(Revenue_Build!AM276:AX276)</f>
        <v/>
      </c>
      <c r="G28" s="51">
        <f>SUM(Revenue_Build!AY276:BJ276)</f>
        <v/>
      </c>
    </row>
    <row r="29">
      <c r="A29" s="4" t="inlineStr">
        <is>
          <t>New customers: Agencies</t>
        </is>
      </c>
      <c r="B29" s="17" t="inlineStr">
        <is>
          <t>workspaces</t>
        </is>
      </c>
      <c r="C29" s="51">
        <f>SUM(Revenue_Build!C280:N280)</f>
        <v/>
      </c>
      <c r="D29" s="51">
        <f>SUM(Revenue_Build!O280:Z280)</f>
        <v/>
      </c>
      <c r="E29" s="51">
        <f>SUM(Revenue_Build!AA280:AL280)</f>
        <v/>
      </c>
      <c r="F29" s="51">
        <f>SUM(Revenue_Build!AM280:AX280)</f>
        <v/>
      </c>
      <c r="G29" s="51">
        <f>SUM(Revenue_Build!AY280:BJ280)</f>
        <v/>
      </c>
    </row>
    <row r="30">
      <c r="A30" s="4" t="inlineStr">
        <is>
          <t>New customers: Enterprise</t>
        </is>
      </c>
      <c r="B30" s="17" t="inlineStr">
        <is>
          <t>workspaces</t>
        </is>
      </c>
      <c r="C30" s="51">
        <f>SUM(Revenue_Build!C284:N284)</f>
        <v/>
      </c>
      <c r="D30" s="51">
        <f>SUM(Revenue_Build!O284:Z284)</f>
        <v/>
      </c>
      <c r="E30" s="51">
        <f>SUM(Revenue_Build!AA284:AL284)</f>
        <v/>
      </c>
      <c r="F30" s="51">
        <f>SUM(Revenue_Build!AM284:AX284)</f>
        <v/>
      </c>
      <c r="G30" s="51">
        <f>SUM(Revenue_Build!AY284:BJ284)</f>
        <v/>
      </c>
    </row>
    <row r="31">
      <c r="A31" s="3" t="inlineStr">
        <is>
          <t>CAC: Solo</t>
        </is>
      </c>
      <c r="B31" s="17" t="inlineStr">
        <is>
          <t>R</t>
        </is>
      </c>
      <c r="C31" s="48">
        <f>IF(C27=0,0,C23/C27)</f>
        <v/>
      </c>
      <c r="D31" s="48">
        <f>IF(D27=0,0,D23/D27)</f>
        <v/>
      </c>
      <c r="E31" s="48">
        <f>IF(E27=0,0,E23/E27)</f>
        <v/>
      </c>
      <c r="F31" s="48">
        <f>IF(F27=0,0,F23/F27)</f>
        <v/>
      </c>
      <c r="G31" s="48">
        <f>IF(G27=0,0,G23/G27)</f>
        <v/>
      </c>
    </row>
    <row r="32">
      <c r="A32" s="3" t="inlineStr">
        <is>
          <t>CAC: SMEs</t>
        </is>
      </c>
      <c r="B32" s="17" t="inlineStr">
        <is>
          <t>R</t>
        </is>
      </c>
      <c r="C32" s="48">
        <f>IF(C28=0,0,C24/C28)</f>
        <v/>
      </c>
      <c r="D32" s="48">
        <f>IF(D28=0,0,D24/D28)</f>
        <v/>
      </c>
      <c r="E32" s="48">
        <f>IF(E28=0,0,E24/E28)</f>
        <v/>
      </c>
      <c r="F32" s="48">
        <f>IF(F28=0,0,F24/F28)</f>
        <v/>
      </c>
      <c r="G32" s="48">
        <f>IF(G28=0,0,G24/G28)</f>
        <v/>
      </c>
    </row>
    <row r="33">
      <c r="A33" s="3" t="inlineStr">
        <is>
          <t>CAC: Agencies</t>
        </is>
      </c>
      <c r="B33" s="17" t="inlineStr">
        <is>
          <t>R</t>
        </is>
      </c>
      <c r="C33" s="48">
        <f>IF(C29=0,0,C25/C29)</f>
        <v/>
      </c>
      <c r="D33" s="48">
        <f>IF(D29=0,0,D25/D29)</f>
        <v/>
      </c>
      <c r="E33" s="48">
        <f>IF(E29=0,0,E25/E29)</f>
        <v/>
      </c>
      <c r="F33" s="48">
        <f>IF(F29=0,0,F25/F29)</f>
        <v/>
      </c>
      <c r="G33" s="48">
        <f>IF(G29=0,0,G25/G29)</f>
        <v/>
      </c>
    </row>
    <row r="34">
      <c r="A34" s="3" t="inlineStr">
        <is>
          <t>CAC: Enterprise</t>
        </is>
      </c>
      <c r="B34" s="17" t="inlineStr">
        <is>
          <t>R</t>
        </is>
      </c>
      <c r="C34" s="48">
        <f>IF(C30=0,0,C26/C30)</f>
        <v/>
      </c>
      <c r="D34" s="48">
        <f>IF(D30=0,0,D26/D30)</f>
        <v/>
      </c>
      <c r="E34" s="48">
        <f>IF(E30=0,0,E26/E30)</f>
        <v/>
      </c>
      <c r="F34" s="48">
        <f>IF(F30=0,0,F26/F30)</f>
        <v/>
      </c>
      <c r="G34" s="48">
        <f>IF(G30=0,0,G26/G30)</f>
        <v/>
      </c>
    </row>
    <row r="35">
      <c r="A35" s="4" t="inlineStr">
        <is>
          <t>LTV:CAC: Solo</t>
        </is>
      </c>
      <c r="B35" s="17" t="inlineStr">
        <is>
          <t>x</t>
        </is>
      </c>
      <c r="C35" s="55">
        <f>IF(C31=0,0,C17/C31)</f>
        <v/>
      </c>
      <c r="D35" s="55">
        <f>IF(D31=0,0,D17/D31)</f>
        <v/>
      </c>
      <c r="E35" s="55">
        <f>IF(E31=0,0,E17/E31)</f>
        <v/>
      </c>
      <c r="F35" s="55">
        <f>IF(F31=0,0,F17/F31)</f>
        <v/>
      </c>
      <c r="G35" s="55">
        <f>IF(G31=0,0,G17/G31)</f>
        <v/>
      </c>
    </row>
    <row r="36">
      <c r="A36" s="4" t="inlineStr">
        <is>
          <t>LTV:CAC: SMEs</t>
        </is>
      </c>
      <c r="B36" s="17" t="inlineStr">
        <is>
          <t>x</t>
        </is>
      </c>
      <c r="C36" s="55">
        <f>IF(C32=0,0,C18/C32)</f>
        <v/>
      </c>
      <c r="D36" s="55">
        <f>IF(D32=0,0,D18/D32)</f>
        <v/>
      </c>
      <c r="E36" s="55">
        <f>IF(E32=0,0,E18/E32)</f>
        <v/>
      </c>
      <c r="F36" s="55">
        <f>IF(F32=0,0,F18/F32)</f>
        <v/>
      </c>
      <c r="G36" s="55">
        <f>IF(G32=0,0,G18/G32)</f>
        <v/>
      </c>
    </row>
    <row r="37">
      <c r="A37" s="4" t="inlineStr">
        <is>
          <t>LTV:CAC: Agencies</t>
        </is>
      </c>
      <c r="B37" s="17" t="inlineStr">
        <is>
          <t>x</t>
        </is>
      </c>
      <c r="C37" s="55">
        <f>IF(C33=0,0,C19/C33)</f>
        <v/>
      </c>
      <c r="D37" s="55">
        <f>IF(D33=0,0,D19/D33)</f>
        <v/>
      </c>
      <c r="E37" s="55">
        <f>IF(E33=0,0,E19/E33)</f>
        <v/>
      </c>
      <c r="F37" s="55">
        <f>IF(F33=0,0,F19/F33)</f>
        <v/>
      </c>
      <c r="G37" s="55">
        <f>IF(G33=0,0,G19/G33)</f>
        <v/>
      </c>
    </row>
    <row r="38">
      <c r="A38" s="4" t="inlineStr">
        <is>
          <t>LTV:CAC: Enterprise</t>
        </is>
      </c>
      <c r="B38" s="17" t="inlineStr">
        <is>
          <t>x</t>
        </is>
      </c>
      <c r="C38" s="55">
        <f>IF(C34=0,0,C20/C34)</f>
        <v/>
      </c>
      <c r="D38" s="55">
        <f>IF(D34=0,0,D20/D34)</f>
        <v/>
      </c>
      <c r="E38" s="55">
        <f>IF(E34=0,0,E20/E34)</f>
        <v/>
      </c>
      <c r="F38" s="55">
        <f>IF(F34=0,0,F20/F34)</f>
        <v/>
      </c>
      <c r="G38" s="55">
        <f>IF(G34=0,0,G20/G34)</f>
        <v/>
      </c>
    </row>
    <row r="39">
      <c r="A39" s="4" t="inlineStr">
        <is>
          <t>CAC payback: Solo</t>
        </is>
      </c>
      <c r="B39" s="17" t="inlineStr">
        <is>
          <t>months</t>
        </is>
      </c>
      <c r="C39" s="56">
        <f>IF((C8*C12)=0,0,C31/(C8*C12))</f>
        <v/>
      </c>
      <c r="D39" s="56">
        <f>IF((D8*D12)=0,0,D31/(D8*D12))</f>
        <v/>
      </c>
      <c r="E39" s="56">
        <f>IF((E8*E12)=0,0,E31/(E8*E12))</f>
        <v/>
      </c>
      <c r="F39" s="56">
        <f>IF((F8*F12)=0,0,F31/(F8*F12))</f>
        <v/>
      </c>
      <c r="G39" s="56">
        <f>IF((G8*G12)=0,0,G31/(G8*G12))</f>
        <v/>
      </c>
    </row>
    <row r="40">
      <c r="A40" s="4" t="inlineStr">
        <is>
          <t>CAC payback: SMEs</t>
        </is>
      </c>
      <c r="B40" s="17" t="inlineStr">
        <is>
          <t>months</t>
        </is>
      </c>
      <c r="C40" s="56">
        <f>IF((C9*C12)=0,0,C32/(C9*C12))</f>
        <v/>
      </c>
      <c r="D40" s="56">
        <f>IF((D9*D12)=0,0,D32/(D9*D12))</f>
        <v/>
      </c>
      <c r="E40" s="56">
        <f>IF((E9*E12)=0,0,E32/(E9*E12))</f>
        <v/>
      </c>
      <c r="F40" s="56">
        <f>IF((F9*F12)=0,0,F32/(F9*F12))</f>
        <v/>
      </c>
      <c r="G40" s="56">
        <f>IF((G9*G12)=0,0,G32/(G9*G12))</f>
        <v/>
      </c>
    </row>
    <row r="41">
      <c r="A41" s="4" t="inlineStr">
        <is>
          <t>CAC payback: Agencies</t>
        </is>
      </c>
      <c r="B41" s="17" t="inlineStr">
        <is>
          <t>months</t>
        </is>
      </c>
      <c r="C41" s="56">
        <f>IF((C10*C12)=0,0,C33/(C10*C12))</f>
        <v/>
      </c>
      <c r="D41" s="56">
        <f>IF((D10*D12)=0,0,D33/(D10*D12))</f>
        <v/>
      </c>
      <c r="E41" s="56">
        <f>IF((E10*E12)=0,0,E33/(E10*E12))</f>
        <v/>
      </c>
      <c r="F41" s="56">
        <f>IF((F10*F12)=0,0,F33/(F10*F12))</f>
        <v/>
      </c>
      <c r="G41" s="56">
        <f>IF((G10*G12)=0,0,G33/(G10*G12))</f>
        <v/>
      </c>
    </row>
    <row r="42">
      <c r="A42" s="4" t="inlineStr">
        <is>
          <t>CAC payback: Enterprise</t>
        </is>
      </c>
      <c r="B42" s="17" t="inlineStr">
        <is>
          <t>months</t>
        </is>
      </c>
      <c r="C42" s="56">
        <f>IF((C11*C12)=0,0,C34/(C11*C12))</f>
        <v/>
      </c>
      <c r="D42" s="56">
        <f>IF((D11*D12)=0,0,D34/(D11*D12))</f>
        <v/>
      </c>
      <c r="E42" s="56">
        <f>IF((E11*E12)=0,0,E34/(E11*E12))</f>
        <v/>
      </c>
      <c r="F42" s="56">
        <f>IF((F11*F12)=0,0,F34/(F11*F12))</f>
        <v/>
      </c>
      <c r="G42" s="56">
        <f>IF((G11*G12)=0,0,G34/(G11*G12))</f>
        <v/>
      </c>
    </row>
    <row r="43"/>
    <row r="44">
      <c r="A44" s="19" t="inlineStr">
        <is>
          <t>Memo by tier: ARPA, churn, LTV</t>
        </is>
      </c>
      <c r="B44" s="19" t="n"/>
      <c r="C44" s="19" t="n"/>
      <c r="D44" s="19" t="n"/>
      <c r="E44" s="19" t="n"/>
      <c r="F44" s="19" t="n"/>
      <c r="G44" s="19" t="n"/>
    </row>
    <row r="45">
      <c r="A45" s="4" t="inlineStr">
        <is>
          <t>ARPA: Starter</t>
        </is>
      </c>
      <c r="B45" s="17" t="inlineStr">
        <is>
          <t>R / month</t>
        </is>
      </c>
      <c r="C45" s="47">
        <f>IF(SUM(Revenue_Build!C286:N286)=0,0,SUM(Revenue_Build!C347:N347)/SUM(Revenue_Build!C286:N286))</f>
        <v/>
      </c>
      <c r="D45" s="47">
        <f>IF(SUM(Revenue_Build!O286:Z286)=0,0,SUM(Revenue_Build!O347:Z347)/SUM(Revenue_Build!O286:Z286))</f>
        <v/>
      </c>
      <c r="E45" s="47">
        <f>IF(SUM(Revenue_Build!AA286:AL286)=0,0,SUM(Revenue_Build!AA347:AL347)/SUM(Revenue_Build!AA286:AL286))</f>
        <v/>
      </c>
      <c r="F45" s="47">
        <f>IF(SUM(Revenue_Build!AM286:AX286)=0,0,SUM(Revenue_Build!AM347:AX347)/SUM(Revenue_Build!AM286:AX286))</f>
        <v/>
      </c>
      <c r="G45" s="47">
        <f>IF(SUM(Revenue_Build!AY286:BJ286)=0,0,SUM(Revenue_Build!AY347:BJ347)/SUM(Revenue_Build!AY286:BJ286))</f>
        <v/>
      </c>
    </row>
    <row r="46">
      <c r="A46" s="4" t="inlineStr">
        <is>
          <t>ARPA: Growth</t>
        </is>
      </c>
      <c r="B46" s="17" t="inlineStr">
        <is>
          <t>R / month</t>
        </is>
      </c>
      <c r="C46" s="47">
        <f>IF(SUM(Revenue_Build!C289:N289)=0,0,SUM(Revenue_Build!C348:N348)/SUM(Revenue_Build!C289:N289))</f>
        <v/>
      </c>
      <c r="D46" s="47">
        <f>IF(SUM(Revenue_Build!O289:Z289)=0,0,SUM(Revenue_Build!O348:Z348)/SUM(Revenue_Build!O289:Z289))</f>
        <v/>
      </c>
      <c r="E46" s="47">
        <f>IF(SUM(Revenue_Build!AA289:AL289)=0,0,SUM(Revenue_Build!AA348:AL348)/SUM(Revenue_Build!AA289:AL289))</f>
        <v/>
      </c>
      <c r="F46" s="47">
        <f>IF(SUM(Revenue_Build!AM289:AX289)=0,0,SUM(Revenue_Build!AM348:AX348)/SUM(Revenue_Build!AM289:AX289))</f>
        <v/>
      </c>
      <c r="G46" s="47">
        <f>IF(SUM(Revenue_Build!AY289:BJ289)=0,0,SUM(Revenue_Build!AY348:BJ348)/SUM(Revenue_Build!AY289:BJ289))</f>
        <v/>
      </c>
    </row>
    <row r="47">
      <c r="A47" s="4" t="inlineStr">
        <is>
          <t>ARPA: Scale</t>
        </is>
      </c>
      <c r="B47" s="17" t="inlineStr">
        <is>
          <t>R / month</t>
        </is>
      </c>
      <c r="C47" s="47">
        <f>IF(SUM(Revenue_Build!C292:N292)=0,0,SUM(Revenue_Build!C349:N349)/SUM(Revenue_Build!C292:N292))</f>
        <v/>
      </c>
      <c r="D47" s="47">
        <f>IF(SUM(Revenue_Build!O292:Z292)=0,0,SUM(Revenue_Build!O349:Z349)/SUM(Revenue_Build!O292:Z292))</f>
        <v/>
      </c>
      <c r="E47" s="47">
        <f>IF(SUM(Revenue_Build!AA292:AL292)=0,0,SUM(Revenue_Build!AA349:AL349)/SUM(Revenue_Build!AA292:AL292))</f>
        <v/>
      </c>
      <c r="F47" s="47">
        <f>IF(SUM(Revenue_Build!AM292:AX292)=0,0,SUM(Revenue_Build!AM349:AX349)/SUM(Revenue_Build!AM292:AX292))</f>
        <v/>
      </c>
      <c r="G47" s="47">
        <f>IF(SUM(Revenue_Build!AY292:BJ292)=0,0,SUM(Revenue_Build!AY349:BJ349)/SUM(Revenue_Build!AY292:BJ292))</f>
        <v/>
      </c>
    </row>
    <row r="48">
      <c r="A48" s="4" t="inlineStr">
        <is>
          <t>ARPA: Agency</t>
        </is>
      </c>
      <c r="B48" s="17" t="inlineStr">
        <is>
          <t>R / month</t>
        </is>
      </c>
      <c r="C48" s="47">
        <f>IF(SUM(Revenue_Build!C295:N295)=0,0,SUM(Revenue_Build!C350:N350)/SUM(Revenue_Build!C295:N295))</f>
        <v/>
      </c>
      <c r="D48" s="47">
        <f>IF(SUM(Revenue_Build!O295:Z295)=0,0,SUM(Revenue_Build!O350:Z350)/SUM(Revenue_Build!O295:Z295))</f>
        <v/>
      </c>
      <c r="E48" s="47">
        <f>IF(SUM(Revenue_Build!AA295:AL295)=0,0,SUM(Revenue_Build!AA350:AL350)/SUM(Revenue_Build!AA295:AL295))</f>
        <v/>
      </c>
      <c r="F48" s="47">
        <f>IF(SUM(Revenue_Build!AM295:AX295)=0,0,SUM(Revenue_Build!AM350:AX350)/SUM(Revenue_Build!AM295:AX295))</f>
        <v/>
      </c>
      <c r="G48" s="47">
        <f>IF(SUM(Revenue_Build!AY295:BJ295)=0,0,SUM(Revenue_Build!AY350:BJ350)/SUM(Revenue_Build!AY295:BJ295))</f>
        <v/>
      </c>
    </row>
    <row r="49">
      <c r="A49" s="4" t="inlineStr">
        <is>
          <t>ARPA: Enterprise</t>
        </is>
      </c>
      <c r="B49" s="17" t="inlineStr">
        <is>
          <t>R / month</t>
        </is>
      </c>
      <c r="C49" s="47">
        <f>IF(SUM(Revenue_Build!C298:N298)=0,0,SUM(Revenue_Build!C351:N351)/SUM(Revenue_Build!C298:N298))</f>
        <v/>
      </c>
      <c r="D49" s="47">
        <f>IF(SUM(Revenue_Build!O298:Z298)=0,0,SUM(Revenue_Build!O351:Z351)/SUM(Revenue_Build!O298:Z298))</f>
        <v/>
      </c>
      <c r="E49" s="47">
        <f>IF(SUM(Revenue_Build!AA298:AL298)=0,0,SUM(Revenue_Build!AA351:AL351)/SUM(Revenue_Build!AA298:AL298))</f>
        <v/>
      </c>
      <c r="F49" s="47">
        <f>IF(SUM(Revenue_Build!AM298:AX298)=0,0,SUM(Revenue_Build!AM351:AX351)/SUM(Revenue_Build!AM298:AX298))</f>
        <v/>
      </c>
      <c r="G49" s="47">
        <f>IF(SUM(Revenue_Build!AY298:BJ298)=0,0,SUM(Revenue_Build!AY351:BJ351)/SUM(Revenue_Build!AY298:BJ298))</f>
        <v/>
      </c>
    </row>
    <row r="50">
      <c r="A50" s="4" t="inlineStr">
        <is>
          <t>Monthly churn: Starter</t>
        </is>
      </c>
      <c r="B50" s="17" t="inlineStr">
        <is>
          <t>%</t>
        </is>
      </c>
      <c r="C50" s="50">
        <f>IF(SUM(Revenue_Build!C285:N285)=0,0,SUM(Revenue_Build!C287:N287)/SUM(Revenue_Build!C285:N285))</f>
        <v/>
      </c>
      <c r="D50" s="50">
        <f>IF(SUM(Revenue_Build!O285:Z285)=0,0,SUM(Revenue_Build!O287:Z287)/SUM(Revenue_Build!O285:Z285))</f>
        <v/>
      </c>
      <c r="E50" s="50">
        <f>IF(SUM(Revenue_Build!AA285:AL285)=0,0,SUM(Revenue_Build!AA287:AL287)/SUM(Revenue_Build!AA285:AL285))</f>
        <v/>
      </c>
      <c r="F50" s="50">
        <f>IF(SUM(Revenue_Build!AM285:AX285)=0,0,SUM(Revenue_Build!AM287:AX287)/SUM(Revenue_Build!AM285:AX285))</f>
        <v/>
      </c>
      <c r="G50" s="50">
        <f>IF(SUM(Revenue_Build!AY285:BJ285)=0,0,SUM(Revenue_Build!AY287:BJ287)/SUM(Revenue_Build!AY285:BJ285))</f>
        <v/>
      </c>
    </row>
    <row r="51">
      <c r="A51" s="4" t="inlineStr">
        <is>
          <t>Monthly churn: Growth</t>
        </is>
      </c>
      <c r="B51" s="17" t="inlineStr">
        <is>
          <t>%</t>
        </is>
      </c>
      <c r="C51" s="50">
        <f>IF(SUM(Revenue_Build!C288:N288)=0,0,SUM(Revenue_Build!C290:N290)/SUM(Revenue_Build!C288:N288))</f>
        <v/>
      </c>
      <c r="D51" s="50">
        <f>IF(SUM(Revenue_Build!O288:Z288)=0,0,SUM(Revenue_Build!O290:Z290)/SUM(Revenue_Build!O288:Z288))</f>
        <v/>
      </c>
      <c r="E51" s="50">
        <f>IF(SUM(Revenue_Build!AA288:AL288)=0,0,SUM(Revenue_Build!AA290:AL290)/SUM(Revenue_Build!AA288:AL288))</f>
        <v/>
      </c>
      <c r="F51" s="50">
        <f>IF(SUM(Revenue_Build!AM288:AX288)=0,0,SUM(Revenue_Build!AM290:AX290)/SUM(Revenue_Build!AM288:AX288))</f>
        <v/>
      </c>
      <c r="G51" s="50">
        <f>IF(SUM(Revenue_Build!AY288:BJ288)=0,0,SUM(Revenue_Build!AY290:BJ290)/SUM(Revenue_Build!AY288:BJ288))</f>
        <v/>
      </c>
    </row>
    <row r="52">
      <c r="A52" s="4" t="inlineStr">
        <is>
          <t>Monthly churn: Scale</t>
        </is>
      </c>
      <c r="B52" s="17" t="inlineStr">
        <is>
          <t>%</t>
        </is>
      </c>
      <c r="C52" s="50">
        <f>IF(SUM(Revenue_Build!C291:N291)=0,0,SUM(Revenue_Build!C293:N293)/SUM(Revenue_Build!C291:N291))</f>
        <v/>
      </c>
      <c r="D52" s="50">
        <f>IF(SUM(Revenue_Build!O291:Z291)=0,0,SUM(Revenue_Build!O293:Z293)/SUM(Revenue_Build!O291:Z291))</f>
        <v/>
      </c>
      <c r="E52" s="50">
        <f>IF(SUM(Revenue_Build!AA291:AL291)=0,0,SUM(Revenue_Build!AA293:AL293)/SUM(Revenue_Build!AA291:AL291))</f>
        <v/>
      </c>
      <c r="F52" s="50">
        <f>IF(SUM(Revenue_Build!AM291:AX291)=0,0,SUM(Revenue_Build!AM293:AX293)/SUM(Revenue_Build!AM291:AX291))</f>
        <v/>
      </c>
      <c r="G52" s="50">
        <f>IF(SUM(Revenue_Build!AY291:BJ291)=0,0,SUM(Revenue_Build!AY293:BJ293)/SUM(Revenue_Build!AY291:BJ291))</f>
        <v/>
      </c>
    </row>
    <row r="53">
      <c r="A53" s="4" t="inlineStr">
        <is>
          <t>Monthly churn: Agency</t>
        </is>
      </c>
      <c r="B53" s="17" t="inlineStr">
        <is>
          <t>%</t>
        </is>
      </c>
      <c r="C53" s="50">
        <f>IF(SUM(Revenue_Build!C294:N294)=0,0,SUM(Revenue_Build!C296:N296)/SUM(Revenue_Build!C294:N294))</f>
        <v/>
      </c>
      <c r="D53" s="50">
        <f>IF(SUM(Revenue_Build!O294:Z294)=0,0,SUM(Revenue_Build!O296:Z296)/SUM(Revenue_Build!O294:Z294))</f>
        <v/>
      </c>
      <c r="E53" s="50">
        <f>IF(SUM(Revenue_Build!AA294:AL294)=0,0,SUM(Revenue_Build!AA296:AL296)/SUM(Revenue_Build!AA294:AL294))</f>
        <v/>
      </c>
      <c r="F53" s="50">
        <f>IF(SUM(Revenue_Build!AM294:AX294)=0,0,SUM(Revenue_Build!AM296:AX296)/SUM(Revenue_Build!AM294:AX294))</f>
        <v/>
      </c>
      <c r="G53" s="50">
        <f>IF(SUM(Revenue_Build!AY294:BJ294)=0,0,SUM(Revenue_Build!AY296:BJ296)/SUM(Revenue_Build!AY294:BJ294))</f>
        <v/>
      </c>
    </row>
    <row r="54">
      <c r="A54" s="4" t="inlineStr">
        <is>
          <t>Monthly churn: Enterprise</t>
        </is>
      </c>
      <c r="B54" s="17" t="inlineStr">
        <is>
          <t>%</t>
        </is>
      </c>
      <c r="C54" s="50">
        <f>IF(SUM(Revenue_Build!C297:N297)=0,0,SUM(Revenue_Build!C299:N299)/SUM(Revenue_Build!C297:N297))</f>
        <v/>
      </c>
      <c r="D54" s="50">
        <f>IF(SUM(Revenue_Build!O297:Z297)=0,0,SUM(Revenue_Build!O299:Z299)/SUM(Revenue_Build!O297:Z297))</f>
        <v/>
      </c>
      <c r="E54" s="50">
        <f>IF(SUM(Revenue_Build!AA297:AL297)=0,0,SUM(Revenue_Build!AA299:AL299)/SUM(Revenue_Build!AA297:AL297))</f>
        <v/>
      </c>
      <c r="F54" s="50">
        <f>IF(SUM(Revenue_Build!AM297:AX297)=0,0,SUM(Revenue_Build!AM299:AX299)/SUM(Revenue_Build!AM297:AX297))</f>
        <v/>
      </c>
      <c r="G54" s="50">
        <f>IF(SUM(Revenue_Build!AY297:BJ297)=0,0,SUM(Revenue_Build!AY299:BJ299)/SUM(Revenue_Build!AY297:BJ297))</f>
        <v/>
      </c>
    </row>
    <row r="55">
      <c r="A55" s="4" t="inlineStr">
        <is>
          <t>LTV: Starter</t>
        </is>
      </c>
      <c r="B55" s="17" t="inlineStr">
        <is>
          <t>R</t>
        </is>
      </c>
      <c r="C55" s="47">
        <f>IF(C50=0,0,C45*C12/C50)</f>
        <v/>
      </c>
      <c r="D55" s="47">
        <f>IF(D50=0,0,D45*D12/D50)</f>
        <v/>
      </c>
      <c r="E55" s="47">
        <f>IF(E50=0,0,E45*E12/E50)</f>
        <v/>
      </c>
      <c r="F55" s="47">
        <f>IF(F50=0,0,F45*F12/F50)</f>
        <v/>
      </c>
      <c r="G55" s="47">
        <f>IF(G50=0,0,G45*G12/G50)</f>
        <v/>
      </c>
    </row>
    <row r="56">
      <c r="A56" s="4" t="inlineStr">
        <is>
          <t>LTV: Growth</t>
        </is>
      </c>
      <c r="B56" s="17" t="inlineStr">
        <is>
          <t>R</t>
        </is>
      </c>
      <c r="C56" s="47">
        <f>IF(C51=0,0,C46*C12/C51)</f>
        <v/>
      </c>
      <c r="D56" s="47">
        <f>IF(D51=0,0,D46*D12/D51)</f>
        <v/>
      </c>
      <c r="E56" s="47">
        <f>IF(E51=0,0,E46*E12/E51)</f>
        <v/>
      </c>
      <c r="F56" s="47">
        <f>IF(F51=0,0,F46*F12/F51)</f>
        <v/>
      </c>
      <c r="G56" s="47">
        <f>IF(G51=0,0,G46*G12/G51)</f>
        <v/>
      </c>
    </row>
    <row r="57">
      <c r="A57" s="4" t="inlineStr">
        <is>
          <t>LTV: Scale</t>
        </is>
      </c>
      <c r="B57" s="17" t="inlineStr">
        <is>
          <t>R</t>
        </is>
      </c>
      <c r="C57" s="47">
        <f>IF(C52=0,0,C47*C12/C52)</f>
        <v/>
      </c>
      <c r="D57" s="47">
        <f>IF(D52=0,0,D47*D12/D52)</f>
        <v/>
      </c>
      <c r="E57" s="47">
        <f>IF(E52=0,0,E47*E12/E52)</f>
        <v/>
      </c>
      <c r="F57" s="47">
        <f>IF(F52=0,0,F47*F12/F52)</f>
        <v/>
      </c>
      <c r="G57" s="47">
        <f>IF(G52=0,0,G47*G12/G52)</f>
        <v/>
      </c>
    </row>
    <row r="58">
      <c r="A58" s="4" t="inlineStr">
        <is>
          <t>LTV: Agency</t>
        </is>
      </c>
      <c r="B58" s="17" t="inlineStr">
        <is>
          <t>R</t>
        </is>
      </c>
      <c r="C58" s="47">
        <f>IF(C53=0,0,C48*C12/C53)</f>
        <v/>
      </c>
      <c r="D58" s="47">
        <f>IF(D53=0,0,D48*D12/D53)</f>
        <v/>
      </c>
      <c r="E58" s="47">
        <f>IF(E53=0,0,E48*E12/E53)</f>
        <v/>
      </c>
      <c r="F58" s="47">
        <f>IF(F53=0,0,F48*F12/F53)</f>
        <v/>
      </c>
      <c r="G58" s="47">
        <f>IF(G53=0,0,G48*G12/G53)</f>
        <v/>
      </c>
    </row>
    <row r="59">
      <c r="A59" s="4" t="inlineStr">
        <is>
          <t>LTV: Enterprise</t>
        </is>
      </c>
      <c r="B59" s="17" t="inlineStr">
        <is>
          <t>R</t>
        </is>
      </c>
      <c r="C59" s="47">
        <f>IF(C54=0,0,C49*C12/C54)</f>
        <v/>
      </c>
      <c r="D59" s="47">
        <f>IF(D54=0,0,D49*D12/D54)</f>
        <v/>
      </c>
      <c r="E59" s="47">
        <f>IF(E54=0,0,E49*E12/E54)</f>
        <v/>
      </c>
      <c r="F59" s="47">
        <f>IF(F54=0,0,F49*F12/F54)</f>
        <v/>
      </c>
      <c r="G59" s="47">
        <f>IF(G54=0,0,G49*G12/G54)</f>
        <v/>
      </c>
    </row>
    <row r="60"/>
    <row r="61">
      <c r="A61" s="19" t="inlineStr">
        <is>
          <t>Blended</t>
        </is>
      </c>
      <c r="B61" s="19" t="n"/>
      <c r="C61" s="19" t="n"/>
      <c r="D61" s="19" t="n"/>
      <c r="E61" s="19" t="n"/>
      <c r="F61" s="19" t="n"/>
      <c r="G61" s="19" t="n"/>
    </row>
    <row r="62">
      <c r="A62" s="4" t="inlineStr">
        <is>
          <t>Total sales &amp; marketing (programmes + marketing &amp; sales payroll)</t>
        </is>
      </c>
      <c r="B62" s="17" t="inlineStr">
        <is>
          <t>R</t>
        </is>
      </c>
      <c r="C62" s="47">
        <f>SUM('P&amp;L'!C56:N56)</f>
        <v/>
      </c>
      <c r="D62" s="47">
        <f>SUM('P&amp;L'!O56:Z56)</f>
        <v/>
      </c>
      <c r="E62" s="47">
        <f>SUM('P&amp;L'!AA56:AL56)</f>
        <v/>
      </c>
      <c r="F62" s="47">
        <f>SUM('P&amp;L'!AM56:AX56)</f>
        <v/>
      </c>
      <c r="G62" s="47">
        <f>SUM('P&amp;L'!AY56:BJ56)</f>
        <v/>
      </c>
    </row>
    <row r="63">
      <c r="A63" s="4" t="inlineStr">
        <is>
          <t>Total new paying workspaces</t>
        </is>
      </c>
      <c r="B63" s="17" t="inlineStr">
        <is>
          <t>workspaces</t>
        </is>
      </c>
      <c r="C63" s="51">
        <f>SUM(Revenue_Build!C303:N303)</f>
        <v/>
      </c>
      <c r="D63" s="51">
        <f>SUM(Revenue_Build!O303:Z303)</f>
        <v/>
      </c>
      <c r="E63" s="51">
        <f>SUM(Revenue_Build!AA303:AL303)</f>
        <v/>
      </c>
      <c r="F63" s="51">
        <f>SUM(Revenue_Build!AM303:AX303)</f>
        <v/>
      </c>
      <c r="G63" s="51">
        <f>SUM(Revenue_Build!AY303:BJ303)</f>
        <v/>
      </c>
    </row>
    <row r="64">
      <c r="A64" s="3" t="inlineStr">
        <is>
          <t>Blended CAC</t>
        </is>
      </c>
      <c r="B64" s="17" t="inlineStr">
        <is>
          <t>R</t>
        </is>
      </c>
      <c r="C64" s="48">
        <f>IF(C63=0,0,C62/C63)</f>
        <v/>
      </c>
      <c r="D64" s="48">
        <f>IF(D63=0,0,D62/D63)</f>
        <v/>
      </c>
      <c r="E64" s="48">
        <f>IF(E63=0,0,E62/E63)</f>
        <v/>
      </c>
      <c r="F64" s="48">
        <f>IF(F63=0,0,F62/F63)</f>
        <v/>
      </c>
      <c r="G64" s="48">
        <f>IF(G63=0,0,G62/G63)</f>
        <v/>
      </c>
    </row>
    <row r="65">
      <c r="A65" s="4" t="inlineStr">
        <is>
          <t>Blended subscription ARPA (net)</t>
        </is>
      </c>
      <c r="B65" s="17" t="inlineStr">
        <is>
          <t>R / month</t>
        </is>
      </c>
      <c r="C65" s="47">
        <f>Annual_Summary!C102</f>
        <v/>
      </c>
      <c r="D65" s="47">
        <f>Annual_Summary!D102</f>
        <v/>
      </c>
      <c r="E65" s="47">
        <f>Annual_Summary!E102</f>
        <v/>
      </c>
      <c r="F65" s="47">
        <f>Annual_Summary!F102</f>
        <v/>
      </c>
      <c r="G65" s="47">
        <f>Annual_Summary!G102</f>
        <v/>
      </c>
    </row>
    <row r="66">
      <c r="A66" s="4" t="inlineStr">
        <is>
          <t>Blended monthly logo churn (churned / opening)</t>
        </is>
      </c>
      <c r="B66" s="17" t="inlineStr">
        <is>
          <t>%</t>
        </is>
      </c>
      <c r="C66" s="50">
        <f>IF(SUM(Revenue_Build!C300:N300)=0,0,SUM(Revenue_Build!C302:N302)/SUM(Revenue_Build!C300:N300))</f>
        <v/>
      </c>
      <c r="D66" s="50">
        <f>IF(SUM(Revenue_Build!O300:Z300)=0,0,SUM(Revenue_Build!O302:Z302)/SUM(Revenue_Build!O300:Z300))</f>
        <v/>
      </c>
      <c r="E66" s="50">
        <f>IF(SUM(Revenue_Build!AA300:AL300)=0,0,SUM(Revenue_Build!AA302:AL302)/SUM(Revenue_Build!AA300:AL300))</f>
        <v/>
      </c>
      <c r="F66" s="50">
        <f>IF(SUM(Revenue_Build!AM300:AX300)=0,0,SUM(Revenue_Build!AM302:AX302)/SUM(Revenue_Build!AM300:AX300))</f>
        <v/>
      </c>
      <c r="G66" s="50">
        <f>IF(SUM(Revenue_Build!AY300:BJ300)=0,0,SUM(Revenue_Build!AY302:BJ302)/SUM(Revenue_Build!AY300:BJ300))</f>
        <v/>
      </c>
    </row>
    <row r="67">
      <c r="A67" s="3" t="inlineStr">
        <is>
          <t>Blended LTV</t>
        </is>
      </c>
      <c r="B67" s="17" t="inlineStr">
        <is>
          <t>R</t>
        </is>
      </c>
      <c r="C67" s="48">
        <f>IF(C66=0,0,C65*C12/C66)</f>
        <v/>
      </c>
      <c r="D67" s="48">
        <f>IF(D66=0,0,D65*D12/D66)</f>
        <v/>
      </c>
      <c r="E67" s="48">
        <f>IF(E66=0,0,E65*E12/E66)</f>
        <v/>
      </c>
      <c r="F67" s="48">
        <f>IF(F66=0,0,F65*F12/F66)</f>
        <v/>
      </c>
      <c r="G67" s="48">
        <f>IF(G66=0,0,G65*G12/G66)</f>
        <v/>
      </c>
    </row>
    <row r="68">
      <c r="A68" s="3" t="inlineStr">
        <is>
          <t>Blended LTV:CAC</t>
        </is>
      </c>
      <c r="B68" s="17" t="inlineStr">
        <is>
          <t>x</t>
        </is>
      </c>
      <c r="C68" s="57">
        <f>IF(C64=0,0,C67/C64)</f>
        <v/>
      </c>
      <c r="D68" s="57">
        <f>IF(D64=0,0,D67/D64)</f>
        <v/>
      </c>
      <c r="E68" s="57">
        <f>IF(E64=0,0,E67/E64)</f>
        <v/>
      </c>
      <c r="F68" s="57">
        <f>IF(F64=0,0,F67/F64)</f>
        <v/>
      </c>
      <c r="G68" s="57">
        <f>IF(G64=0,0,G67/G64)</f>
        <v/>
      </c>
    </row>
    <row r="69">
      <c r="A69" s="4" t="inlineStr">
        <is>
          <t>Blended CAC payback</t>
        </is>
      </c>
      <c r="B69" s="17" t="inlineStr">
        <is>
          <t>months</t>
        </is>
      </c>
      <c r="C69" s="56">
        <f>IF((C65*C12)=0,0,C64/(C65*C12))</f>
        <v/>
      </c>
      <c r="D69" s="56">
        <f>IF((D65*D12)=0,0,D64/(D65*D12))</f>
        <v/>
      </c>
      <c r="E69" s="56">
        <f>IF((E65*E12)=0,0,E64/(E65*E12))</f>
        <v/>
      </c>
      <c r="F69" s="56">
        <f>IF((F65*F12)=0,0,F64/(F65*F12))</f>
        <v/>
      </c>
      <c r="G69" s="56">
        <f>IF((G65*G12)=0,0,G64/(G65*G12))</f>
        <v/>
      </c>
    </row>
    <row r="70"/>
    <row r="71">
      <c r="A71" s="19" t="inlineStr">
        <is>
          <t>Efficiency</t>
        </is>
      </c>
      <c r="B71" s="19" t="n"/>
      <c r="C71" s="19" t="n"/>
      <c r="D71" s="19" t="n"/>
      <c r="E71" s="19" t="n"/>
      <c r="F71" s="19" t="n"/>
      <c r="G71" s="19" t="n"/>
    </row>
    <row r="72">
      <c r="A72" s="4" t="inlineStr">
        <is>
          <t>Net new subscription ARR</t>
        </is>
      </c>
      <c r="B72" s="17" t="inlineStr">
        <is>
          <t>R</t>
        </is>
      </c>
      <c r="C72" s="47">
        <f>Annual_Summary!C100</f>
        <v/>
      </c>
      <c r="D72" s="47">
        <f>Annual_Summary!D100-Annual_Summary!C100</f>
        <v/>
      </c>
      <c r="E72" s="47">
        <f>Annual_Summary!E100-Annual_Summary!D100</f>
        <v/>
      </c>
      <c r="F72" s="47">
        <f>Annual_Summary!F100-Annual_Summary!E100</f>
        <v/>
      </c>
      <c r="G72" s="47">
        <f>Annual_Summary!G100-Annual_Summary!F100</f>
        <v/>
      </c>
    </row>
    <row r="73">
      <c r="A73" s="4" t="inlineStr">
        <is>
          <t>Magic number (net new ARR / S&amp;M)</t>
        </is>
      </c>
      <c r="B73" s="17" t="inlineStr">
        <is>
          <t>x</t>
        </is>
      </c>
      <c r="C73" s="58">
        <f>IF(C62=0,0,C72/C62)</f>
        <v/>
      </c>
      <c r="D73" s="58">
        <f>IF(D62=0,0,D72/D62)</f>
        <v/>
      </c>
      <c r="E73" s="58">
        <f>IF(E62=0,0,E72/E62)</f>
        <v/>
      </c>
      <c r="F73" s="58">
        <f>IF(F62=0,0,F72/F62)</f>
        <v/>
      </c>
      <c r="G73" s="58">
        <f>IF(G62=0,0,G72/G62)</f>
        <v/>
      </c>
    </row>
    <row r="74">
      <c r="A74" s="4" t="inlineStr">
        <is>
          <t>Net burn (negative operating cash flow)</t>
        </is>
      </c>
      <c r="B74" s="17" t="inlineStr">
        <is>
          <t>R</t>
        </is>
      </c>
      <c r="C74" s="47">
        <f>MAX(0,-Annual_Summary!C63)</f>
        <v/>
      </c>
      <c r="D74" s="47">
        <f>MAX(0,-Annual_Summary!D63)</f>
        <v/>
      </c>
      <c r="E74" s="47">
        <f>MAX(0,-Annual_Summary!E63)</f>
        <v/>
      </c>
      <c r="F74" s="47">
        <f>MAX(0,-Annual_Summary!F63)</f>
        <v/>
      </c>
      <c r="G74" s="47">
        <f>MAX(0,-Annual_Summary!G63)</f>
        <v/>
      </c>
    </row>
    <row r="75">
      <c r="A75" s="4" t="inlineStr">
        <is>
          <t>Burn multiple (net burn / net new ARR)</t>
        </is>
      </c>
      <c r="B75" s="17" t="inlineStr">
        <is>
          <t>x</t>
        </is>
      </c>
      <c r="C75" s="58">
        <f>IF(C72&lt;=0,"n/a",C74/C72)</f>
        <v/>
      </c>
      <c r="D75" s="58">
        <f>IF(D72&lt;=0,"n/a",D74/D72)</f>
        <v/>
      </c>
      <c r="E75" s="58">
        <f>IF(E72&lt;=0,"n/a",E74/E72)</f>
        <v/>
      </c>
      <c r="F75" s="58">
        <f>IF(F72&lt;=0,"n/a",F74/F72)</f>
        <v/>
      </c>
      <c r="G75" s="58">
        <f>IF(G72&lt;=0,"n/a",G74/G72)</f>
        <v/>
      </c>
    </row>
    <row r="76">
      <c r="A76" s="4" t="inlineStr">
        <is>
          <t>Rule of 40 (revenue growth % + EBITDA margin %)</t>
        </is>
      </c>
      <c r="B76" s="17" t="inlineStr">
        <is>
          <t>%</t>
        </is>
      </c>
      <c r="C76" s="50">
        <f>"n/a"</f>
        <v/>
      </c>
      <c r="D76" s="50">
        <f>Annual_Summary!D19+Annual_Summary!D57</f>
        <v/>
      </c>
      <c r="E76" s="50">
        <f>Annual_Summary!E19+Annual_Summary!E57</f>
        <v/>
      </c>
      <c r="F76" s="50">
        <f>Annual_Summary!F19+Annual_Summary!F57</f>
        <v/>
      </c>
      <c r="G76" s="50">
        <f>Annual_Summary!G19+Annual_Summary!G57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7474F"/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0" customWidth="1" min="1" max="1"/>
    <col width="16" customWidth="1" min="2" max="2"/>
    <col width="18" customWidth="1" min="3" max="3"/>
    <col width="18" customWidth="1" min="4" max="4"/>
    <col width="80" customWidth="1" min="5" max="5"/>
  </cols>
  <sheetData>
    <row r="1">
      <c r="A1" s="16" t="inlineStr">
        <is>
          <t>Use of Funds</t>
        </is>
      </c>
    </row>
    <row r="2">
      <c r="A2" s="17" t="inlineStr">
        <is>
          <t>Seed R25M split (facts file §7). Percentages are inputs; amounts are formulas on the seed amount.</t>
        </is>
      </c>
    </row>
    <row r="3"/>
    <row r="4">
      <c r="A4" s="6" t="inlineStr">
        <is>
          <t>Category</t>
        </is>
      </c>
      <c r="B4" s="6" t="inlineStr">
        <is>
          <t>Share</t>
        </is>
      </c>
      <c r="C4" s="6" t="inlineStr">
        <is>
          <t>Amount (R)</t>
        </is>
      </c>
      <c r="D4" s="6" t="inlineStr">
        <is>
          <t>≈ US$</t>
        </is>
      </c>
      <c r="E4" s="6" t="inlineStr">
        <is>
          <t>What it buys (hires &amp; milestones)</t>
        </is>
      </c>
    </row>
    <row r="5" ht="58" customHeight="1">
      <c r="A5" s="3" t="inlineStr">
        <is>
          <t>Product &amp; engineering</t>
        </is>
      </c>
      <c r="B5" s="21" t="n">
        <v>0.4</v>
      </c>
      <c r="C5" s="8">
        <f>Assumptions!$B$13*B5</f>
        <v/>
      </c>
      <c r="D5" s="30">
        <f>C5/Assumptions!$B$10</f>
        <v/>
      </c>
      <c r="E5" s="13" t="inlineStr">
        <is>
          <t>Senior full-stack x2, AI/ML, designer, full-stack x2, DevOps/QA, integrations x2, PM, security; founders' salaries; hosting &amp; AI inference; Instagram/Threads/LinkedIn/TikTok adapters, commerce/CRM integrations, AI cost optimisation.</t>
        </is>
      </c>
    </row>
    <row r="6" ht="58" customHeight="1">
      <c r="A6" s="3" t="inlineStr">
        <is>
          <t>Sales &amp; marketing / partner programme</t>
        </is>
      </c>
      <c r="B6" s="21" t="n">
        <v>0.3</v>
      </c>
      <c r="C6" s="8">
        <f>Assumptions!$B$13*B6</f>
        <v/>
      </c>
      <c r="D6" s="30">
        <f>C6/Assumptions!$B$10</f>
        <v/>
      </c>
      <c r="E6" s="13" t="inlineStr">
        <is>
          <t>Head of Growth, performance &amp; multilingual content marketers, partnerships managers, SME onboarding; paid acquisition (capped at a % of MRR and a CAC-payback test), brand &amp; community, Flux_Partner programme.</t>
        </is>
      </c>
    </row>
    <row r="7" ht="58" customHeight="1">
      <c r="A7" s="3" t="inlineStr">
        <is>
          <t>Market expansion (NG, KE, GH) &amp; payments compliance</t>
        </is>
      </c>
      <c r="B7" s="21" t="n">
        <v>0.15</v>
      </c>
      <c r="C7" s="8">
        <f>Assumptions!$B$13*B7</f>
        <v/>
      </c>
      <c r="D7" s="30">
        <f>C7/Assumptions!$B$10</f>
        <v/>
      </c>
      <c r="E7" s="13" t="inlineStr">
        <is>
          <t>Country leads and local sales/CS in Nigeria, Kenya and Ghana; NDPR/KDPA/Ghana DPC registrations, local counsel, launch campaigns, POPIA/Meta compliance base, Rest-of-Africa VAT registrations.</t>
        </is>
      </c>
    </row>
    <row r="8" ht="58" customHeight="1">
      <c r="A8" s="3" t="inlineStr">
        <is>
          <t>Operations &amp; working capital</t>
        </is>
      </c>
      <c r="B8" s="21" t="n">
        <v>0.15</v>
      </c>
      <c r="C8" s="8">
        <f>Assumptions!$B$13*B8</f>
        <v/>
      </c>
      <c r="D8" s="30">
        <f>C8/Assumptions!$B$10</f>
        <v/>
      </c>
      <c r="E8" s="13" t="inlineStr">
        <is>
          <t>Customer success team, finance &amp; compliance, operations, G&amp;A, tooling, travel, payment processing, support, WhatsApp pass-through costs, and the working-capital float that protects the R3.0M cash buffer.</t>
        </is>
      </c>
    </row>
    <row r="9">
      <c r="A9" s="59" t="inlineStr">
        <is>
          <t>Total</t>
        </is>
      </c>
      <c r="B9" s="60">
        <f>SUM(B5:B8)</f>
        <v/>
      </c>
      <c r="C9" s="42">
        <f>SUM(C5:C8)</f>
        <v/>
      </c>
      <c r="D9" s="61">
        <f>SUM(D5:D8)</f>
        <v/>
      </c>
      <c r="E9" s="59">
        <f>IF(ABS(B9-1)&lt;0.0001,"Check: shares sum to 100%","CHECK: shares do not sum to 100%")</f>
        <v/>
      </c>
    </row>
    <row r="10"/>
    <row r="11">
      <c r="A11" s="19" t="inlineStr">
        <is>
          <t>Reconciliation: modelled gross spend in the 18 months after close (months 5-22: Feb 2027 - Jul 2028; window fixed at build time from the seed month)</t>
        </is>
      </c>
      <c r="B11" s="19" t="n"/>
      <c r="C11" s="19" t="n"/>
      <c r="D11" s="19" t="n"/>
      <c r="E11" s="19" t="n"/>
    </row>
    <row r="12">
      <c r="A12" s="6" t="inlineStr">
        <is>
          <t>Category</t>
        </is>
      </c>
      <c r="B12" s="6" t="inlineStr">
        <is>
          <t>Allocation share</t>
        </is>
      </c>
      <c r="C12" s="6" t="inlineStr">
        <is>
          <t>Modelled spend (R)</t>
        </is>
      </c>
      <c r="D12" s="6" t="inlineStr">
        <is>
          <t>Share of modelled spend</t>
        </is>
      </c>
      <c r="E12" s="6" t="inlineStr">
        <is>
          <t>Gap vs allocation (share of spend - allocation, pp)</t>
        </is>
      </c>
    </row>
    <row r="13">
      <c r="A13" s="4" t="inlineStr">
        <is>
          <t>Product &amp; engineering</t>
        </is>
      </c>
      <c r="B13" s="9">
        <f>B5</f>
        <v/>
      </c>
      <c r="C13" s="8">
        <f>SUM(Costs!G145:X145)+SUM(Costs!G144:X144)+SUM(Costs!G158:X158)+SUM(Costs!G157:X157)+SUM(Costs!G183:X183)</f>
        <v/>
      </c>
      <c r="D13" s="9">
        <f>IF(SUM($C$13:$C$16)=0,0,C13/SUM($C$13:$C$16))</f>
        <v/>
      </c>
      <c r="E13" s="9">
        <f>D13-B13</f>
        <v/>
      </c>
    </row>
    <row r="14">
      <c r="A14" s="4" t="inlineStr">
        <is>
          <t>Sales &amp; marketing / partner programme</t>
        </is>
      </c>
      <c r="B14" s="9">
        <f>B6</f>
        <v/>
      </c>
      <c r="C14" s="8">
        <f>SUM('P&amp;L'!G38:X38)+SUM(Costs!G146:X146)+SUM(Costs!G147:X147)-SUM(Costs!G170:X170)-SUM(Costs!G171:X171)</f>
        <v/>
      </c>
      <c r="D14" s="9">
        <f>IF(SUM($C$13:$C$16)=0,0,C14/SUM($C$13:$C$16))</f>
        <v/>
      </c>
      <c r="E14" s="9">
        <f>D14-B14</f>
        <v/>
      </c>
    </row>
    <row r="15">
      <c r="A15" s="4" t="inlineStr">
        <is>
          <t>Market expansion (NG, KE, GH) &amp; payments compliance</t>
        </is>
      </c>
      <c r="B15" s="9">
        <f>B7</f>
        <v/>
      </c>
      <c r="C15" s="8">
        <f>SUM(Costs!G150:X150)+SUM(Costs!G182:X182)+SUM(Costs!G170:X170)+SUM(Costs!G171:X171)</f>
        <v/>
      </c>
      <c r="D15" s="9">
        <f>IF(SUM($C$13:$C$16)=0,0,C15/SUM($C$13:$C$16))</f>
        <v/>
      </c>
      <c r="E15" s="9">
        <f>D15-B15</f>
        <v/>
      </c>
    </row>
    <row r="16">
      <c r="A16" s="4" t="inlineStr">
        <is>
          <t>Operations &amp; working capital</t>
        </is>
      </c>
      <c r="B16" s="9">
        <f>B8</f>
        <v/>
      </c>
      <c r="C16" s="8">
        <f>SUM(Costs!G148:X148)+SUM(Costs!G149:X149)+SUM(Costs!G181:X181)+SUM(Costs!G184:X184)+SUM(Costs!G163:X163)+SUM(Costs!G162:X162)+SUM(Costs!G159:X159)+SUM('P&amp;L'!G49:X49)+SUM(Cash_Flow!G13:X13)-SUM(Cash_Flow!G11:X11)</f>
        <v/>
      </c>
      <c r="D16" s="9">
        <f>IF(SUM($C$13:$C$16)=0,0,C16/SUM($C$13:$C$16))</f>
        <v/>
      </c>
      <c r="E16" s="9">
        <f>D16-B16</f>
        <v/>
      </c>
    </row>
    <row r="17">
      <c r="A17" s="59" t="inlineStr">
        <is>
          <t>Total gross spend (COGS + opex + tax + working capital)</t>
        </is>
      </c>
      <c r="C17" s="42">
        <f>SUM(C13:C16)</f>
        <v/>
      </c>
    </row>
    <row r="18">
      <c r="A18" s="4" t="inlineStr">
        <is>
          <t>less: revenue collected in the window</t>
        </is>
      </c>
      <c r="C18" s="8">
        <f>SUM('P&amp;L'!G17:X17)</f>
        <v/>
      </c>
    </row>
    <row r="19">
      <c r="A19" s="3" t="inlineStr">
        <is>
          <t>Net cash consumed (funded by the seed)</t>
        </is>
      </c>
      <c r="C19" s="11">
        <f>C17-C18</f>
        <v/>
      </c>
    </row>
    <row r="20">
      <c r="A20" s="4" t="inlineStr">
        <is>
          <t>Seed remaining unspent at the end of the window (seed - net cash consumed)</t>
        </is>
      </c>
      <c r="C20" s="8">
        <f>Assumptions!$B$13-C19</f>
        <v/>
      </c>
    </row>
    <row r="21"/>
    <row r="22">
      <c r="A22" s="19" t="inlineStr">
        <is>
          <t>Reconciliation: modelled gross spend in the 24 months after close (months 5-28: Feb 2027 - Jan 2029; window fixed at build time from the seed month)</t>
        </is>
      </c>
      <c r="B22" s="19" t="n"/>
      <c r="C22" s="19" t="n"/>
      <c r="D22" s="19" t="n"/>
      <c r="E22" s="19" t="n"/>
    </row>
    <row r="23">
      <c r="A23" s="6" t="inlineStr">
        <is>
          <t>Category</t>
        </is>
      </c>
      <c r="B23" s="6" t="inlineStr">
        <is>
          <t>Allocation share</t>
        </is>
      </c>
      <c r="C23" s="6" t="inlineStr">
        <is>
          <t>Modelled spend (R)</t>
        </is>
      </c>
      <c r="D23" s="6" t="inlineStr">
        <is>
          <t>Share of modelled spend</t>
        </is>
      </c>
      <c r="E23" s="6" t="inlineStr">
        <is>
          <t>Gap vs allocation (share of spend - allocation, pp)</t>
        </is>
      </c>
    </row>
    <row r="24">
      <c r="A24" s="4" t="inlineStr">
        <is>
          <t>Product &amp; engineering</t>
        </is>
      </c>
      <c r="B24" s="9">
        <f>B5</f>
        <v/>
      </c>
      <c r="C24" s="8">
        <f>SUM(Costs!G145:AD145)+SUM(Costs!G144:AD144)+SUM(Costs!G158:AD158)+SUM(Costs!G157:AD157)+SUM(Costs!G183:AD183)</f>
        <v/>
      </c>
      <c r="D24" s="9">
        <f>IF(SUM($C$24:$C$27)=0,0,C24/SUM($C$24:$C$27))</f>
        <v/>
      </c>
      <c r="E24" s="9">
        <f>D24-B24</f>
        <v/>
      </c>
    </row>
    <row r="25">
      <c r="A25" s="4" t="inlineStr">
        <is>
          <t>Sales &amp; marketing / partner programme</t>
        </is>
      </c>
      <c r="B25" s="9">
        <f>B6</f>
        <v/>
      </c>
      <c r="C25" s="8">
        <f>SUM('P&amp;L'!G38:AD38)+SUM(Costs!G146:AD146)+SUM(Costs!G147:AD147)-SUM(Costs!G170:AD170)-SUM(Costs!G171:AD171)</f>
        <v/>
      </c>
      <c r="D25" s="9">
        <f>IF(SUM($C$24:$C$27)=0,0,C25/SUM($C$24:$C$27))</f>
        <v/>
      </c>
      <c r="E25" s="9">
        <f>D25-B25</f>
        <v/>
      </c>
    </row>
    <row r="26">
      <c r="A26" s="4" t="inlineStr">
        <is>
          <t>Market expansion (NG, KE, GH) &amp; payments compliance</t>
        </is>
      </c>
      <c r="B26" s="9">
        <f>B7</f>
        <v/>
      </c>
      <c r="C26" s="8">
        <f>SUM(Costs!G150:AD150)+SUM(Costs!G182:AD182)+SUM(Costs!G170:AD170)+SUM(Costs!G171:AD171)</f>
        <v/>
      </c>
      <c r="D26" s="9">
        <f>IF(SUM($C$24:$C$27)=0,0,C26/SUM($C$24:$C$27))</f>
        <v/>
      </c>
      <c r="E26" s="9">
        <f>D26-B26</f>
        <v/>
      </c>
    </row>
    <row r="27">
      <c r="A27" s="4" t="inlineStr">
        <is>
          <t>Operations &amp; working capital</t>
        </is>
      </c>
      <c r="B27" s="9">
        <f>B8</f>
        <v/>
      </c>
      <c r="C27" s="8">
        <f>SUM(Costs!G148:AD148)+SUM(Costs!G149:AD149)+SUM(Costs!G181:AD181)+SUM(Costs!G184:AD184)+SUM(Costs!G163:AD163)+SUM(Costs!G162:AD162)+SUM(Costs!G159:AD159)+SUM('P&amp;L'!G49:AD49)+SUM(Cash_Flow!G13:AD13)-SUM(Cash_Flow!G11:AD11)</f>
        <v/>
      </c>
      <c r="D27" s="9">
        <f>IF(SUM($C$24:$C$27)=0,0,C27/SUM($C$24:$C$27))</f>
        <v/>
      </c>
      <c r="E27" s="9">
        <f>D27-B27</f>
        <v/>
      </c>
    </row>
    <row r="28">
      <c r="A28" s="59" t="inlineStr">
        <is>
          <t>Total gross spend (COGS + opex + tax + working capital)</t>
        </is>
      </c>
      <c r="C28" s="42">
        <f>SUM(C24:C27)</f>
        <v/>
      </c>
    </row>
    <row r="29">
      <c r="A29" s="4" t="inlineStr">
        <is>
          <t>less: revenue collected in the window</t>
        </is>
      </c>
      <c r="C29" s="8">
        <f>SUM('P&amp;L'!G17:AD17)</f>
        <v/>
      </c>
    </row>
    <row r="30">
      <c r="A30" s="3" t="inlineStr">
        <is>
          <t>Net cash consumed (funded by the seed)</t>
        </is>
      </c>
      <c r="C30" s="11">
        <f>C28-C29</f>
        <v/>
      </c>
    </row>
    <row r="31">
      <c r="A31" s="4" t="inlineStr">
        <is>
          <t>Seed remaining unspent at the end of the window (seed - net cash consumed)</t>
        </is>
      </c>
      <c r="C31" s="8">
        <f>Assumptions!$B$13-C30</f>
        <v/>
      </c>
    </row>
    <row r="32"/>
    <row r="33">
      <c r="A33" s="17" t="inlineStr">
        <is>
          <t>Reading: the seed funds net burn, not gross spend, so category shares of gross spend are compared with the allocation shares. Revenue funds the balance. A positive gap means the category takes more of the modelled spend than its allocation.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474F"/>
    <outlinePr summaryBelow="1" summaryRight="1"/>
    <pageSetUpPr/>
  </sheetPr>
  <dimension ref="A1:G104"/>
  <sheetViews>
    <sheetView workbookViewId="0">
      <selection activeCell="A1" sqref="A1"/>
    </sheetView>
  </sheetViews>
  <sheetFormatPr baseColWidth="8" defaultRowHeight="15"/>
  <cols>
    <col width="66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</cols>
  <sheetData>
    <row r="1">
      <c r="A1" s="16" t="inlineStr">
        <is>
          <t>Sensitivity</t>
        </is>
      </c>
    </row>
    <row r="2">
      <c r="A2" s="17" t="inlineStr">
        <is>
          <t>VALUES COMPUTED AT BUILD TIME by the Python mirror of this workbook (grey). They do not recalculate; rerun _build/financial_model.py.</t>
        </is>
      </c>
    </row>
    <row r="3"/>
    <row r="4">
      <c r="A4" s="6" t="inlineStr">
        <is>
          <t>Scenario comparison (seed only; Series A off)</t>
        </is>
      </c>
      <c r="B4" s="6" t="n"/>
      <c r="C4" s="6" t="n"/>
      <c r="D4" s="6" t="n"/>
    </row>
    <row r="5" ht="30" customHeight="1">
      <c r="A5" s="62" t="inlineStr">
        <is>
          <t>Output</t>
        </is>
      </c>
      <c r="B5" s="63" t="inlineStr">
        <is>
          <t>Conservative</t>
        </is>
      </c>
      <c r="C5" s="63" t="inlineStr">
        <is>
          <t>Base</t>
        </is>
      </c>
      <c r="D5" s="63" t="inlineStr">
        <is>
          <t>Upside</t>
        </is>
      </c>
    </row>
    <row r="6">
      <c r="A6" s="4" t="inlineStr">
        <is>
          <t>FY1 total revenue (R)</t>
        </is>
      </c>
      <c r="B6" s="64" t="n">
        <v>2651705.183825314</v>
      </c>
      <c r="C6" s="64" t="n">
        <v>3442875.04831689</v>
      </c>
      <c r="D6" s="64" t="n">
        <v>4593420.042897319</v>
      </c>
    </row>
    <row r="7">
      <c r="A7" s="4" t="inlineStr">
        <is>
          <t>FY1 EBITDA (R)</t>
        </is>
      </c>
      <c r="B7" s="64" t="n">
        <v>-6670304.123941261</v>
      </c>
      <c r="C7" s="64" t="n">
        <v>-7076620.672206841</v>
      </c>
      <c r="D7" s="64" t="n">
        <v>-6746881.54150077</v>
      </c>
    </row>
    <row r="8">
      <c r="A8" s="4" t="inlineStr">
        <is>
          <t>FY3 total revenue (R)</t>
        </is>
      </c>
      <c r="B8" s="64" t="n">
        <v>39026739.01458573</v>
      </c>
      <c r="C8" s="64" t="n">
        <v>73061215.5361581</v>
      </c>
      <c r="D8" s="64" t="n">
        <v>121784179.2053061</v>
      </c>
    </row>
    <row r="9">
      <c r="A9" s="4" t="inlineStr">
        <is>
          <t>FY3 EBITDA (R)</t>
        </is>
      </c>
      <c r="B9" s="64" t="n">
        <v>-8378597.090897735</v>
      </c>
      <c r="C9" s="64" t="n">
        <v>540884.3327312618</v>
      </c>
      <c r="D9" s="64" t="n">
        <v>34554132.57510686</v>
      </c>
    </row>
    <row r="10">
      <c r="A10" s="4" t="inlineStr">
        <is>
          <t>FY5 total revenue (R)</t>
        </is>
      </c>
      <c r="B10" s="64" t="n">
        <v>116014463.8940997</v>
      </c>
      <c r="C10" s="64" t="n">
        <v>237982700.0529004</v>
      </c>
      <c r="D10" s="64" t="n">
        <v>450912391.7079136</v>
      </c>
    </row>
    <row r="11">
      <c r="A11" s="4" t="inlineStr">
        <is>
          <t>FY5 EBITDA (R)</t>
        </is>
      </c>
      <c r="B11" s="64" t="n">
        <v>24730940.92991789</v>
      </c>
      <c r="C11" s="64" t="n">
        <v>66285196.82197642</v>
      </c>
      <c r="D11" s="64" t="n">
        <v>223367272.7079914</v>
      </c>
    </row>
    <row r="12">
      <c r="A12" s="4" t="inlineStr">
        <is>
          <t>FY5 EBITDA margin</t>
        </is>
      </c>
      <c r="B12" s="65" t="n">
        <v>0.2131711865900857</v>
      </c>
      <c r="C12" s="65" t="n">
        <v>0.2785294763327003</v>
      </c>
      <c r="D12" s="65" t="n">
        <v>0.4953673414517326</v>
      </c>
    </row>
    <row r="13">
      <c r="A13" s="4" t="inlineStr">
        <is>
          <t>FY5 paying workspaces (end)</t>
        </is>
      </c>
      <c r="B13" s="66" t="n">
        <v>3973.713174460739</v>
      </c>
      <c r="C13" s="66" t="n">
        <v>8816.274918961488</v>
      </c>
      <c r="D13" s="66" t="n">
        <v>17792.69163436581</v>
      </c>
    </row>
    <row r="14">
      <c r="A14" s="4" t="inlineStr">
        <is>
          <t>FY5 subscription ARR (R)</t>
        </is>
      </c>
      <c r="B14" s="64" t="n">
        <v>117461190.6005063</v>
      </c>
      <c r="C14" s="64" t="n">
        <v>249337829.853169</v>
      </c>
      <c r="D14" s="64" t="n">
        <v>476381607.2127047</v>
      </c>
    </row>
    <row r="15">
      <c r="A15" s="4" t="inlineStr">
        <is>
          <t>FY5 headcount</t>
        </is>
      </c>
      <c r="B15" s="66" t="n">
        <v>67</v>
      </c>
      <c r="C15" s="66" t="n">
        <v>135</v>
      </c>
      <c r="D15" s="66" t="n">
        <v>135</v>
      </c>
    </row>
    <row r="16">
      <c r="A16" s="4" t="inlineStr">
        <is>
          <t>EBITDA break-even (first / sustained)</t>
        </is>
      </c>
      <c r="B16" s="67" t="inlineStr">
        <is>
          <t>Nov 2029 / Mar 2030</t>
        </is>
      </c>
      <c r="C16" s="67" t="inlineStr">
        <is>
          <t>Mar 2029 / Jun 2029</t>
        </is>
      </c>
      <c r="D16" s="67" t="inlineStr">
        <is>
          <t>Jun 2028 / Jun 2028</t>
        </is>
      </c>
    </row>
    <row r="17">
      <c r="A17" s="4" t="inlineStr">
        <is>
          <t>Operating cash flow positive (first / sustained)</t>
        </is>
      </c>
      <c r="B17" s="67" t="inlineStr">
        <is>
          <t>Jul 2029 / Oct 2029</t>
        </is>
      </c>
      <c r="C17" s="67" t="inlineStr">
        <is>
          <t>Oct 2028 / May 2029</t>
        </is>
      </c>
      <c r="D17" s="67" t="inlineStr">
        <is>
          <t>Apr 2028 / Apr 2028</t>
        </is>
      </c>
    </row>
    <row r="18">
      <c r="A18" s="4" t="inlineStr">
        <is>
          <t>Minimum post-seed cash (R)</t>
        </is>
      </c>
      <c r="B18" s="64" t="n">
        <v>4265480.341861714</v>
      </c>
      <c r="C18" s="64" t="n">
        <v>7957771.986872747</v>
      </c>
      <c r="D18" s="64" t="n">
        <v>15083519.64244542</v>
      </c>
    </row>
    <row r="19">
      <c r="A19" s="4" t="inlineStr">
        <is>
          <t>Month of minimum post-seed cash</t>
        </is>
      </c>
      <c r="B19" s="67" t="inlineStr">
        <is>
          <t>Sep 2029</t>
        </is>
      </c>
      <c r="C19" s="67" t="inlineStr">
        <is>
          <t>Sep 2028</t>
        </is>
      </c>
      <c r="D19" s="67" t="inlineStr">
        <is>
          <t>Mar 2028</t>
        </is>
      </c>
    </row>
    <row r="20">
      <c r="A20" s="4" t="inlineStr">
        <is>
          <t>Shortfall vs R3.0M buffer (R)</t>
        </is>
      </c>
      <c r="B20" s="64" t="n">
        <v>0</v>
      </c>
      <c r="C20" s="64" t="n">
        <v>0</v>
      </c>
      <c r="D20" s="64" t="n">
        <v>0</v>
      </c>
    </row>
    <row r="21">
      <c r="A21" s="4" t="inlineStr">
        <is>
          <t>Pre-seed bridge required (R)</t>
        </is>
      </c>
      <c r="B21" s="64" t="n">
        <v>69701.36445465194</v>
      </c>
      <c r="C21" s="64" t="n">
        <v>57528.32784057001</v>
      </c>
      <c r="D21" s="64" t="n">
        <v>39771.66234405493</v>
      </c>
    </row>
    <row r="22">
      <c r="A22" s="4" t="inlineStr">
        <is>
          <t>Launches NG / KE / GH / Rest</t>
        </is>
      </c>
      <c r="B22" s="67" t="inlineStr">
        <is>
          <t>Sep 2028 / Jan 2029 / Mar 2029 / Oct 2029</t>
        </is>
      </c>
      <c r="C22" s="67" t="inlineStr">
        <is>
          <t>Feb 2028 / Apr 2028 / Jun 2028 / Nov 2028</t>
        </is>
      </c>
      <c r="D22" s="67" t="inlineStr">
        <is>
          <t>Nov 2027 / Jan 2028 / Mar 2028 / Sep 2028</t>
        </is>
      </c>
    </row>
    <row r="23">
      <c r="A23" s="4" t="inlineStr">
        <is>
          <t>FY5 closing cash (R)</t>
        </is>
      </c>
      <c r="B23" s="64" t="n">
        <v>39513801.24941475</v>
      </c>
      <c r="C23" s="64" t="n">
        <v>104449494.6332136</v>
      </c>
      <c r="D23" s="64" t="n">
        <v>331751271.077197</v>
      </c>
    </row>
    <row r="24">
      <c r="A24" s="4" t="inlineStr">
        <is>
          <t>Profitable on the R25M seed alone?</t>
        </is>
      </c>
      <c r="B24" s="67" t="inlineStr">
        <is>
          <t>Yes</t>
        </is>
      </c>
      <c r="C24" s="67" t="inlineStr">
        <is>
          <t>Yes</t>
        </is>
      </c>
      <c r="D24" s="67" t="inlineStr">
        <is>
          <t>Yes</t>
        </is>
      </c>
    </row>
    <row r="25"/>
    <row r="26">
      <c r="A26" s="6" t="inlineStr">
        <is>
          <t>FX shock (Base): ZAR 15% stronger vs NGN/KES/GHS/USD from Oct 2028, after NG/KE/GH are live</t>
        </is>
      </c>
      <c r="B26" s="6" t="n"/>
      <c r="C26" s="6" t="n"/>
      <c r="D26" s="6" t="n"/>
    </row>
    <row r="27" ht="30" customHeight="1">
      <c r="A27" s="62" t="inlineStr">
        <is>
          <t>Output</t>
        </is>
      </c>
      <c r="B27" s="63" t="inlineStr">
        <is>
          <t>Base</t>
        </is>
      </c>
      <c r="C27" s="63" t="inlineStr">
        <is>
          <t>ZAR 15% stronger (repricing on)</t>
        </is>
      </c>
      <c r="D27" s="63" t="inlineStr">
        <is>
          <t>ZAR 15% stronger (no repricing)</t>
        </is>
      </c>
    </row>
    <row r="28">
      <c r="A28" s="4" t="inlineStr">
        <is>
          <t>FY3 total revenue (R)</t>
        </is>
      </c>
      <c r="B28" s="64" t="n">
        <v>73061215.5361581</v>
      </c>
      <c r="C28" s="64" t="n">
        <v>73247101.53578295</v>
      </c>
      <c r="D28" s="64" t="n">
        <v>69460024.26238298</v>
      </c>
    </row>
    <row r="29">
      <c r="A29" s="4" t="inlineStr">
        <is>
          <t>FY5 total revenue (R)</t>
        </is>
      </c>
      <c r="B29" s="64" t="n">
        <v>237982700.0529004</v>
      </c>
      <c r="C29" s="64" t="n">
        <v>238054835.3788744</v>
      </c>
      <c r="D29" s="64" t="n">
        <v>216973079.4041346</v>
      </c>
    </row>
    <row r="30">
      <c r="A30" s="4" t="inlineStr">
        <is>
          <t>FY3 EBITDA (R)</t>
        </is>
      </c>
      <c r="B30" s="64" t="n">
        <v>540884.3327312618</v>
      </c>
      <c r="C30" s="64" t="n">
        <v>729323.8742119819</v>
      </c>
      <c r="D30" s="64" t="n">
        <v>-2097780.693316422</v>
      </c>
    </row>
    <row r="31">
      <c r="A31" s="4" t="inlineStr">
        <is>
          <t>FY5 EBITDA (R)</t>
        </is>
      </c>
      <c r="B31" s="64" t="n">
        <v>66285196.82197642</v>
      </c>
      <c r="C31" s="64" t="n">
        <v>66767467.88729493</v>
      </c>
      <c r="D31" s="64" t="n">
        <v>56395561.94979151</v>
      </c>
    </row>
    <row r="32">
      <c r="A32" s="4" t="inlineStr">
        <is>
          <t>Minimum post-seed cash (R)</t>
        </is>
      </c>
      <c r="B32" s="64" t="n">
        <v>7957771.986872747</v>
      </c>
      <c r="C32" s="64" t="n">
        <v>7546881.246377549</v>
      </c>
      <c r="D32" s="64" t="n">
        <v>6787526.35779571</v>
      </c>
    </row>
    <row r="33">
      <c r="A33" s="4" t="inlineStr">
        <is>
          <t>Profitable on the R25M seed alone?</t>
        </is>
      </c>
      <c r="B33" s="67" t="inlineStr">
        <is>
          <t>Yes</t>
        </is>
      </c>
      <c r="C33" s="67" t="inlineStr">
        <is>
          <t>Yes</t>
        </is>
      </c>
      <c r="D33" s="67" t="inlineStr">
        <is>
          <t>Yes</t>
        </is>
      </c>
    </row>
    <row r="34">
      <c r="A34" s="17" t="inlineStr">
        <is>
          <t>Repricing on = the quarterly policy restores ZAR value one quarter after drift exceeds 10%.</t>
        </is>
      </c>
    </row>
    <row r="35"/>
    <row r="36">
      <c r="A36" s="6" t="inlineStr">
        <is>
          <t>Launch discount option (Base). B is decided; A and None are sensitivities only</t>
        </is>
      </c>
      <c r="B36" s="6" t="n"/>
      <c r="C36" s="6" t="n"/>
      <c r="D36" s="6" t="n"/>
    </row>
    <row r="37" ht="30" customHeight="1">
      <c r="A37" s="62" t="inlineStr">
        <is>
          <t>Output</t>
        </is>
      </c>
      <c r="B37" s="63" t="inlineStr">
        <is>
          <t>B Founding Member (default)</t>
        </is>
      </c>
      <c r="C37" s="63" t="inlineStr">
        <is>
          <t>A Launch Sprint</t>
        </is>
      </c>
      <c r="D37" s="63" t="inlineStr">
        <is>
          <t>None</t>
        </is>
      </c>
    </row>
    <row r="38">
      <c r="A38" s="4" t="inlineStr">
        <is>
          <t>FY1 total revenue (R)</t>
        </is>
      </c>
      <c r="B38" s="64" t="n">
        <v>3442875.04831689</v>
      </c>
      <c r="C38" s="64" t="n">
        <v>3436701.142426272</v>
      </c>
      <c r="D38" s="64" t="n">
        <v>3406538.748395324</v>
      </c>
    </row>
    <row r="39">
      <c r="A39" s="4" t="inlineStr">
        <is>
          <t>FY2 total revenue (R)</t>
        </is>
      </c>
      <c r="B39" s="64" t="n">
        <v>24861333.33392905</v>
      </c>
      <c r="C39" s="64" t="n">
        <v>24819074.44722265</v>
      </c>
      <c r="D39" s="64" t="n">
        <v>24713061.238621</v>
      </c>
    </row>
    <row r="40">
      <c r="A40" s="4" t="inlineStr">
        <is>
          <t>Launch-offer discount cost FY1 (R)</t>
        </is>
      </c>
      <c r="B40" s="64" t="n">
        <v>26443.87158939999</v>
      </c>
      <c r="C40" s="64" t="n">
        <v>9352.252908653842</v>
      </c>
      <c r="D40" s="64" t="n">
        <v>0</v>
      </c>
    </row>
    <row r="41">
      <c r="A41" s="4" t="inlineStr">
        <is>
          <t>Launch-offer discount cost FY1-FY3 (R)</t>
        </is>
      </c>
      <c r="B41" s="64" t="n">
        <v>190613.7846647463</v>
      </c>
      <c r="C41" s="64" t="n">
        <v>63064.8091747088</v>
      </c>
      <c r="D41" s="64" t="n">
        <v>0</v>
      </c>
    </row>
    <row r="42">
      <c r="A42" s="4" t="inlineStr">
        <is>
          <t>FY5 EBITDA (R)</t>
        </is>
      </c>
      <c r="B42" s="64" t="n">
        <v>66285196.82197642</v>
      </c>
      <c r="C42" s="64" t="n">
        <v>66648471.36494978</v>
      </c>
      <c r="D42" s="64" t="n">
        <v>66554735.20586471</v>
      </c>
    </row>
    <row r="43">
      <c r="A43" s="4" t="inlineStr">
        <is>
          <t>Minimum post-seed cash (R)</t>
        </is>
      </c>
      <c r="B43" s="64" t="n">
        <v>7957771.986872747</v>
      </c>
      <c r="C43" s="64" t="n">
        <v>7938406.97795431</v>
      </c>
      <c r="D43" s="64" t="n">
        <v>7821372.046345923</v>
      </c>
    </row>
    <row r="44">
      <c r="A44" s="4" t="inlineStr">
        <is>
          <t>Profitable on the R25M seed alone?</t>
        </is>
      </c>
      <c r="B44" s="67" t="inlineStr">
        <is>
          <t>Yes</t>
        </is>
      </c>
      <c r="C44" s="67" t="inlineStr">
        <is>
          <t>Yes</t>
        </is>
      </c>
      <c r="D44" s="67" t="inlineStr">
        <is>
          <t>Yes</t>
        </is>
      </c>
    </row>
    <row r="45">
      <c r="A45" s="17" t="inlineStr">
        <is>
          <t>None also removes the +20% launch-window sign-up uplift.</t>
        </is>
      </c>
    </row>
    <row r="46"/>
    <row r="47">
      <c r="A47" s="6" t="inlineStr">
        <is>
          <t>Pilot conversion (Base)</t>
        </is>
      </c>
      <c r="B47" s="6" t="n"/>
      <c r="C47" s="6" t="n"/>
      <c r="D47" s="6" t="n"/>
    </row>
    <row r="48" ht="30" customHeight="1">
      <c r="A48" s="62" t="inlineStr">
        <is>
          <t>Output</t>
        </is>
      </c>
      <c r="B48" s="63" t="inlineStr">
        <is>
          <t>50% convert</t>
        </is>
      </c>
      <c r="C48" s="63" t="inlineStr">
        <is>
          <t>75% convert (default)</t>
        </is>
      </c>
      <c r="D48" s="63" t="inlineStr">
        <is>
          <t>100% convert</t>
        </is>
      </c>
    </row>
    <row r="49">
      <c r="A49" s="4" t="inlineStr">
        <is>
          <t>Pilot brands converting</t>
        </is>
      </c>
      <c r="B49" s="68" t="n">
        <v>6</v>
      </c>
      <c r="C49" s="68" t="n">
        <v>9</v>
      </c>
      <c r="D49" s="68" t="n">
        <v>12</v>
      </c>
    </row>
    <row r="50">
      <c r="A50" s="4" t="inlineStr">
        <is>
          <t>FY1 total revenue (R)</t>
        </is>
      </c>
      <c r="B50" s="64" t="n">
        <v>3365618.824661635</v>
      </c>
      <c r="C50" s="64" t="n">
        <v>3442875.04831689</v>
      </c>
      <c r="D50" s="64" t="n">
        <v>3517876.351801232</v>
      </c>
    </row>
    <row r="51">
      <c r="A51" s="4" t="inlineStr">
        <is>
          <t>Pilot discount cost FY1 (R)</t>
        </is>
      </c>
      <c r="B51" s="64" t="n">
        <v>9095.040000000001</v>
      </c>
      <c r="C51" s="64" t="n">
        <v>13642.56</v>
      </c>
      <c r="D51" s="64" t="n">
        <v>18190.08</v>
      </c>
    </row>
    <row r="52">
      <c r="A52" s="4" t="inlineStr">
        <is>
          <t>Pre-seed bridge required (R)</t>
        </is>
      </c>
      <c r="B52" s="64" t="n">
        <v>63055.57624307</v>
      </c>
      <c r="C52" s="64" t="n">
        <v>57528.32784057001</v>
      </c>
      <c r="D52" s="64" t="n">
        <v>52001.07943807</v>
      </c>
    </row>
    <row r="53">
      <c r="A53" s="4" t="inlineStr">
        <is>
          <t>Minimum post-seed cash (R)</t>
        </is>
      </c>
      <c r="B53" s="64" t="n">
        <v>7843607.618206674</v>
      </c>
      <c r="C53" s="64" t="n">
        <v>7957771.986872747</v>
      </c>
      <c r="D53" s="64" t="n">
        <v>7985860.414073291</v>
      </c>
    </row>
    <row r="54"/>
    <row r="55">
      <c r="A55" s="6" t="inlineStr">
        <is>
          <t>Conservative: constraint check and the smallest cost cut that fixes it</t>
        </is>
      </c>
      <c r="B55" s="6" t="n"/>
      <c r="C55" s="6" t="n"/>
    </row>
    <row r="56" ht="30" customHeight="1">
      <c r="A56" s="62" t="inlineStr">
        <is>
          <t>Output</t>
        </is>
      </c>
      <c r="B56" s="63" t="inlineStr">
        <is>
          <t>Conservative as modelled</t>
        </is>
      </c>
      <c r="C56" s="63" t="inlineStr">
        <is>
          <t>Conservative with Base gates (1.00x)</t>
        </is>
      </c>
    </row>
    <row r="57">
      <c r="A57" s="4" t="inlineStr">
        <is>
          <t>Minimum post-seed cash (R)</t>
        </is>
      </c>
      <c r="B57" s="64" t="n">
        <v>4265480.341861714</v>
      </c>
      <c r="C57" s="64" t="n">
        <v>-2764993.097280616</v>
      </c>
    </row>
    <row r="58">
      <c r="A58" s="4" t="inlineStr">
        <is>
          <t>Month of minimum post-seed cash</t>
        </is>
      </c>
      <c r="B58" s="67" t="inlineStr">
        <is>
          <t>Sep 2029</t>
        </is>
      </c>
      <c r="C58" s="67" t="inlineStr">
        <is>
          <t>Jan 2030</t>
        </is>
      </c>
    </row>
    <row r="59">
      <c r="A59" s="4" t="inlineStr">
        <is>
          <t>Shortfall vs R3.0M buffer (R)</t>
        </is>
      </c>
      <c r="B59" s="64" t="n">
        <v>0</v>
      </c>
      <c r="C59" s="64" t="n">
        <v>5764993.097280616</v>
      </c>
    </row>
    <row r="60">
      <c r="A60" s="4" t="inlineStr">
        <is>
          <t>EBITDA break-even (sustained)</t>
        </is>
      </c>
      <c r="B60" s="67" t="inlineStr">
        <is>
          <t>Mar 2030</t>
        </is>
      </c>
      <c r="C60" s="67" t="inlineStr">
        <is>
          <t>Mar 2030</t>
        </is>
      </c>
    </row>
    <row r="61">
      <c r="A61" s="4" t="inlineStr">
        <is>
          <t>FY5 EBITDA (R)</t>
        </is>
      </c>
      <c r="B61" s="64" t="n">
        <v>24730940.92991789</v>
      </c>
      <c r="C61" s="64" t="n">
        <v>20717739.65268642</v>
      </c>
    </row>
    <row r="62">
      <c r="A62" s="4" t="inlineStr">
        <is>
          <t>FY5 headcount</t>
        </is>
      </c>
      <c r="B62" s="66" t="n">
        <v>67</v>
      </c>
      <c r="C62" s="66" t="n">
        <v>87</v>
      </c>
    </row>
    <row r="63">
      <c r="A63" s="4" t="inlineStr">
        <is>
          <t>Profitable on the R25M seed alone?</t>
        </is>
      </c>
      <c r="B63" s="67" t="inlineStr">
        <is>
          <t>Yes</t>
        </is>
      </c>
      <c r="C63" s="67" t="inlineStr">
        <is>
          <t>No</t>
        </is>
      </c>
    </row>
    <row r="64">
      <c r="A64" s="17" t="inlineStr">
        <is>
          <t>Smallest fix from 'Conservative with Base hiring &amp; launch gates (1.00x)': raise the hiring &amp; launch MRR-gate multiplier to 1.35x, or cut all non-founder salaries by 13%.</t>
        </is>
      </c>
    </row>
    <row r="65"/>
    <row r="66">
      <c r="A66" s="6" t="inlineStr">
        <is>
          <t>Base: FY3 total revenue (R) (computed at build time)</t>
        </is>
      </c>
      <c r="B66" s="6" t="n"/>
      <c r="C66" s="6" t="n"/>
      <c r="D66" s="6" t="n"/>
      <c r="E66" s="6" t="n"/>
      <c r="F66" s="6" t="n"/>
      <c r="G66" s="6" t="n"/>
    </row>
    <row r="67">
      <c r="A67" s="3" t="inlineStr">
        <is>
          <t>Churn multiplier ↓  /  New-customer volume multiplier →</t>
        </is>
      </c>
      <c r="C67" s="69" t="n">
        <v>0.7</v>
      </c>
      <c r="D67" s="69" t="n">
        <v>0.85</v>
      </c>
      <c r="E67" s="69" t="n">
        <v>1</v>
      </c>
      <c r="F67" s="69" t="n">
        <v>1.15</v>
      </c>
      <c r="G67" s="69" t="n">
        <v>1.3</v>
      </c>
    </row>
    <row r="68">
      <c r="A68" s="4" t="inlineStr">
        <is>
          <t>0.70x churn (Solo Starter 4.5%/mo)</t>
        </is>
      </c>
      <c r="B68" s="70" t="n">
        <v>0.7</v>
      </c>
      <c r="C68" s="71" t="n">
        <v>55423126.9461574</v>
      </c>
      <c r="D68" s="71" t="n">
        <v>67364821.95190719</v>
      </c>
      <c r="E68" s="71" t="n">
        <v>79171746.3972736</v>
      </c>
      <c r="F68" s="71" t="n">
        <v>91104608.76201873</v>
      </c>
      <c r="G68" s="71" t="n">
        <v>101968723.4306684</v>
      </c>
    </row>
    <row r="69">
      <c r="A69" s="4" t="inlineStr">
        <is>
          <t>0.85x churn (Solo Starter 5.5%/mo)</t>
        </is>
      </c>
      <c r="B69" s="70" t="n">
        <v>0.85</v>
      </c>
      <c r="C69" s="71" t="n">
        <v>52496031.06508954</v>
      </c>
      <c r="D69" s="71" t="n">
        <v>64461544.53112653</v>
      </c>
      <c r="E69" s="71" t="n">
        <v>76008079.57161908</v>
      </c>
      <c r="F69" s="71" t="n">
        <v>87420544.12415454</v>
      </c>
      <c r="G69" s="71" t="n">
        <v>97143758.46856207</v>
      </c>
    </row>
    <row r="70">
      <c r="A70" s="4" t="inlineStr">
        <is>
          <t>1.00x churn (Solo Starter 6.5%/mo)</t>
        </is>
      </c>
      <c r="B70" s="70" t="n">
        <v>1</v>
      </c>
      <c r="C70" s="71" t="n">
        <v>50335870.80226813</v>
      </c>
      <c r="D70" s="71" t="n">
        <v>61983534.47053348</v>
      </c>
      <c r="E70" s="72" t="n">
        <v>73061215.5361581</v>
      </c>
      <c r="F70" s="71" t="n">
        <v>83986396.18171334</v>
      </c>
      <c r="G70" s="71" t="n">
        <v>93311661.12189089</v>
      </c>
    </row>
    <row r="71">
      <c r="A71" s="4" t="inlineStr">
        <is>
          <t>1.15x churn (Solo Starter 7.5%/mo)</t>
        </is>
      </c>
      <c r="B71" s="70" t="n">
        <v>1.15</v>
      </c>
      <c r="C71" s="71" t="n">
        <v>48329129.95765429</v>
      </c>
      <c r="D71" s="71" t="n">
        <v>58621364.63923892</v>
      </c>
      <c r="E71" s="71" t="n">
        <v>70308508.33282275</v>
      </c>
      <c r="F71" s="71" t="n">
        <v>80783255.83350688</v>
      </c>
      <c r="G71" s="71" t="n">
        <v>89738533.83519153</v>
      </c>
    </row>
    <row r="72">
      <c r="A72" s="4" t="inlineStr">
        <is>
          <t>1.30x churn (Solo Starter 8.5%/mo)</t>
        </is>
      </c>
      <c r="B72" s="70" t="n">
        <v>1.3</v>
      </c>
      <c r="C72" s="71" t="n">
        <v>45310751.3246714</v>
      </c>
      <c r="D72" s="71" t="n">
        <v>56318937.26958315</v>
      </c>
      <c r="E72" s="71" t="n">
        <v>67301580.55926552</v>
      </c>
      <c r="F72" s="71" t="n">
        <v>76567412.48024222</v>
      </c>
      <c r="G72" s="71" t="n">
        <v>86400463.73829095</v>
      </c>
    </row>
    <row r="73"/>
    <row r="74">
      <c r="A74" s="6" t="inlineStr">
        <is>
          <t>Base: FY5 total revenue (R) (computed at build time)</t>
        </is>
      </c>
      <c r="B74" s="6" t="n"/>
      <c r="C74" s="6" t="n"/>
      <c r="D74" s="6" t="n"/>
      <c r="E74" s="6" t="n"/>
      <c r="F74" s="6" t="n"/>
      <c r="G74" s="6" t="n"/>
    </row>
    <row r="75">
      <c r="A75" s="3" t="inlineStr">
        <is>
          <t>Churn multiplier ↓  /  New-customer volume multiplier →</t>
        </is>
      </c>
      <c r="C75" s="69" t="n">
        <v>0.7</v>
      </c>
      <c r="D75" s="69" t="n">
        <v>0.85</v>
      </c>
      <c r="E75" s="69" t="n">
        <v>1</v>
      </c>
      <c r="F75" s="69" t="n">
        <v>1.15</v>
      </c>
      <c r="G75" s="69" t="n">
        <v>1.3</v>
      </c>
    </row>
    <row r="76">
      <c r="A76" s="4" t="inlineStr">
        <is>
          <t>0.70x churn (Solo Starter 4.5%/mo)</t>
        </is>
      </c>
      <c r="B76" s="70" t="n">
        <v>0.7</v>
      </c>
      <c r="C76" s="71" t="n">
        <v>192233265.0174333</v>
      </c>
      <c r="D76" s="71" t="n">
        <v>233376872.8640617</v>
      </c>
      <c r="E76" s="71" t="n">
        <v>273802814.5136617</v>
      </c>
      <c r="F76" s="71" t="n">
        <v>314392027.6920449</v>
      </c>
      <c r="G76" s="71" t="n">
        <v>352052335.8617499</v>
      </c>
    </row>
    <row r="77">
      <c r="A77" s="4" t="inlineStr">
        <is>
          <t>0.85x churn (Solo Starter 5.5%/mo)</t>
        </is>
      </c>
      <c r="B77" s="70" t="n">
        <v>0.85</v>
      </c>
      <c r="C77" s="71" t="n">
        <v>177594876.7392749</v>
      </c>
      <c r="D77" s="71" t="n">
        <v>216488513.4160837</v>
      </c>
      <c r="E77" s="71" t="n">
        <v>254735272.9873005</v>
      </c>
      <c r="F77" s="71" t="n">
        <v>292664746.2602832</v>
      </c>
      <c r="G77" s="71" t="n">
        <v>326601638.0471477</v>
      </c>
    </row>
    <row r="78">
      <c r="A78" s="4" t="inlineStr">
        <is>
          <t>1.00x churn (Solo Starter 6.5%/mo)</t>
        </is>
      </c>
      <c r="B78" s="70" t="n">
        <v>1</v>
      </c>
      <c r="C78" s="71" t="n">
        <v>165754861.5561979</v>
      </c>
      <c r="D78" s="71" t="n">
        <v>202146281.2435266</v>
      </c>
      <c r="E78" s="72" t="n">
        <v>237982700.0529004</v>
      </c>
      <c r="F78" s="71" t="n">
        <v>273581579.8852851</v>
      </c>
      <c r="G78" s="71" t="n">
        <v>305496505.712924</v>
      </c>
    </row>
    <row r="79">
      <c r="A79" s="4" t="inlineStr">
        <is>
          <t>1.15x churn (Solo Starter 7.5%/mo)</t>
        </is>
      </c>
      <c r="B79" s="70" t="n">
        <v>1.15</v>
      </c>
      <c r="C79" s="71" t="n">
        <v>155114023.2702853</v>
      </c>
      <c r="D79" s="71" t="n">
        <v>187604794.4818808</v>
      </c>
      <c r="E79" s="71" t="n">
        <v>223263405.9096659</v>
      </c>
      <c r="F79" s="71" t="n">
        <v>256538232.5873867</v>
      </c>
      <c r="G79" s="71" t="n">
        <v>286219328.8514597</v>
      </c>
    </row>
    <row r="80">
      <c r="A80" s="4" t="inlineStr">
        <is>
          <t>1.30x churn (Solo Starter 8.5%/mo)</t>
        </is>
      </c>
      <c r="B80" s="70" t="n">
        <v>1.3</v>
      </c>
      <c r="C80" s="71" t="n">
        <v>144132992.6532777</v>
      </c>
      <c r="D80" s="71" t="n">
        <v>175927105.2106659</v>
      </c>
      <c r="E80" s="71" t="n">
        <v>208719438.600939</v>
      </c>
      <c r="F80" s="71" t="n">
        <v>238146280.0441263</v>
      </c>
      <c r="G80" s="71" t="n">
        <v>269133901.7544233</v>
      </c>
    </row>
    <row r="81"/>
    <row r="82">
      <c r="A82" s="6" t="inlineStr">
        <is>
          <t>Base: FY3 EBITDA (R) (computed at build time)</t>
        </is>
      </c>
      <c r="B82" s="6" t="n"/>
      <c r="C82" s="6" t="n"/>
      <c r="D82" s="6" t="n"/>
      <c r="E82" s="6" t="n"/>
      <c r="F82" s="6" t="n"/>
      <c r="G82" s="6" t="n"/>
    </row>
    <row r="83">
      <c r="A83" s="3" t="inlineStr">
        <is>
          <t>Churn multiplier ↓  /  New-customer volume multiplier →</t>
        </is>
      </c>
      <c r="C83" s="69" t="n">
        <v>0.7</v>
      </c>
      <c r="D83" s="69" t="n">
        <v>0.85</v>
      </c>
      <c r="E83" s="69" t="n">
        <v>1</v>
      </c>
      <c r="F83" s="69" t="n">
        <v>1.15</v>
      </c>
      <c r="G83" s="69" t="n">
        <v>1.3</v>
      </c>
    </row>
    <row r="84">
      <c r="A84" s="4" t="inlineStr">
        <is>
          <t>0.70x churn (Solo Starter 4.5%/mo)</t>
        </is>
      </c>
      <c r="B84" s="70" t="n">
        <v>0.7</v>
      </c>
      <c r="C84" s="71" t="n">
        <v>-5876053.119506828</v>
      </c>
      <c r="D84" s="71" t="n">
        <v>-1340206.785900414</v>
      </c>
      <c r="E84" s="71" t="n">
        <v>4636939.277057126</v>
      </c>
      <c r="F84" s="71" t="n">
        <v>12322405.71243652</v>
      </c>
      <c r="G84" s="71" t="n">
        <v>19755059.15106413</v>
      </c>
    </row>
    <row r="85">
      <c r="A85" s="4" t="inlineStr">
        <is>
          <t>0.85x churn (Solo Starter 5.5%/mo)</t>
        </is>
      </c>
      <c r="B85" s="70" t="n">
        <v>0.85</v>
      </c>
      <c r="C85" s="71" t="n">
        <v>-6723825.063041806</v>
      </c>
      <c r="D85" s="71" t="n">
        <v>-2891071.594181672</v>
      </c>
      <c r="E85" s="71" t="n">
        <v>2185590.805886284</v>
      </c>
      <c r="F85" s="71" t="n">
        <v>9446003.806856953</v>
      </c>
      <c r="G85" s="71" t="n">
        <v>16088967.04977751</v>
      </c>
    </row>
    <row r="86">
      <c r="A86" s="4" t="inlineStr">
        <is>
          <t>1.00x churn (Solo Starter 6.5%/mo)</t>
        </is>
      </c>
      <c r="B86" s="70" t="n">
        <v>1</v>
      </c>
      <c r="C86" s="71" t="n">
        <v>-7385246.094269387</v>
      </c>
      <c r="D86" s="71" t="n">
        <v>-4149049.455965564</v>
      </c>
      <c r="E86" s="72" t="n">
        <v>540884.3327312618</v>
      </c>
      <c r="F86" s="71" t="n">
        <v>6768115.948267274</v>
      </c>
      <c r="G86" s="71" t="n">
        <v>13084411.42690122</v>
      </c>
    </row>
    <row r="87">
      <c r="A87" s="4" t="inlineStr">
        <is>
          <t>1.15x churn (Solo Starter 7.5%/mo)</t>
        </is>
      </c>
      <c r="B87" s="70" t="n">
        <v>1.15</v>
      </c>
      <c r="C87" s="71" t="n">
        <v>-8238867.254761919</v>
      </c>
      <c r="D87" s="71" t="n">
        <v>-5140070.389359668</v>
      </c>
      <c r="E87" s="71" t="n">
        <v>-781957.0433335155</v>
      </c>
      <c r="F87" s="71" t="n">
        <v>4575062.081623353</v>
      </c>
      <c r="G87" s="71" t="n">
        <v>10287691.80926288</v>
      </c>
    </row>
    <row r="88">
      <c r="A88" s="4" t="inlineStr">
        <is>
          <t>1.30x churn (Solo Starter 8.5%/mo)</t>
        </is>
      </c>
      <c r="B88" s="70" t="n">
        <v>1.3</v>
      </c>
      <c r="C88" s="71" t="n">
        <v>-9645059.228662688</v>
      </c>
      <c r="D88" s="71" t="n">
        <v>-6234535.933289349</v>
      </c>
      <c r="E88" s="71" t="n">
        <v>-2990932.869382471</v>
      </c>
      <c r="F88" s="71" t="n">
        <v>1574986.040174067</v>
      </c>
      <c r="G88" s="71" t="n">
        <v>7678702.083873846</v>
      </c>
    </row>
    <row r="89"/>
    <row r="90">
      <c r="A90" s="6" t="inlineStr">
        <is>
          <t>Base: FY5 EBITDA (R) (computed at build time)</t>
        </is>
      </c>
      <c r="B90" s="6" t="n"/>
      <c r="C90" s="6" t="n"/>
      <c r="D90" s="6" t="n"/>
      <c r="E90" s="6" t="n"/>
      <c r="F90" s="6" t="n"/>
      <c r="G90" s="6" t="n"/>
    </row>
    <row r="91">
      <c r="A91" s="3" t="inlineStr">
        <is>
          <t>Churn multiplier ↓  /  New-customer volume multiplier →</t>
        </is>
      </c>
      <c r="C91" s="69" t="n">
        <v>0.7</v>
      </c>
      <c r="D91" s="69" t="n">
        <v>0.85</v>
      </c>
      <c r="E91" s="69" t="n">
        <v>1</v>
      </c>
      <c r="F91" s="69" t="n">
        <v>1.15</v>
      </c>
      <c r="G91" s="69" t="n">
        <v>1.3</v>
      </c>
    </row>
    <row r="92">
      <c r="A92" s="4" t="inlineStr">
        <is>
          <t>0.70x churn (Solo Starter 4.5%/mo)</t>
        </is>
      </c>
      <c r="B92" s="70" t="n">
        <v>0.7</v>
      </c>
      <c r="C92" s="71" t="n">
        <v>51756795.26678745</v>
      </c>
      <c r="D92" s="71" t="n">
        <v>65615515.96260963</v>
      </c>
      <c r="E92" s="71" t="n">
        <v>86656512.88301103</v>
      </c>
      <c r="F92" s="71" t="n">
        <v>114853547.0791802</v>
      </c>
      <c r="G92" s="71" t="n">
        <v>143931205.7451931</v>
      </c>
    </row>
    <row r="93">
      <c r="A93" s="4" t="inlineStr">
        <is>
          <t>0.85x churn (Solo Starter 5.5%/mo)</t>
        </is>
      </c>
      <c r="B93" s="70" t="n">
        <v>0.85</v>
      </c>
      <c r="C93" s="71" t="n">
        <v>46866422.4433202</v>
      </c>
      <c r="D93" s="71" t="n">
        <v>60185241.65524109</v>
      </c>
      <c r="E93" s="71" t="n">
        <v>74407207.72512367</v>
      </c>
      <c r="F93" s="71" t="n">
        <v>97862831.80118161</v>
      </c>
      <c r="G93" s="71" t="n">
        <v>122988865.6711945</v>
      </c>
    </row>
    <row r="94">
      <c r="A94" s="4" t="inlineStr">
        <is>
          <t>1.00x churn (Solo Starter 6.5%/mo)</t>
        </is>
      </c>
      <c r="B94" s="70" t="n">
        <v>1</v>
      </c>
      <c r="C94" s="71" t="n">
        <v>40489808.72490056</v>
      </c>
      <c r="D94" s="71" t="n">
        <v>55023556.40902828</v>
      </c>
      <c r="E94" s="72" t="n">
        <v>66285196.82197642</v>
      </c>
      <c r="F94" s="71" t="n">
        <v>84542792.09542638</v>
      </c>
      <c r="G94" s="71" t="n">
        <v>106159855.5601531</v>
      </c>
    </row>
    <row r="95">
      <c r="A95" s="4" t="inlineStr">
        <is>
          <t>1.15x churn (Solo Starter 7.5%/mo)</t>
        </is>
      </c>
      <c r="B95" s="70" t="n">
        <v>1.15</v>
      </c>
      <c r="C95" s="71" t="n">
        <v>34807144.95469914</v>
      </c>
      <c r="D95" s="71" t="n">
        <v>50385770.04443924</v>
      </c>
      <c r="E95" s="71" t="n">
        <v>60543959.51478837</v>
      </c>
      <c r="F95" s="71" t="n">
        <v>73457355.60146669</v>
      </c>
      <c r="G95" s="71" t="n">
        <v>91150428.51884958</v>
      </c>
    </row>
    <row r="96">
      <c r="A96" s="4" t="inlineStr">
        <is>
          <t>1.30x churn (Solo Starter 8.5%/mo)</t>
        </is>
      </c>
      <c r="B96" s="70" t="n">
        <v>1.3</v>
      </c>
      <c r="C96" s="71" t="n">
        <v>28934043.66867301</v>
      </c>
      <c r="D96" s="71" t="n">
        <v>44083914.97479028</v>
      </c>
      <c r="E96" s="71" t="n">
        <v>55034137.17491171</v>
      </c>
      <c r="F96" s="71" t="n">
        <v>63763434.77051488</v>
      </c>
      <c r="G96" s="71" t="n">
        <v>79445386.48235261</v>
      </c>
    </row>
    <row r="97"/>
    <row r="98">
      <c r="A98" s="6" t="inlineStr">
        <is>
          <t>Base: Minimum post-seed cash (R; buffer R3.0M) (computed at build time)</t>
        </is>
      </c>
      <c r="B98" s="6" t="n"/>
      <c r="C98" s="6" t="n"/>
      <c r="D98" s="6" t="n"/>
      <c r="E98" s="6" t="n"/>
      <c r="F98" s="6" t="n"/>
      <c r="G98" s="6" t="n"/>
    </row>
    <row r="99">
      <c r="A99" s="3" t="inlineStr">
        <is>
          <t>Churn multiplier ↓  /  New-customer volume multiplier →</t>
        </is>
      </c>
      <c r="C99" s="69" t="n">
        <v>0.7</v>
      </c>
      <c r="D99" s="69" t="n">
        <v>0.85</v>
      </c>
      <c r="E99" s="69" t="n">
        <v>1</v>
      </c>
      <c r="F99" s="69" t="n">
        <v>1.15</v>
      </c>
      <c r="G99" s="69" t="n">
        <v>1.3</v>
      </c>
    </row>
    <row r="100">
      <c r="A100" s="4" t="inlineStr">
        <is>
          <t>0.70x churn (Solo Starter 4.5%/mo)</t>
        </is>
      </c>
      <c r="B100" s="70" t="n">
        <v>0.7</v>
      </c>
      <c r="C100" s="71" t="n">
        <v>3019186.861179023</v>
      </c>
      <c r="D100" s="71" t="n">
        <v>6337808.388596336</v>
      </c>
      <c r="E100" s="71" t="n">
        <v>9155503.865046078</v>
      </c>
      <c r="F100" s="71" t="n">
        <v>11254667.61426053</v>
      </c>
      <c r="G100" s="71" t="n">
        <v>12977194.39365836</v>
      </c>
    </row>
    <row r="101">
      <c r="A101" s="4" t="inlineStr">
        <is>
          <t>0.85x churn (Solo Starter 5.5%/mo)</t>
        </is>
      </c>
      <c r="B101" s="70" t="n">
        <v>0.85</v>
      </c>
      <c r="C101" s="71" t="n">
        <v>2439260.15928508</v>
      </c>
      <c r="D101" s="71" t="n">
        <v>5440926.471840262</v>
      </c>
      <c r="E101" s="71" t="n">
        <v>8579889.25990295</v>
      </c>
      <c r="F101" s="71" t="n">
        <v>10716236.85493237</v>
      </c>
      <c r="G101" s="71" t="n">
        <v>12401453.42175636</v>
      </c>
    </row>
    <row r="102">
      <c r="A102" s="4" t="inlineStr">
        <is>
          <t>1.00x churn (Solo Starter 6.5%/mo)</t>
        </is>
      </c>
      <c r="B102" s="70" t="n">
        <v>1</v>
      </c>
      <c r="C102" s="71" t="n">
        <v>981288.8010439249</v>
      </c>
      <c r="D102" s="71" t="n">
        <v>4146919.751970465</v>
      </c>
      <c r="E102" s="72" t="n">
        <v>7957771.986872747</v>
      </c>
      <c r="F102" s="71" t="n">
        <v>10124467.88918355</v>
      </c>
      <c r="G102" s="71" t="n">
        <v>11820945.69462834</v>
      </c>
    </row>
    <row r="103">
      <c r="A103" s="4" t="inlineStr">
        <is>
          <t>1.15x churn (Solo Starter 7.5%/mo)</t>
        </is>
      </c>
      <c r="B103" s="70" t="n">
        <v>1.15</v>
      </c>
      <c r="C103" s="71" t="n">
        <v>-67749.70939238835</v>
      </c>
      <c r="D103" s="71" t="n">
        <v>3784054.960042123</v>
      </c>
      <c r="E103" s="71" t="n">
        <v>6893826.325348694</v>
      </c>
      <c r="F103" s="71" t="n">
        <v>9467906.720115691</v>
      </c>
      <c r="G103" s="71" t="n">
        <v>11267649.74279008</v>
      </c>
    </row>
    <row r="104">
      <c r="A104" s="4" t="inlineStr">
        <is>
          <t>1.30x churn (Solo Starter 8.5%/mo)</t>
        </is>
      </c>
      <c r="B104" s="70" t="n">
        <v>1.3</v>
      </c>
      <c r="C104" s="71" t="n">
        <v>-810103.8179399134</v>
      </c>
      <c r="D104" s="71" t="n">
        <v>3095030.403005095</v>
      </c>
      <c r="E104" s="71" t="n">
        <v>5693410.971339202</v>
      </c>
      <c r="F104" s="71" t="n">
        <v>8701916.651752327</v>
      </c>
      <c r="G104" s="71" t="n">
        <v>10738485.95372432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474F"/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90" customWidth="1" min="1" max="1"/>
    <col width="22" customWidth="1" min="2" max="2"/>
    <col width="14" customWidth="1" min="3" max="3"/>
    <col width="50" customWidth="1" min="4" max="4"/>
  </cols>
  <sheetData>
    <row r="1">
      <c r="A1" s="16" t="inlineStr">
        <is>
          <t>Market Sizing</t>
        </is>
      </c>
    </row>
    <row r="2">
      <c r="A2" s="17" t="inlineStr">
        <is>
          <t>TAM / SAM / SOM from facts file §5. All figures are estimates (ASSUMPTION): cite and verify before external use.</t>
        </is>
      </c>
    </row>
    <row r="3"/>
    <row r="4">
      <c r="A4" s="6" t="inlineStr">
        <is>
          <t>Measure</t>
        </is>
      </c>
      <c r="B4" s="6" t="inlineStr">
        <is>
          <t>Value</t>
        </is>
      </c>
      <c r="C4" s="6" t="inlineStr">
        <is>
          <t>Unit</t>
        </is>
      </c>
      <c r="D4" s="6" t="inlineStr">
        <is>
          <t>Source / basis</t>
        </is>
      </c>
    </row>
    <row r="5">
      <c r="A5" s="4" t="inlineStr">
        <is>
          <t>TAM: MSMEs in Sub-Saharan Africa</t>
        </is>
      </c>
      <c r="B5" s="31" t="n">
        <v>44000000</v>
      </c>
      <c r="C5" s="4" t="inlineStr">
        <is>
          <t>businesses</t>
        </is>
      </c>
      <c r="D5" s="17" t="inlineStr">
        <is>
          <t>IFC / World Bank est. (~44M MSMEs)</t>
        </is>
      </c>
    </row>
    <row r="6">
      <c r="A6" s="4" t="inlineStr">
        <is>
          <t>SAM: digitally active SMBs in the 23 rail-covered countries selling via social/WhatsApp, able to pay &gt;= US$25/mo</t>
        </is>
      </c>
      <c r="B6" s="31" t="n">
        <v>3500000</v>
      </c>
      <c r="C6" s="4" t="inlineStr">
        <is>
          <t>businesses</t>
        </is>
      </c>
      <c r="D6" s="17" t="inlineStr">
        <is>
          <t>Planning estimate (facts file §5)</t>
        </is>
      </c>
    </row>
    <row r="7">
      <c r="A7" s="4" t="inlineStr">
        <is>
          <t>SOM share of SAM (5-year)</t>
        </is>
      </c>
      <c r="B7" s="21" t="n">
        <v>0.005</v>
      </c>
      <c r="C7" s="4" t="inlineStr">
        <is>
          <t>%</t>
        </is>
      </c>
      <c r="D7" s="17" t="inlineStr">
        <is>
          <t>Planning estimate: ~0.5% of SAM</t>
        </is>
      </c>
    </row>
    <row r="8">
      <c r="A8" s="3" t="inlineStr">
        <is>
          <t>SOM: paying workspaces by FY5</t>
        </is>
      </c>
      <c r="B8" s="10">
        <f>B6*B7</f>
        <v/>
      </c>
      <c r="C8" s="4" t="inlineStr">
        <is>
          <t>workspaces</t>
        </is>
      </c>
      <c r="D8" s="17" t="inlineStr">
        <is>
          <t>Formula: SAM x SOM share</t>
        </is>
      </c>
    </row>
    <row r="9">
      <c r="A9" s="4" t="inlineStr">
        <is>
          <t>Minimum price point used for SAM value</t>
        </is>
      </c>
      <c r="B9" s="35" t="n">
        <v>25</v>
      </c>
      <c r="C9" s="4" t="inlineStr">
        <is>
          <t>US$ / month</t>
        </is>
      </c>
      <c r="D9" s="17" t="inlineStr">
        <is>
          <t>SAM definition: can pay &gt;= US$25/mo</t>
        </is>
      </c>
    </row>
    <row r="10">
      <c r="A10" s="3" t="inlineStr">
        <is>
          <t>TAM value at US$25/mo (illustrative ceiling)</t>
        </is>
      </c>
      <c r="B10" s="8">
        <f>B5*B9*12*Assumptions!$B$10</f>
        <v/>
      </c>
      <c r="C10" s="4" t="inlineStr">
        <is>
          <t>R / year</t>
        </is>
      </c>
      <c r="D10" s="17" t="inlineStr">
        <is>
          <t>Overstates: most informal MSMEs will not pay</t>
        </is>
      </c>
    </row>
    <row r="11">
      <c r="A11" s="3" t="inlineStr">
        <is>
          <t>SAM value at US$25/mo</t>
        </is>
      </c>
      <c r="B11" s="8">
        <f>B6*B9*12*Assumptions!$B$10</f>
        <v/>
      </c>
      <c r="C11" s="4" t="inlineStr">
        <is>
          <t>R / year</t>
        </is>
      </c>
      <c r="D11" s="17" t="inlineStr"/>
    </row>
    <row r="12">
      <c r="A12" s="3" t="inlineStr">
        <is>
          <t>SOM value at modelled FY5 blended subscription ARPA</t>
        </is>
      </c>
      <c r="B12" s="8">
        <f>B8*Annual_Summary!$G$102*12</f>
        <v/>
      </c>
      <c r="C12" s="4" t="inlineStr">
        <is>
          <t>R / year</t>
        </is>
      </c>
      <c r="D12" s="17" t="inlineStr">
        <is>
          <t>Links to Annual_Summary FY5 ARPA</t>
        </is>
      </c>
    </row>
    <row r="13">
      <c r="A13" s="3" t="inlineStr">
        <is>
          <t>Model: paying workspaces at end of FY5 (selected scenario)</t>
        </is>
      </c>
      <c r="B13" s="10">
        <f>Annual_Summary!$G$88</f>
        <v/>
      </c>
      <c r="C13" s="4" t="inlineStr">
        <is>
          <t>workspaces</t>
        </is>
      </c>
      <c r="D13" s="17" t="inlineStr">
        <is>
          <t>Links to Annual_Summary</t>
        </is>
      </c>
    </row>
    <row r="14">
      <c r="A14" s="3" t="inlineStr">
        <is>
          <t>Model FY5 workspaces as % of SOM</t>
        </is>
      </c>
      <c r="B14" s="9">
        <f>IF(B8=0,0,B13/B8)</f>
        <v/>
      </c>
      <c r="C14" s="4" t="inlineStr">
        <is>
          <t>%</t>
        </is>
      </c>
      <c r="D14" s="17" t="inlineStr"/>
    </row>
    <row r="15">
      <c r="A15" s="3" t="inlineStr">
        <is>
          <t>Model FY5 workspaces as % of SAM</t>
        </is>
      </c>
      <c r="B15" s="26">
        <f>IF(B6=0,0,B13/B6)</f>
        <v/>
      </c>
      <c r="C15" s="4" t="inlineStr">
        <is>
          <t>%</t>
        </is>
      </c>
      <c r="D15" s="17" t="inlineStr"/>
    </row>
    <row r="16"/>
    <row r="17"/>
    <row r="18">
      <c r="A18" s="19" t="inlineStr">
        <is>
          <t>Country context (estimates, for narrative only). Gated countries (no rail) are zero in every scenario.</t>
        </is>
      </c>
      <c r="B18" s="19" t="n"/>
      <c r="C18" s="19" t="n"/>
      <c r="D18" s="19" t="n"/>
    </row>
    <row r="19">
      <c r="A19" s="4" t="inlineStr">
        <is>
          <t>South Africa SMMEs</t>
        </is>
      </c>
      <c r="B19" s="4" t="inlineStr">
        <is>
          <t>2.5-3 million</t>
        </is>
      </c>
      <c r="D19" s="17" t="inlineStr">
        <is>
          <t>SEDA / Stats SA</t>
        </is>
      </c>
    </row>
    <row r="20">
      <c r="A20" s="4" t="inlineStr">
        <is>
          <t>Nigeria MSMEs</t>
        </is>
      </c>
      <c r="B20" s="4" t="inlineStr">
        <is>
          <t>~39 million</t>
        </is>
      </c>
      <c r="D20" s="17" t="inlineStr">
        <is>
          <t>SMEDAN</t>
        </is>
      </c>
    </row>
    <row r="21">
      <c r="A21" s="4" t="inlineStr">
        <is>
          <t>Kenya MSMEs</t>
        </is>
      </c>
      <c r="B21" s="4" t="inlineStr">
        <is>
          <t>~7.4 million</t>
        </is>
      </c>
      <c r="D21" s="17" t="inlineStr">
        <is>
          <t>KNBS</t>
        </is>
      </c>
    </row>
    <row r="22">
      <c r="A22" s="4" t="inlineStr">
        <is>
          <t>WhatsApp reach</t>
        </is>
      </c>
      <c r="B22" s="4" t="inlineStr">
        <is>
          <t>&gt;90% of internet users in SA and NG</t>
        </is>
      </c>
      <c r="D22" s="17" t="inlineStr">
        <is>
          <t>DataReportal 2025</t>
        </is>
      </c>
    </row>
    <row r="23">
      <c r="A23" s="4" t="inlineStr">
        <is>
          <t>Mobile money</t>
        </is>
      </c>
      <c r="B23" s="4" t="inlineStr">
        <is>
          <t>SSA ~70% of global mobile money value; &gt;US$1 trillion processed / year</t>
        </is>
      </c>
      <c r="D23" s="17" t="inlineStr">
        <is>
          <t>GSMA State of the Industry 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2026-09-11T21:13:23Z</dcterms:created>
  <dcterms:modified xmlns:dcterms="http://purl.org/dc/terms/" xmlns:xsi="http://www.w3.org/2001/XMLSchema-instance" xsi:type="dcterms:W3CDTF">2026-09-11T21:13:25Z</dcterms:modified>
</cp:coreProperties>
</file>