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Pipeline maths" sheetId="2" state="visible" r:id="rId2"/>
    <sheet xmlns:r="http://schemas.openxmlformats.org/officeDocument/2006/relationships" name="Sources" sheetId="3" state="visible" r:id="rId3"/>
    <sheet xmlns:r="http://schemas.openxmlformats.org/officeDocument/2006/relationships" name="Outreach rules" sheetId="4" state="visible" r:id="rId4"/>
  </sheets>
  <definedNames>
    <definedName name="_xlnm._FilterDatabase" localSheetId="0" hidden="1">'Prospects'!$A$1:$T$21</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4">
    <font>
      <name val="Calibri"/>
      <family val="2"/>
      <color theme="1"/>
      <sz val="11"/>
      <scheme val="minor"/>
    </font>
    <font>
      <b val="1"/>
      <color rgb="0020242B"/>
    </font>
    <font>
      <color rgb="00C24E00"/>
      <u val="single"/>
    </font>
    <font>
      <b val="1"/>
      <sz val="13"/>
    </font>
  </fonts>
  <fills count="4">
    <fill>
      <patternFill/>
    </fill>
    <fill>
      <patternFill patternType="gray125"/>
    </fill>
    <fill>
      <patternFill patternType="solid">
        <fgColor rgb="00FF6A00"/>
      </patternFill>
    </fill>
    <fill>
      <patternFill patternType="solid">
        <fgColor rgb="00FFF4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xf numFmtId="0" fontId="3" fillId="0" borderId="0" pivotButton="0" quotePrefix="0" xfId="0"/>
    <xf numFmtId="0" fontId="1" fillId="2" borderId="0" pivotButton="0" quotePrefix="0" xfId="0"/>
    <xf numFmtId="9" fontId="0" fillId="3" borderId="0" pivotButton="0" quotePrefix="0" xfId="0"/>
    <xf numFmtId="165" fontId="0" fillId="0" borderId="0" pivotButton="0" quotePrefix="0" xfId="0"/>
    <xf numFmtId="3" fontId="0" fillId="0" borderId="0" pivotButton="0" quotePrefix="0" xfId="0"/>
    <xf numFmtId="0" fontId="1" fillId="0" borderId="0" pivotButton="0" quotePrefix="0" xfId="0"/>
    <xf numFmtId="166" fontId="0" fillId="0" borderId="0" pivotButton="0" quotePrefix="0" xfId="0"/>
    <xf numFmtId="1"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posals/08_lowkal-sa.docx" TargetMode="External" Id="rId1"/><Relationship Type="http://schemas.openxmlformats.org/officeDocument/2006/relationships/hyperlink" Target="proposals/14_the-sweat-shack.docx" TargetMode="External" Id="rId2"/><Relationship Type="http://schemas.openxmlformats.org/officeDocument/2006/relationships/hyperlink" Target="proposals/04_gauteng-party-hire.docx" TargetMode="External" Id="rId3"/><Relationship Type="http://schemas.openxmlformats.org/officeDocument/2006/relationships/hyperlink" Target="proposals/07_the-nail-studio-bassonia.docx" TargetMode="External" Id="rId4"/><Relationship Type="http://schemas.openxmlformats.org/officeDocument/2006/relationships/hyperlink" Target="proposals/15_hustle-n-shine.docx" TargetMode="External" Id="rId5"/><Relationship Type="http://schemas.openxmlformats.org/officeDocument/2006/relationships/hyperlink" Target="proposals/06_the-barbers-chop-shop.docx" TargetMode="External" Id="rId6"/><Relationship Type="http://schemas.openxmlformats.org/officeDocument/2006/relationships/hyperlink" Target="proposals/02_lerato-nxumalo.docx" TargetMode="External" Id="rId7"/><Relationship Type="http://schemas.openxmlformats.org/officeDocument/2006/relationships/hyperlink" Target="proposals/05_giftedhands-salon-sa.docx" TargetMode="External" Id="rId8"/><Relationship Type="http://schemas.openxmlformats.org/officeDocument/2006/relationships/hyperlink" Target="proposals/09_fifis-kotas.docx" TargetMode="External" Id="rId9"/><Relationship Type="http://schemas.openxmlformats.org/officeDocument/2006/relationships/hyperlink" Target="proposals/10_baked-by-nataleen.docx" TargetMode="External" Id="rId10"/><Relationship Type="http://schemas.openxmlformats.org/officeDocument/2006/relationships/hyperlink" Target="proposals/11_classique-catering-creations.docx" TargetMode="External" Id="rId11"/><Relationship Type="http://schemas.openxmlformats.org/officeDocument/2006/relationships/hyperlink" Target="proposals/19_milk-marketing.docx" TargetMode="External" Id="rId12"/><Relationship Type="http://schemas.openxmlformats.org/officeDocument/2006/relationships/hyperlink" Target="proposals/18_soweto-sp-national-digital-marketing.docx" TargetMode="External" Id="rId13"/><Relationship Type="http://schemas.openxmlformats.org/officeDocument/2006/relationships/hyperlink" Target="proposals/16_digital-photography-courses.docx" TargetMode="External" Id="rId14"/><Relationship Type="http://schemas.openxmlformats.org/officeDocument/2006/relationships/hyperlink" Target="proposals/20_juicy-designs.docx" TargetMode="External" Id="rId15"/><Relationship Type="http://schemas.openxmlformats.org/officeDocument/2006/relationships/hyperlink" Target="proposals/12_khans-butchery.docx" TargetMode="External" Id="rId16"/><Relationship Type="http://schemas.openxmlformats.org/officeDocument/2006/relationships/hyperlink" Target="proposals/13_hyde-park-physiotherapy.docx" TargetMode="External" Id="rId17"/><Relationship Type="http://schemas.openxmlformats.org/officeDocument/2006/relationships/hyperlink" Target="proposals/03_shimza.docx" TargetMode="External" Id="rId18"/><Relationship Type="http://schemas.openxmlformats.org/officeDocument/2006/relationships/hyperlink" Target="proposals/17_etchells-young-property-brokers.docx" TargetMode="External" Id="rId19"/><Relationship Type="http://schemas.openxmlformats.org/officeDocument/2006/relationships/hyperlink" Target="proposals/01_khuli-chana.docx" TargetMode="External" Id="rId20"/></Relationships>
</file>

<file path=xl/worksheets/sheet1.xml><?xml version="1.0" encoding="utf-8"?>
<worksheet xmlns="http://schemas.openxmlformats.org/spreadsheetml/2006/main">
  <sheetPr>
    <outlinePr summaryBelow="1" summaryRight="1"/>
    <pageSetUpPr/>
  </sheetPr>
  <dimension ref="A1:T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6" customWidth="1" min="3" max="3"/>
    <col width="26" customWidth="1" min="4" max="4"/>
    <col width="10" customWidth="1" min="5" max="5"/>
    <col width="22" customWidth="1" min="6" max="6"/>
    <col width="6" customWidth="1" min="7" max="7"/>
    <col width="10" customWidth="1" min="8" max="8"/>
    <col width="10" customWidth="1" min="9" max="9"/>
    <col width="12" customWidth="1" min="10" max="10"/>
    <col width="26" customWidth="1" min="11" max="11"/>
    <col width="32" customWidth="1" min="12" max="12"/>
    <col width="40" customWidth="1" min="13" max="13"/>
    <col width="38" customWidth="1" min="14" max="14"/>
    <col width="44" customWidth="1" min="15" max="15"/>
    <col width="34" customWidth="1" min="16" max="16"/>
    <col width="14" customWidth="1" min="17" max="17"/>
    <col width="30" customWidth="1" min="18" max="18"/>
    <col width="14" customWidth="1" min="19" max="19"/>
    <col width="30" customWidth="1" min="20" max="20"/>
  </cols>
  <sheetData>
    <row r="1">
      <c r="A1" s="1" t="inlineStr">
        <is>
          <t>Rank</t>
        </is>
      </c>
      <c r="B1" s="1" t="inlineStr">
        <is>
          <t>ID</t>
        </is>
      </c>
      <c r="C1" s="1" t="inlineStr">
        <is>
          <t>Prospect</t>
        </is>
      </c>
      <c r="D1" s="1" t="inlineStr">
        <is>
          <t>Trade</t>
        </is>
      </c>
      <c r="E1" s="1" t="inlineStr">
        <is>
          <t>Segment</t>
        </is>
      </c>
      <c r="F1" s="1" t="inlineStr">
        <is>
          <t>Location</t>
        </is>
      </c>
      <c r="G1" s="1" t="inlineStr">
        <is>
          <t>Wave</t>
        </is>
      </c>
      <c r="H1" s="1" t="inlineStr">
        <is>
          <t>Attainability (1-5)</t>
        </is>
      </c>
      <c r="I1" s="1" t="inlineStr">
        <is>
          <t>Plan</t>
        </is>
      </c>
      <c r="J1" s="1" t="inlineStr">
        <is>
          <t>List price / month (R)</t>
        </is>
      </c>
      <c r="K1" s="1" t="inlineStr">
        <is>
          <t>Potential</t>
        </is>
      </c>
      <c r="L1" s="1" t="inlineStr">
        <is>
          <t>Decision-maker</t>
        </is>
      </c>
      <c r="M1" s="1" t="inlineStr">
        <is>
          <t>Approach route</t>
        </is>
      </c>
      <c r="N1" s="1" t="inlineStr">
        <is>
          <t>Where the route is published</t>
        </is>
      </c>
      <c r="O1" s="1" t="inlineStr">
        <is>
          <t>Top hypothesis to test</t>
        </is>
      </c>
      <c r="P1" s="1" t="inlineStr">
        <is>
          <t>Proposal file</t>
        </is>
      </c>
      <c r="Q1" s="1" t="inlineStr">
        <is>
          <t>Status</t>
        </is>
      </c>
      <c r="R1" s="1" t="inlineStr">
        <is>
          <t>Next action</t>
        </is>
      </c>
      <c r="S1" s="1" t="inlineStr">
        <is>
          <t>Next action date</t>
        </is>
      </c>
      <c r="T1" s="1" t="inlineStr">
        <is>
          <t>Notes</t>
        </is>
      </c>
    </row>
    <row r="2">
      <c r="A2" s="2" t="n">
        <v>1</v>
      </c>
      <c r="B2" s="2" t="inlineStr">
        <is>
          <t>08-lowkal-sa</t>
        </is>
      </c>
      <c r="C2" s="2" t="inlineStr">
        <is>
          <t>LOWKAL SA</t>
        </is>
      </c>
      <c r="D2" s="2" t="inlineStr">
        <is>
          <t>Streetwear and casual fashion store with an online shop</t>
        </is>
      </c>
      <c r="E2" s="2" t="inlineStr">
        <is>
          <t>sme</t>
        </is>
      </c>
      <c r="F2" s="2" t="inlineStr">
        <is>
          <t>Pretoria Central, Gauteng</t>
        </is>
      </c>
      <c r="G2" s="2" t="n">
        <v>1</v>
      </c>
      <c r="H2" s="2" t="n">
        <v>4</v>
      </c>
      <c r="I2" s="2" t="inlineStr">
        <is>
          <t>Starter</t>
        </is>
      </c>
      <c r="J2" s="2" t="n">
        <v>499</v>
      </c>
      <c r="K2" s="2" t="inlineStr">
        <is>
          <t>R499/month (Starter)</t>
        </is>
      </c>
      <c r="L2" s="2" t="inlineStr">
        <is>
          <t>Owner or store manager. No name is published on the pages we opened.</t>
        </is>
      </c>
      <c r="M2" s="2" t="inlineStr">
        <is>
          <t>Email to the published business address, sent by a person.</t>
        </is>
      </c>
      <c r="N2" s="2" t="inlineStr">
        <is>
          <t>https://lowkalsa.co.za/pages/contact-us</t>
        </is>
      </c>
      <c r="O2" s="2" t="inlineStr">
        <is>
          <t>Shoppers ask whether a size or item is in stock before buying, and some items are sold out.</t>
        </is>
      </c>
      <c r="P2" s="3" t="inlineStr">
        <is>
          <t>proposals/08_lowkal-sa.docx</t>
        </is>
      </c>
      <c r="Q2" s="2" t="inlineStr">
        <is>
          <t>To contact</t>
        </is>
      </c>
      <c r="R2" s="2" t="inlineStr"/>
      <c r="S2" s="4" t="n"/>
      <c r="T2" s="2" t="inlineStr"/>
    </row>
    <row r="3">
      <c r="A3" s="2" t="n">
        <v>2</v>
      </c>
      <c r="B3" s="2" t="inlineStr">
        <is>
          <t>14-the-sweat-shack</t>
        </is>
      </c>
      <c r="C3" s="2" t="inlineStr">
        <is>
          <t>The Sweat Shack</t>
        </is>
      </c>
      <c r="D3" s="2" t="inlineStr">
        <is>
          <t>Fitness studio: spinning, rebounding, bootcamp, Yoga-lates and senior classes, plus a nutrition Wellness Club</t>
        </is>
      </c>
      <c r="E3" s="2" t="inlineStr">
        <is>
          <t>sme</t>
        </is>
      </c>
      <c r="F3" s="2" t="inlineStr">
        <is>
          <t>World of Wellness Centre, Rynfield, Benoni</t>
        </is>
      </c>
      <c r="G3" s="2" t="n">
        <v>1</v>
      </c>
      <c r="H3" s="2" t="n">
        <v>4</v>
      </c>
      <c r="I3" s="2" t="inlineStr">
        <is>
          <t>Starter</t>
        </is>
      </c>
      <c r="J3" s="2" t="n">
        <v>499</v>
      </c>
      <c r="K3" s="2" t="inlineStr">
        <is>
          <t>R499/month (Starter)</t>
        </is>
      </c>
      <c r="L3" s="2" t="inlineStr">
        <is>
          <t>Michelle Gordon Watt, owner and lead instructor (named on the studio's own site).</t>
        </is>
      </c>
      <c r="M3" s="2" t="inlineStr">
        <is>
          <t>Email to the business address published on the website, or a WhatsApp message to the published studio number introducing FluxMuse once, with an opt-out.</t>
        </is>
      </c>
      <c r="N3" s="2" t="inlineStr">
        <is>
          <t>https://thesweatshack.co.za/</t>
        </is>
      </c>
      <c r="O3" s="2" t="inlineStr">
        <is>
          <t>Prospective members may ask you the same timetable and pricing questions, because both are images that cannot be searched or copied.</t>
        </is>
      </c>
      <c r="P3" s="3" t="inlineStr">
        <is>
          <t>proposals/14_the-sweat-shack.docx</t>
        </is>
      </c>
      <c r="Q3" s="2" t="inlineStr">
        <is>
          <t>To contact</t>
        </is>
      </c>
      <c r="R3" s="2" t="inlineStr"/>
      <c r="S3" s="4" t="n"/>
      <c r="T3" s="2" t="inlineStr"/>
    </row>
    <row r="4">
      <c r="A4" s="2" t="n">
        <v>3</v>
      </c>
      <c r="B4" s="2" t="inlineStr">
        <is>
          <t>04-gauteng-party-hire</t>
        </is>
      </c>
      <c r="C4" s="2" t="inlineStr">
        <is>
          <t>Gauteng Party Hire</t>
        </is>
      </c>
      <c r="D4" s="2" t="inlineStr">
        <is>
          <t>Party, event and décor equipment hire</t>
        </is>
      </c>
      <c r="E4" s="2" t="inlineStr">
        <is>
          <t>sme</t>
        </is>
      </c>
      <c r="F4" s="2" t="inlineStr">
        <is>
          <t>Roodepoort and Fourways area, Gauteng (delivers across Gauteng)</t>
        </is>
      </c>
      <c r="G4" s="2" t="n">
        <v>1</v>
      </c>
      <c r="H4" s="2" t="n">
        <v>4</v>
      </c>
      <c r="I4" s="2" t="inlineStr">
        <is>
          <t>Micro</t>
        </is>
      </c>
      <c r="J4" s="2" t="n">
        <v>289</v>
      </c>
      <c r="K4" s="2" t="inlineStr">
        <is>
          <t>R289/month (Micro)</t>
        </is>
      </c>
      <c r="L4" s="2" t="inlineStr">
        <is>
          <t>The owner or manager; no person is named on the site, so ask whoever answers the enquiry route.</t>
        </is>
      </c>
      <c r="M4" s="2" t="inlineStr">
        <is>
          <t>The quote form on the website contact page, or the published business email.</t>
        </is>
      </c>
      <c r="N4" s="2" t="inlineStr">
        <is>
          <t>https://gautengpartyhire.co.za/contact/</t>
        </is>
      </c>
      <c r="O4" s="2" t="inlineStr">
        <is>
          <t>Each quote request means checking stock for the date and typing a fresh quote.</t>
        </is>
      </c>
      <c r="P4" s="3" t="inlineStr">
        <is>
          <t>proposals/04_gauteng-party-hire.docx</t>
        </is>
      </c>
      <c r="Q4" s="2" t="inlineStr">
        <is>
          <t>To contact</t>
        </is>
      </c>
      <c r="R4" s="2" t="inlineStr"/>
      <c r="S4" s="4" t="n"/>
      <c r="T4" s="2" t="inlineStr"/>
    </row>
    <row r="5">
      <c r="A5" s="2" t="n">
        <v>4</v>
      </c>
      <c r="B5" s="2" t="inlineStr">
        <is>
          <t>07-the-nail-studio-bassonia</t>
        </is>
      </c>
      <c r="C5" s="2" t="inlineStr">
        <is>
          <t>The Nail Studio &amp; Beauty Salon</t>
        </is>
      </c>
      <c r="D5" s="2" t="inlineStr">
        <is>
          <t>Nail and beauty studio (nails, brows, lashes, facials, waxing)</t>
        </is>
      </c>
      <c r="E5" s="2" t="inlineStr">
        <is>
          <t>sme</t>
        </is>
      </c>
      <c r="F5" s="2" t="inlineStr">
        <is>
          <t>Bassonia Shopping Centre, Johannesburg South</t>
        </is>
      </c>
      <c r="G5" s="2" t="n">
        <v>1</v>
      </c>
      <c r="H5" s="2" t="n">
        <v>4</v>
      </c>
      <c r="I5" s="2" t="inlineStr">
        <is>
          <t>Micro</t>
        </is>
      </c>
      <c r="J5" s="2" t="n">
        <v>289</v>
      </c>
      <c r="K5" s="2" t="inlineStr">
        <is>
          <t>R289/month (Micro)</t>
        </is>
      </c>
      <c r="L5" s="2" t="inlineStr">
        <is>
          <t>Owner or salon manager. No name is published on the pages we opened.</t>
        </is>
      </c>
      <c r="M5" s="2" t="inlineStr">
        <is>
          <t>Website contact form, or the published email address, sent by a person.</t>
        </is>
      </c>
      <c r="N5" s="2" t="inlineStr">
        <is>
          <t>https://nailstudiosalon.co.za/</t>
        </is>
      </c>
      <c r="O5" s="2" t="inlineStr">
        <is>
          <t>Bookings for combinations (nails plus waxing or a facial) come by phone or WhatsApp and need back-and-forth to fit the time needed.</t>
        </is>
      </c>
      <c r="P5" s="3" t="inlineStr">
        <is>
          <t>proposals/07_the-nail-studio-bassonia.docx</t>
        </is>
      </c>
      <c r="Q5" s="2" t="inlineStr">
        <is>
          <t>To contact</t>
        </is>
      </c>
      <c r="R5" s="2" t="inlineStr"/>
      <c r="S5" s="4" t="n"/>
      <c r="T5" s="2" t="inlineStr"/>
    </row>
    <row r="6">
      <c r="A6" s="2" t="n">
        <v>5</v>
      </c>
      <c r="B6" s="2" t="inlineStr">
        <is>
          <t>15-hustle-n-shine</t>
        </is>
      </c>
      <c r="C6" s="2" t="inlineStr">
        <is>
          <t>Hustle n Shine</t>
        </is>
      </c>
      <c r="D6" s="2" t="inlineStr">
        <is>
          <t>Premium mobile car detailing</t>
        </is>
      </c>
      <c r="E6" s="2" t="inlineStr">
        <is>
          <t>solo</t>
        </is>
      </c>
      <c r="F6" s="2" t="inlineStr">
        <is>
          <t>Bedfordview, Johannesburg</t>
        </is>
      </c>
      <c r="G6" s="2" t="n">
        <v>1</v>
      </c>
      <c r="H6" s="2" t="n">
        <v>4</v>
      </c>
      <c r="I6" s="2" t="inlineStr">
        <is>
          <t>Micro</t>
        </is>
      </c>
      <c r="J6" s="2" t="n">
        <v>289</v>
      </c>
      <c r="K6" s="2" t="inlineStr">
        <is>
          <t>R289/month (Micro)</t>
        </is>
      </c>
      <c r="L6" s="2" t="inlineStr">
        <is>
          <t>Anver Sekadi, founder (named on the business's own About page).</t>
        </is>
      </c>
      <c r="M6" s="2" t="inlineStr">
        <is>
          <t>The website contact form, or the published business email.</t>
        </is>
      </c>
      <c r="N6" s="2" t="inlineStr">
        <is>
          <t>https://hustlenshine.co.za/contact</t>
        </is>
      </c>
      <c r="O6" s="2" t="inlineStr">
        <is>
          <t>Every quote request starts a new WhatsApp conversation, asking for the car model, condition and location again.</t>
        </is>
      </c>
      <c r="P6" s="3" t="inlineStr">
        <is>
          <t>proposals/15_hustle-n-shine.docx</t>
        </is>
      </c>
      <c r="Q6" s="2" t="inlineStr">
        <is>
          <t>To contact</t>
        </is>
      </c>
      <c r="R6" s="2" t="inlineStr"/>
      <c r="S6" s="4" t="n"/>
      <c r="T6" s="2" t="inlineStr"/>
    </row>
    <row r="7">
      <c r="A7" s="2" t="n">
        <v>6</v>
      </c>
      <c r="B7" s="2" t="inlineStr">
        <is>
          <t>06-the-barbers-chop-shop</t>
        </is>
      </c>
      <c r="C7" s="2" t="inlineStr">
        <is>
          <t>The Barbers Chop Shop</t>
        </is>
      </c>
      <c r="D7" s="2" t="inlineStr">
        <is>
          <t>Barbershop (two shops) with a retail product shop</t>
        </is>
      </c>
      <c r="E7" s="2" t="inlineStr">
        <is>
          <t>sme</t>
        </is>
      </c>
      <c r="F7" s="2" t="inlineStr">
        <is>
          <t>Maraisburg and Melville, Johannesburg</t>
        </is>
      </c>
      <c r="G7" s="2" t="n">
        <v>1</v>
      </c>
      <c r="H7" s="2" t="n">
        <v>3</v>
      </c>
      <c r="I7" s="2" t="inlineStr">
        <is>
          <t>Starter</t>
        </is>
      </c>
      <c r="J7" s="2" t="n">
        <v>499</v>
      </c>
      <c r="K7" s="2" t="inlineStr">
        <is>
          <t>R499/month (Starter)</t>
        </is>
      </c>
      <c r="L7" s="2" t="inlineStr">
        <is>
          <t>Owners or directors of the business. Names are not published on the pages we opened.</t>
        </is>
      </c>
      <c r="M7" s="2" t="inlineStr">
        <is>
          <t>Email to the published business address, sent by a person.</t>
        </is>
      </c>
      <c r="N7" s="2" t="inlineStr">
        <is>
          <t>https://thebarberschopshop.co.za/contact-us/</t>
        </is>
      </c>
      <c r="O7" s="2" t="inlineStr">
        <is>
          <t>Regulars ask about availability, prices or which barber is available by phone or message, even though online booking exists.</t>
        </is>
      </c>
      <c r="P7" s="3" t="inlineStr">
        <is>
          <t>proposals/06_the-barbers-chop-shop.docx</t>
        </is>
      </c>
      <c r="Q7" s="2" t="inlineStr">
        <is>
          <t>To contact</t>
        </is>
      </c>
      <c r="R7" s="2" t="inlineStr"/>
      <c r="S7" s="4" t="n"/>
      <c r="T7" s="2" t="inlineStr"/>
    </row>
    <row r="8">
      <c r="A8" s="2" t="n">
        <v>7</v>
      </c>
      <c r="B8" s="2" t="inlineStr">
        <is>
          <t>02-lerato-nxumalo</t>
        </is>
      </c>
      <c r="C8" s="2" t="inlineStr">
        <is>
          <t>Lerato Nxumalo</t>
        </is>
      </c>
      <c r="D8" s="2" t="inlineStr">
        <is>
          <t>Actress and content creator; founder of blaHoody (clothing) and By Lovely Suites (beauty salon)</t>
        </is>
      </c>
      <c r="E8" s="2" t="inlineStr">
        <is>
          <t>creator</t>
        </is>
      </c>
      <c r="F8" s="2" t="inlineStr">
        <is>
          <t>Midrand, Johannesburg</t>
        </is>
      </c>
      <c r="G8" s="2" t="n">
        <v>1</v>
      </c>
      <c r="H8" s="2" t="n">
        <v>3</v>
      </c>
      <c r="I8" s="2" t="inlineStr">
        <is>
          <t>Micro</t>
        </is>
      </c>
      <c r="J8" s="2" t="n">
        <v>289</v>
      </c>
      <c r="K8" s="2" t="inlineStr">
        <is>
          <t>R289/month (Micro) for the salon; R1,999/month (Growth) only if blaHoody needs its own channel</t>
        </is>
      </c>
      <c r="L8" s="2" t="inlineStr">
        <is>
          <t>Lerato Nxumalo, founder-owner of both businesses.</t>
        </is>
      </c>
      <c r="M8" s="2" t="inlineStr">
        <is>
          <t>Use the contact form on blaHoody's own website, which is her own business, and say plainly that the message is also about the salon. A warm introduction is better. Do not use any salon customer WhatsApp booking number to pitch.</t>
        </is>
      </c>
      <c r="N8" s="2" t="inlineStr">
        <is>
          <t>https://www.blahoody.com/pages/contact (contact form and customer-service email published by the business). If it goes unanswered: none found, needs warm intro.</t>
        </is>
      </c>
      <c r="O8" s="2" t="inlineStr">
        <is>
          <t>Appointment requests for your new salon may arrive as DMs and comments on your personal accounts, mixed with fan messages.</t>
        </is>
      </c>
      <c r="P8" s="3" t="inlineStr">
        <is>
          <t>proposals/02_lerato-nxumalo.docx</t>
        </is>
      </c>
      <c r="Q8" s="2" t="inlineStr">
        <is>
          <t>To contact</t>
        </is>
      </c>
      <c r="R8" s="2" t="inlineStr"/>
      <c r="S8" s="4" t="n"/>
      <c r="T8" s="2" t="inlineStr"/>
    </row>
    <row r="9">
      <c r="A9" s="2" t="n">
        <v>8</v>
      </c>
      <c r="B9" s="2" t="inlineStr">
        <is>
          <t>05-giftedhands-salon-sa</t>
        </is>
      </c>
      <c r="C9" s="2" t="inlineStr">
        <is>
          <t>Giftedhands Salon SA</t>
        </is>
      </c>
      <c r="D9" s="2" t="inlineStr">
        <is>
          <t>Hair braiding and natural-hair studio (with nail services and house calls)</t>
        </is>
      </c>
      <c r="E9" s="2" t="inlineStr">
        <is>
          <t>sme</t>
        </is>
      </c>
      <c r="F9" s="2" t="inlineStr">
        <is>
          <t>Centurion and Fourways, Gauteng (also house calls)</t>
        </is>
      </c>
      <c r="G9" s="2" t="n">
        <v>1</v>
      </c>
      <c r="H9" s="2" t="n">
        <v>3</v>
      </c>
      <c r="I9" s="2" t="inlineStr">
        <is>
          <t>Micro</t>
        </is>
      </c>
      <c r="J9" s="2" t="n">
        <v>289</v>
      </c>
      <c r="K9" s="2" t="inlineStr">
        <is>
          <t>R289/month (Micro)</t>
        </is>
      </c>
      <c r="L9" s="2" t="inlineStr">
        <is>
          <t>Owner or lead stylist. The directory listing names the account handle '@Giftedhands' as the lead; no personal name is published on the pages we opened.</t>
        </is>
      </c>
      <c r="M9" s="2" t="inlineStr">
        <is>
          <t>Direct message to the public business Instagram account (@giftedhandssalonsa), sent by a person. No email address was found on the business's own pages.</t>
        </is>
      </c>
      <c r="N9" s="2" t="inlineStr">
        <is>
          <t>https://www.instagram.com/giftedhandssalonsa/</t>
        </is>
      </c>
      <c r="O9" s="2" t="inlineStr">
        <is>
          <t>Price questions take back-and-forth because braid prices vary a lot by length, size and hair type.</t>
        </is>
      </c>
      <c r="P9" s="3" t="inlineStr">
        <is>
          <t>proposals/05_giftedhands-salon-sa.docx</t>
        </is>
      </c>
      <c r="Q9" s="2" t="inlineStr">
        <is>
          <t>To contact</t>
        </is>
      </c>
      <c r="R9" s="2" t="inlineStr"/>
      <c r="S9" s="4" t="n"/>
      <c r="T9" s="2" t="inlineStr"/>
    </row>
    <row r="10">
      <c r="A10" s="2" t="n">
        <v>9</v>
      </c>
      <c r="B10" s="2" t="inlineStr">
        <is>
          <t>09-fifis-kotas</t>
        </is>
      </c>
      <c r="C10" s="2" t="inlineStr">
        <is>
          <t>Fifi's Kotas</t>
        </is>
      </c>
      <c r="D10" s="2" t="inlineStr">
        <is>
          <t>Kota, dagwood and burger takeaway</t>
        </is>
      </c>
      <c r="E10" s="2" t="inlineStr">
        <is>
          <t>solo</t>
        </is>
      </c>
      <c r="F10" s="2" t="inlineStr">
        <is>
          <t>Palmridge, Katlehong (Ekurhuleni), Gauteng</t>
        </is>
      </c>
      <c r="G10" s="2" t="n">
        <v>1</v>
      </c>
      <c r="H10" s="2" t="n">
        <v>3</v>
      </c>
      <c r="I10" s="2" t="inlineStr">
        <is>
          <t>Micro</t>
        </is>
      </c>
      <c r="J10" s="2" t="n">
        <v>289</v>
      </c>
      <c r="K10" s="2" t="inlineStr">
        <is>
          <t>R289/month (Micro)</t>
        </is>
      </c>
      <c r="L10" s="2" t="inlineStr">
        <is>
          <t>Owner-operator; no name is published on the website or Instagram profile.</t>
        </is>
      </c>
      <c r="M10" s="2" t="inlineStr">
        <is>
          <t>WhatsApp message to the business number published on its own website (person-to-person, not a bulk send). A message to the public Instagram account is the fallback.</t>
        </is>
      </c>
      <c r="N10" s="2" t="inlineStr">
        <is>
          <t>https://fifiskotas.netlify.app/</t>
        </is>
      </c>
      <c r="O10" s="2" t="inlineStr">
        <is>
          <t>At lunch and after-school peaks, WhatsApp orders arrive faster than you can read them, and you have to answer 'how much is the kota with...?' one message at a time.</t>
        </is>
      </c>
      <c r="P10" s="3" t="inlineStr">
        <is>
          <t>proposals/09_fifis-kotas.docx</t>
        </is>
      </c>
      <c r="Q10" s="2" t="inlineStr">
        <is>
          <t>To contact</t>
        </is>
      </c>
      <c r="R10" s="2" t="inlineStr"/>
      <c r="S10" s="4" t="n"/>
      <c r="T10" s="2" t="inlineStr"/>
    </row>
    <row r="11">
      <c r="A11" s="2" t="n">
        <v>10</v>
      </c>
      <c r="B11" s="2" t="inlineStr">
        <is>
          <t>10-baked-by-nataleen</t>
        </is>
      </c>
      <c r="C11" s="2" t="inlineStr">
        <is>
          <t>Baked by Nataleen</t>
        </is>
      </c>
      <c r="D11" s="2" t="inlineStr">
        <is>
          <t>Custom cakes, desserts, catering and baking courses</t>
        </is>
      </c>
      <c r="E11" s="2" t="inlineStr">
        <is>
          <t>sme</t>
        </is>
      </c>
      <c r="F11" s="2" t="inlineStr">
        <is>
          <t>Pretoria North, Pretoria (also Polokwane for courses)</t>
        </is>
      </c>
      <c r="G11" s="2" t="n">
        <v>1</v>
      </c>
      <c r="H11" s="2" t="n">
        <v>3</v>
      </c>
      <c r="I11" s="2" t="inlineStr">
        <is>
          <t>Micro</t>
        </is>
      </c>
      <c r="J11" s="2" t="n">
        <v>289</v>
      </c>
      <c r="K11" s="2" t="inlineStr">
        <is>
          <t>R289/month (Micro)</t>
        </is>
      </c>
      <c r="L11" s="2" t="inlineStr">
        <is>
          <t>Founder and head baker, Chef Nataleen Vorster (named on the business's own website).</t>
        </is>
      </c>
      <c r="M11" s="2" t="inlineStr">
        <is>
          <t>Website contact form, or the sales email published on the site, as a single human-written message.</t>
        </is>
      </c>
      <c r="N11" s="2" t="inlineStr">
        <is>
          <t>https://www.bakedbynataleen.co.za/contact-us/</t>
        </is>
      </c>
      <c r="O11" s="2" t="inlineStr">
        <is>
          <t>Cake enquiries can reach you across your form, email, phone and WhatsApp, so a photo request could be answered late or lost.</t>
        </is>
      </c>
      <c r="P11" s="3" t="inlineStr">
        <is>
          <t>proposals/10_baked-by-nataleen.docx</t>
        </is>
      </c>
      <c r="Q11" s="2" t="inlineStr">
        <is>
          <t>To contact</t>
        </is>
      </c>
      <c r="R11" s="2" t="inlineStr"/>
      <c r="S11" s="4" t="n"/>
      <c r="T11" s="2" t="inlineStr"/>
    </row>
    <row r="12">
      <c r="A12" s="2" t="n">
        <v>11</v>
      </c>
      <c r="B12" s="2" t="inlineStr">
        <is>
          <t>11-classique-catering-creations</t>
        </is>
      </c>
      <c r="C12" s="2" t="inlineStr">
        <is>
          <t>Classique Catering Creations</t>
        </is>
      </c>
      <c r="D12" s="2" t="inlineStr">
        <is>
          <t>Halaal caterer: event catering, platters, savouries and daily home-cooked meals</t>
        </is>
      </c>
      <c r="E12" s="2" t="inlineStr">
        <is>
          <t>sme</t>
        </is>
      </c>
      <c r="F12" s="2" t="inlineStr">
        <is>
          <t>Laudium, Pretoria (Gauteng)</t>
        </is>
      </c>
      <c r="G12" s="2" t="n">
        <v>1</v>
      </c>
      <c r="H12" s="2" t="n">
        <v>3</v>
      </c>
      <c r="I12" s="2" t="inlineStr">
        <is>
          <t>Micro</t>
        </is>
      </c>
      <c r="J12" s="2" t="n">
        <v>289</v>
      </c>
      <c r="K12" s="2" t="inlineStr">
        <is>
          <t>R289/month (Micro)</t>
        </is>
      </c>
      <c r="L12" s="2" t="inlineStr">
        <is>
          <t>Owner or manager of the business; no person is named on the pages we opened.</t>
        </is>
      </c>
      <c r="M12" s="2" t="inlineStr">
        <is>
          <t>The website contact form (choose 'General Enquiry'), sent by a person. The published business email or the WhatsApp number the site lists for enquiries are the fallbacks.</t>
        </is>
      </c>
      <c r="N12" s="2" t="inlineStr">
        <is>
          <t>https://classiquecatering.co.za/contact-us/</t>
        </is>
      </c>
      <c r="O12" s="2" t="inlineStr">
        <is>
          <t>Quote and order details may arrive through a form, email, phone and WhatsApp, each with a different amount of information, so date, guest count or venue can be missing and need chasing.</t>
        </is>
      </c>
      <c r="P12" s="3" t="inlineStr">
        <is>
          <t>proposals/11_classique-catering-creations.docx</t>
        </is>
      </c>
      <c r="Q12" s="2" t="inlineStr">
        <is>
          <t>To contact</t>
        </is>
      </c>
      <c r="R12" s="2" t="inlineStr"/>
      <c r="S12" s="4" t="n"/>
      <c r="T12" s="2" t="inlineStr"/>
    </row>
    <row r="13">
      <c r="A13" s="2" t="n">
        <v>12</v>
      </c>
      <c r="B13" s="2" t="inlineStr">
        <is>
          <t>19-milk-marketing</t>
        </is>
      </c>
      <c r="C13" s="2" t="inlineStr">
        <is>
          <t>Milk Marketing</t>
        </is>
      </c>
      <c r="D13" s="2" t="inlineStr">
        <is>
          <t>Digital marketing agency: social media, design, web and paid ads</t>
        </is>
      </c>
      <c r="E13" s="2" t="inlineStr">
        <is>
          <t>agency</t>
        </is>
      </c>
      <c r="F13" s="2" t="inlineStr">
        <is>
          <t>Pretoria, Gauteng</t>
        </is>
      </c>
      <c r="G13" s="2" t="n">
        <v>2</v>
      </c>
      <c r="H13" s="2" t="n">
        <v>3</v>
      </c>
      <c r="I13" s="2" t="inlineStr">
        <is>
          <t>Agency</t>
        </is>
      </c>
      <c r="J13" s="2" t="n">
        <v>9999</v>
      </c>
      <c r="K13" s="2" t="inlineStr">
        <is>
          <t>R9,999/month (Agency) if it moves a real client roster onto the platform; R1,999/month (Growth) for a first test</t>
        </is>
      </c>
      <c r="L13" s="2" t="inlineStr">
        <is>
          <t>Founder and Marketing Director (named on the agency's own site as Annabelle).</t>
        </is>
      </c>
      <c r="M13" s="2" t="inlineStr">
        <is>
          <t>The business email address published on the agency's own website.</t>
        </is>
      </c>
      <c r="N13" s="2" t="inlineStr">
        <is>
          <t>https://milkmarketing.co.za/contact/</t>
        </is>
      </c>
      <c r="O13" s="2" t="inlineStr">
        <is>
          <t>Producing captions, images and video for many client accounts on a fixed team size limits how many clients you can take on.</t>
        </is>
      </c>
      <c r="P13" s="3" t="inlineStr">
        <is>
          <t>proposals/19_milk-marketing.docx</t>
        </is>
      </c>
      <c r="Q13" s="2" t="inlineStr">
        <is>
          <t>To contact</t>
        </is>
      </c>
      <c r="R13" s="2" t="inlineStr"/>
      <c r="S13" s="4" t="n"/>
      <c r="T13" s="2" t="inlineStr"/>
    </row>
    <row r="14">
      <c r="A14" s="2" t="n">
        <v>13</v>
      </c>
      <c r="B14" s="2" t="inlineStr">
        <is>
          <t>18-soweto-sp-national-digital-marketing</t>
        </is>
      </c>
      <c r="C14" s="2" t="inlineStr">
        <is>
          <t>SOWETO SP National Digital Marketing</t>
        </is>
      </c>
      <c r="D14" s="2" t="inlineStr">
        <is>
          <t>Digital marketing agency (social media, web, PPC, cybersecurity)</t>
        </is>
      </c>
      <c r="E14" s="2" t="inlineStr">
        <is>
          <t>agency</t>
        </is>
      </c>
      <c r="F14" s="2" t="inlineStr">
        <is>
          <t>Meadowlands, Soweto, Johannesburg</t>
        </is>
      </c>
      <c r="G14" s="2" t="n">
        <v>2</v>
      </c>
      <c r="H14" s="2" t="n">
        <v>3</v>
      </c>
      <c r="I14" s="2" t="inlineStr">
        <is>
          <t>Growth</t>
        </is>
      </c>
      <c r="J14" s="2" t="n">
        <v>1999</v>
      </c>
      <c r="K14" s="2" t="inlineStr">
        <is>
          <t>R1,999/month (Growth), R9,999/month (Agency) if it moves many client brands onto the platform</t>
        </is>
      </c>
      <c r="L14" s="2" t="inlineStr">
        <is>
          <t>Founder and CEO, named on the agency's own site as Lebogang Mlangeni.</t>
        </is>
      </c>
      <c r="M14" s="2" t="inlineStr">
        <is>
          <t>The contact form or published business email on the agency's own website.</t>
        </is>
      </c>
      <c r="N14" s="2" t="inlineStr">
        <is>
          <t>https://www.sowetosp.co.za/contact/</t>
        </is>
      </c>
      <c r="O14" s="2" t="inlineStr">
        <is>
          <t>Producing captions, images and clips for several small clients at once is time-consuming for a small team.</t>
        </is>
      </c>
      <c r="P14" s="3" t="inlineStr">
        <is>
          <t>proposals/18_soweto-sp-national-digital-marketing.docx</t>
        </is>
      </c>
      <c r="Q14" s="2" t="inlineStr">
        <is>
          <t>To contact</t>
        </is>
      </c>
      <c r="R14" s="2" t="inlineStr"/>
      <c r="S14" s="4" t="n"/>
      <c r="T14" s="2" t="inlineStr"/>
    </row>
    <row r="15">
      <c r="A15" s="2" t="n">
        <v>14</v>
      </c>
      <c r="B15" s="2" t="inlineStr">
        <is>
          <t>16-digital-photography-courses</t>
        </is>
      </c>
      <c r="C15" s="2" t="inlineStr">
        <is>
          <t>Digital Photography Courses (DPC)</t>
        </is>
      </c>
      <c r="D15" s="2" t="inlineStr">
        <is>
          <t>Part-time photography courses for adults, in person and online</t>
        </is>
      </c>
      <c r="E15" s="2" t="inlineStr">
        <is>
          <t>sme</t>
        </is>
      </c>
      <c r="F15" s="2" t="inlineStr">
        <is>
          <t>Between Johannesburg and Pretoria, Gauteng</t>
        </is>
      </c>
      <c r="G15" s="2" t="n">
        <v>2</v>
      </c>
      <c r="H15" s="2" t="n">
        <v>3</v>
      </c>
      <c r="I15" s="2" t="inlineStr">
        <is>
          <t>Micro</t>
        </is>
      </c>
      <c r="J15" s="2" t="n">
        <v>289</v>
      </c>
      <c r="K15" s="2" t="inlineStr">
        <is>
          <t>R289/month (Micro)</t>
        </is>
      </c>
      <c r="L15" s="2" t="inlineStr">
        <is>
          <t>Danie Bester, founder and Programme Director (named on the business's own About page).</t>
        </is>
      </c>
      <c r="M15" s="2" t="inlineStr">
        <is>
          <t>The enquiry form on the website contact page, or the published business email.</t>
        </is>
      </c>
      <c r="N15" s="2" t="inlineStr">
        <is>
          <t>https://digitalphotographycourses.co.za/contact/</t>
        </is>
      </c>
      <c r="O15" s="2" t="inlineStr">
        <is>
          <t>People who cannot make the listed dates have to be remembered and told when new dates are added.</t>
        </is>
      </c>
      <c r="P15" s="3" t="inlineStr">
        <is>
          <t>proposals/16_digital-photography-courses.docx</t>
        </is>
      </c>
      <c r="Q15" s="2" t="inlineStr">
        <is>
          <t>To contact</t>
        </is>
      </c>
      <c r="R15" s="2" t="inlineStr"/>
      <c r="S15" s="4" t="n"/>
      <c r="T15" s="2" t="inlineStr"/>
    </row>
    <row r="16">
      <c r="A16" s="2" t="n">
        <v>15</v>
      </c>
      <c r="B16" s="2" t="inlineStr">
        <is>
          <t>20-juicy-designs</t>
        </is>
      </c>
      <c r="C16" s="2" t="inlineStr">
        <is>
          <t>Juicy Designs</t>
        </is>
      </c>
      <c r="D16" s="2" t="inlineStr">
        <is>
          <t>Digital marketing agency: paid ads, SEO, social media management and web</t>
        </is>
      </c>
      <c r="E16" s="2" t="inlineStr">
        <is>
          <t>agency</t>
        </is>
      </c>
      <c r="F16" s="2" t="inlineStr">
        <is>
          <t>Die Wilgers, Pretoria, Gauteng</t>
        </is>
      </c>
      <c r="G16" s="2" t="n">
        <v>2</v>
      </c>
      <c r="H16" s="2" t="n">
        <v>2</v>
      </c>
      <c r="I16" s="2" t="inlineStr">
        <is>
          <t>Growth</t>
        </is>
      </c>
      <c r="J16" s="2" t="n">
        <v>1999</v>
      </c>
      <c r="K16" s="2" t="inlineStr">
        <is>
          <t>R1,999/month (Growth), R9,999/month (Agency) only if it moves a broad social roster across</t>
        </is>
      </c>
      <c r="L16" s="2" t="inlineStr">
        <is>
          <t>Cobus van der Westhuizen (Co-founder and CEO) and Wynand van der Westhuizen (Creative Director), named on the agency's own about page; clients are said to work with the founders directly.</t>
        </is>
      </c>
      <c r="M16" s="2" t="inlineStr">
        <is>
          <t>The business email address published on the agency's own website.</t>
        </is>
      </c>
      <c r="N16" s="2" t="inlineStr">
        <is>
          <t>https://www.juicydesigns.co.za/</t>
        </is>
      </c>
      <c r="O16" s="2" t="inlineStr">
        <is>
          <t>With two founders working directly with clients, organic content and social management for each client may be limited by founder time.</t>
        </is>
      </c>
      <c r="P16" s="3" t="inlineStr">
        <is>
          <t>proposals/20_juicy-designs.docx</t>
        </is>
      </c>
      <c r="Q16" s="2" t="inlineStr">
        <is>
          <t>To contact</t>
        </is>
      </c>
      <c r="R16" s="2" t="inlineStr"/>
      <c r="S16" s="4" t="n"/>
      <c r="T16" s="2" t="inlineStr"/>
    </row>
    <row r="17">
      <c r="A17" s="2" t="n">
        <v>16</v>
      </c>
      <c r="B17" s="2" t="inlineStr">
        <is>
          <t>12-khans-butchery</t>
        </is>
      </c>
      <c r="C17" s="2" t="inlineStr">
        <is>
          <t>Khan's Butchery &amp; MexiKhano's</t>
        </is>
      </c>
      <c r="D17" s="2" t="inlineStr">
        <is>
          <t>Halaal butchery with a takeaway counter (MexiKhano's), delivering to local families</t>
        </is>
      </c>
      <c r="E17" s="2" t="inlineStr">
        <is>
          <t>sme</t>
        </is>
      </c>
      <c r="F17" s="2" t="inlineStr">
        <is>
          <t>NTN Centre, Lenasia South, Johannesburg (Gauteng)</t>
        </is>
      </c>
      <c r="G17" s="2" t="n">
        <v>2</v>
      </c>
      <c r="H17" s="2" t="n">
        <v>2</v>
      </c>
      <c r="I17" s="2" t="inlineStr">
        <is>
          <t>Micro</t>
        </is>
      </c>
      <c r="J17" s="2" t="n">
        <v>289</v>
      </c>
      <c r="K17" s="2" t="inlineStr">
        <is>
          <t>R289/month (Micro)</t>
        </is>
      </c>
      <c r="L17" s="2" t="inlineStr">
        <is>
          <t>Owner or manager of a family-owned business; no person is named as owner on the pages we opened.</t>
        </is>
      </c>
      <c r="M17" s="2" t="inlineStr">
        <is>
          <t>WhatsApp message to the business number published on its own website for orders and enquiries (person-to-person, not a bulk send). Calling the published landline is the fallback.</t>
        </is>
      </c>
      <c r="N17" s="2" t="inlineStr">
        <is>
          <t>https://khansbutchery.online/</t>
        </is>
      </c>
      <c r="O17" s="2" t="inlineStr">
        <is>
          <t>Meat prices and specials are given out on WhatsApp rather than shown on the specials page, so each 'what are your specials' message needs a reply.</t>
        </is>
      </c>
      <c r="P17" s="3" t="inlineStr">
        <is>
          <t>proposals/12_khans-butchery.docx</t>
        </is>
      </c>
      <c r="Q17" s="2" t="inlineStr">
        <is>
          <t>To contact</t>
        </is>
      </c>
      <c r="R17" s="2" t="inlineStr"/>
      <c r="S17" s="4" t="n"/>
      <c r="T17" s="2" t="inlineStr"/>
    </row>
    <row r="18">
      <c r="A18" s="2" t="n">
        <v>17</v>
      </c>
      <c r="B18" s="2" t="inlineStr">
        <is>
          <t>13-hyde-park-physiotherapy</t>
        </is>
      </c>
      <c r="C18" s="2" t="inlineStr">
        <is>
          <t>Hyde Park Physiotherapy</t>
        </is>
      </c>
      <c r="D18" s="2" t="inlineStr">
        <is>
          <t>Private one-on-one physiotherapy, sports massage and Pilates practice</t>
        </is>
      </c>
      <c r="E18" s="2" t="inlineStr">
        <is>
          <t>solo</t>
        </is>
      </c>
      <c r="F18" s="2" t="inlineStr">
        <is>
          <t>Hyde Park Corner, Sandton, Johannesburg</t>
        </is>
      </c>
      <c r="G18" s="2" t="n">
        <v>2</v>
      </c>
      <c r="H18" s="2" t="n">
        <v>2</v>
      </c>
      <c r="I18" s="2" t="inlineStr">
        <is>
          <t>Micro</t>
        </is>
      </c>
      <c r="J18" s="2" t="n">
        <v>289</v>
      </c>
      <c r="K18" s="2" t="inlineStr">
        <is>
          <t>R289/month (Micro)</t>
        </is>
      </c>
      <c r="L18" s="2" t="inlineStr">
        <is>
          <t>Carmen Baier, physiotherapist and owner (named on the practice's own About page).</t>
        </is>
      </c>
      <c r="M18" s="2" t="inlineStr">
        <is>
          <t>Email to the practice address published on the contact page, as a single human-written admin message. Do not message the WhatsApp number, which the practice publishes for booking messages.</t>
        </is>
      </c>
      <c r="N18" s="2" t="inlineStr">
        <is>
          <t>https://hydeparkphysio.co.za/contact-us/</t>
        </is>
      </c>
      <c r="O18" s="2" t="inlineStr">
        <is>
          <t>Late cancellations and no-shows leave gaps in your diary that are hard to refill at short notice.</t>
        </is>
      </c>
      <c r="P18" s="3" t="inlineStr">
        <is>
          <t>proposals/13_hyde-park-physiotherapy.docx</t>
        </is>
      </c>
      <c r="Q18" s="2" t="inlineStr">
        <is>
          <t>To contact</t>
        </is>
      </c>
      <c r="R18" s="2" t="inlineStr"/>
      <c r="S18" s="4" t="n"/>
      <c r="T18" s="2" t="inlineStr"/>
    </row>
    <row r="19">
      <c r="A19" s="2" t="n">
        <v>18</v>
      </c>
      <c r="B19" s="2" t="inlineStr">
        <is>
          <t>03-shimza</t>
        </is>
      </c>
      <c r="C19" s="2" t="inlineStr">
        <is>
          <t>Shimza</t>
        </is>
      </c>
      <c r="D19" s="2" t="inlineStr">
        <is>
          <t>DJ, producer, event series (Kunye) and merch</t>
        </is>
      </c>
      <c r="E19" s="2" t="inlineStr">
        <is>
          <t>creator</t>
        </is>
      </c>
      <c r="F19" s="2" t="inlineStr">
        <is>
          <t>South Africa (Gauteng events; the Kunye HustleSasa page lists a Nairobi address)</t>
        </is>
      </c>
      <c r="G19" s="2" t="n">
        <v>3</v>
      </c>
      <c r="H19" s="2" t="n">
        <v>2</v>
      </c>
      <c r="I19" s="2" t="inlineStr">
        <is>
          <t>Starter</t>
        </is>
      </c>
      <c r="J19" s="2" t="n">
        <v>499</v>
      </c>
      <c r="K19" s="2" t="inlineStr">
        <is>
          <t>R499/month (Starter) for Kunye first; R1,999 (Growth) if merch and label are separated</t>
        </is>
      </c>
      <c r="L19" s="2" t="inlineStr">
        <is>
          <t>Shimza as founder of Kunye and his own brand; management via the contact listed on his site.</t>
        </is>
      </c>
      <c r="M19" s="2" t="inlineStr">
        <is>
          <t>The management email published on his official website (the phone number there is listed under Bookings). Ask to be pointed to whoever runs Kunye's business side.</t>
        </is>
      </c>
      <c r="N19" s="2" t="inlineStr">
        <is>
          <t>https://djshimza.com (Bookings section: info@ address labelled Management)</t>
        </is>
      </c>
      <c r="O19" s="2" t="inlineStr">
        <is>
          <t>Event promotion leads to a spike of DMs asking about tickets, venues and times.</t>
        </is>
      </c>
      <c r="P19" s="3" t="inlineStr">
        <is>
          <t>proposals/03_shimza.docx</t>
        </is>
      </c>
      <c r="Q19" s="2" t="inlineStr">
        <is>
          <t>To contact</t>
        </is>
      </c>
      <c r="R19" s="2" t="inlineStr"/>
      <c r="S19" s="4" t="n"/>
      <c r="T19" s="2" t="inlineStr"/>
    </row>
    <row r="20">
      <c r="A20" s="2" t="n">
        <v>19</v>
      </c>
      <c r="B20" s="2" t="inlineStr">
        <is>
          <t>17-etchells-young-property-brokers</t>
        </is>
      </c>
      <c r="C20" s="2" t="inlineStr">
        <is>
          <t>Etchells &amp; Young Property Brokers</t>
        </is>
      </c>
      <c r="D20" s="2" t="inlineStr">
        <is>
          <t>Boutique estate agency: residential rentals, rental management and sales</t>
        </is>
      </c>
      <c r="E20" s="2" t="inlineStr">
        <is>
          <t>sme</t>
        </is>
      </c>
      <c r="F20" s="2" t="inlineStr">
        <is>
          <t>Ferndale, Randburg, Johannesburg (covers Randburg, Sandton, Fourways, Roodepoort)</t>
        </is>
      </c>
      <c r="G20" s="2" t="n">
        <v>3</v>
      </c>
      <c r="H20" s="2" t="n">
        <v>2</v>
      </c>
      <c r="I20" s="2" t="inlineStr">
        <is>
          <t>Starter</t>
        </is>
      </c>
      <c r="J20" s="2" t="n">
        <v>499</v>
      </c>
      <c r="K20" s="2" t="inlineStr">
        <is>
          <t>R499/month (Starter), possibly R1,999/month (Growth) if several agents or channels are added</t>
        </is>
      </c>
      <c r="L20" s="2" t="inlineStr">
        <is>
          <t>Aubrie Etchells is named on the agency's own company page as the person who established it in 2005. Who runs it day to day now is not published, so confirm the principal or head of rentals on the first call.</t>
        </is>
      </c>
      <c r="M20" s="2" t="inlineStr">
        <is>
          <t>The website contact form on the agency's own contact page (a WhatsApp option is also listed there).</t>
        </is>
      </c>
      <c r="N20" s="2" t="inlineStr">
        <is>
          <t>https://www.etchellsandyoung.co.za/contact-us</t>
        </is>
      </c>
      <c r="O20" s="2" t="inlineStr">
        <is>
          <t>Rental enquiries reach you from several places (Property24, your website, WhatsApp, social), and the answer may depend on which agent sees them first.</t>
        </is>
      </c>
      <c r="P20" s="3" t="inlineStr">
        <is>
          <t>proposals/17_etchells-young-property-brokers.docx</t>
        </is>
      </c>
      <c r="Q20" s="2" t="inlineStr">
        <is>
          <t>To contact</t>
        </is>
      </c>
      <c r="R20" s="2" t="inlineStr"/>
      <c r="S20" s="4" t="n"/>
      <c r="T20" s="2" t="inlineStr"/>
    </row>
    <row r="21">
      <c r="A21" s="2" t="n">
        <v>20</v>
      </c>
      <c r="B21" s="2" t="inlineStr">
        <is>
          <t>01-khuli-chana</t>
        </is>
      </c>
      <c r="C21" s="2" t="inlineStr">
        <is>
          <t>Khuli Chana</t>
        </is>
      </c>
      <c r="D21" s="2" t="inlineStr">
        <is>
          <t>Musician; co-founder of Maftown Heights festival, founder of Khuli Chana Studios and the MyThrone label</t>
        </is>
      </c>
      <c r="E21" s="2" t="inlineStr">
        <is>
          <t>creator</t>
        </is>
      </c>
      <c r="F21" s="2" t="inlineStr">
        <is>
          <t>Johannesburg and Midrand, Gauteng (Maftown Heights is rooted in Mahikeng)</t>
        </is>
      </c>
      <c r="G21" s="2" t="n">
        <v>3</v>
      </c>
      <c r="H21" s="2" t="n">
        <v>1</v>
      </c>
      <c r="I21" s="2" t="inlineStr">
        <is>
          <t>Starter</t>
        </is>
      </c>
      <c r="J21" s="2" t="n">
        <v>499</v>
      </c>
      <c r="K21" s="2" t="inlineStr">
        <is>
          <t>R499/month (Starter) for one venture; R1,999/month (Growth) if festival, studio and label are all set up; R0 if none is a live trading operation today</t>
        </is>
      </c>
      <c r="L21" s="2" t="inlineStr">
        <is>
          <t>Khuli Chana as co-founder of Maftown Heights and founder of the studio and label; first contact would realistically be his booking or management team (Refram or Golden Thread), who would decide whether to pass it on.</t>
        </is>
      </c>
      <c r="M21" s="2" t="inlineStr">
        <is>
          <t>No business-development route is published. The closest official routes are the bookings and press mailboxes on his official YouTube About page. A warm introduction is better. If using the bookings mailbox, say plainly that this is a business enquiry and ask to be pointed to the right person.</t>
        </is>
      </c>
      <c r="N21" s="2" t="inlineStr">
        <is>
          <t>https://www.youtube.com/@KhuliChana/about (booking and press addresses only); https://goldenthreadagency.co.za/team-member/khuli-chana/ (agency bookings). Business-enquiry route: none found, needs warm intro.</t>
        </is>
      </c>
      <c r="O21" s="2" t="inlineStr">
        <is>
          <t>Enquiries for the festival and studio bookings may land in different inboxes and DMs, and depend on whoever sees them first.</t>
        </is>
      </c>
      <c r="P21" s="3" t="inlineStr">
        <is>
          <t>proposals/01_khuli-chana.docx</t>
        </is>
      </c>
      <c r="Q21" s="2" t="inlineStr">
        <is>
          <t>To contact</t>
        </is>
      </c>
      <c r="R21" s="2" t="inlineStr"/>
      <c r="S21" s="4" t="n"/>
      <c r="T21" s="2" t="inlineStr"/>
    </row>
  </sheetData>
  <autoFilter ref="A1:T21"/>
  <dataValidations count="1">
    <dataValidation sqref="Q2:Q21" showDropDown="0" showInputMessage="0" showErrorMessage="0" allowBlank="1" type="list">
      <formula1>"To contact,Contacted,Replied,Call booked,Proposal sent,Won,Lost,Parked"</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11" customWidth="1" min="2" max="2"/>
    <col width="11" customWidth="1" min="3" max="3"/>
    <col width="20" customWidth="1" min="4" max="4"/>
    <col width="14" customWidth="1" min="5" max="5"/>
    <col width="18" customWidth="1" min="6" max="6"/>
    <col width="24" customWidth="1" min="7" max="7"/>
    <col width="18" customWidth="1" min="8" max="8"/>
  </cols>
  <sheetData>
    <row r="1">
      <c r="A1" s="5" t="inlineStr">
        <is>
          <t>Pipeline maths: what this list could plausibly produce</t>
        </is>
      </c>
    </row>
    <row r="2">
      <c r="A2" t="inlineStr">
        <is>
          <t>Yellow cells are assumptions to replace with real reply and close rates as soon as you have them. Nothing here is a forecast.</t>
        </is>
      </c>
    </row>
    <row r="4">
      <c r="A4" s="6" t="inlineStr">
        <is>
          <t>Wave</t>
        </is>
      </c>
      <c r="B4" s="6" t="inlineStr">
        <is>
          <t>Prospects</t>
        </is>
      </c>
      <c r="C4" s="6" t="inlineStr">
        <is>
          <t>Reply rate</t>
        </is>
      </c>
      <c r="D4" s="6" t="inlineStr">
        <is>
          <t>Call held (of replies)</t>
        </is>
      </c>
      <c r="E4" s="6" t="inlineStr">
        <is>
          <t>Buy (of calls)</t>
        </is>
      </c>
      <c r="F4" s="6" t="inlineStr">
        <is>
          <t>Expected customers</t>
        </is>
      </c>
      <c r="G4" s="6" t="inlineStr">
        <is>
          <t>Avg list price / month (R)</t>
        </is>
      </c>
      <c r="H4" s="6" t="inlineStr">
        <is>
          <t>Expected MRR (R)</t>
        </is>
      </c>
    </row>
    <row r="5">
      <c r="A5" t="inlineStr">
        <is>
          <t>Wave 1</t>
        </is>
      </c>
      <c r="B5">
        <f>COUNTIF(Prospects!G:G,1)</f>
        <v/>
      </c>
      <c r="C5" s="7" t="n">
        <v>0.25</v>
      </c>
      <c r="D5" s="7" t="n">
        <v>0.6</v>
      </c>
      <c r="E5" s="7" t="n">
        <v>0.3</v>
      </c>
      <c r="F5" s="8">
        <f>B5*C5*D5*E5</f>
        <v/>
      </c>
      <c r="G5" s="9">
        <f>IFERROR(AVERAGEIF(Prospects!G:G,1,Prospects!J:J),0)</f>
        <v/>
      </c>
      <c r="H5" s="9">
        <f>F5*G5</f>
        <v/>
      </c>
    </row>
    <row r="6">
      <c r="A6" t="inlineStr">
        <is>
          <t>Wave 2</t>
        </is>
      </c>
      <c r="B6">
        <f>COUNTIF(Prospects!G:G,2)</f>
        <v/>
      </c>
      <c r="C6" s="7" t="n">
        <v>0.2</v>
      </c>
      <c r="D6" s="7" t="n">
        <v>0.5</v>
      </c>
      <c r="E6" s="7" t="n">
        <v>0.25</v>
      </c>
      <c r="F6" s="8">
        <f>B6*C6*D6*E6</f>
        <v/>
      </c>
      <c r="G6" s="9">
        <f>IFERROR(AVERAGEIF(Prospects!G:G,2,Prospects!J:J),0)</f>
        <v/>
      </c>
      <c r="H6" s="9">
        <f>F6*G6</f>
        <v/>
      </c>
    </row>
    <row r="7">
      <c r="A7" t="inlineStr">
        <is>
          <t>Wave 3</t>
        </is>
      </c>
      <c r="B7">
        <f>COUNTIF(Prospects!G:G,3)</f>
        <v/>
      </c>
      <c r="C7" s="7" t="n">
        <v>0.15</v>
      </c>
      <c r="D7" s="7" t="n">
        <v>0.5</v>
      </c>
      <c r="E7" s="7" t="n">
        <v>0.2</v>
      </c>
      <c r="F7" s="8">
        <f>B7*C7*D7*E7</f>
        <v/>
      </c>
      <c r="G7" s="9">
        <f>IFERROR(AVERAGEIF(Prospects!G:G,3,Prospects!J:J),0)</f>
        <v/>
      </c>
      <c r="H7" s="9">
        <f>F7*G7</f>
        <v/>
      </c>
    </row>
    <row r="8">
      <c r="A8" s="10" t="inlineStr">
        <is>
          <t>Total</t>
        </is>
      </c>
      <c r="B8">
        <f>SUM(B5:B7)</f>
        <v/>
      </c>
      <c r="F8" s="8">
        <f>SUM(F5:F7)</f>
        <v/>
      </c>
      <c r="H8" s="9">
        <f>SUM(H5:H7)</f>
        <v/>
      </c>
    </row>
    <row r="10" ht="58" customHeight="1">
      <c r="A10" s="2" t="inlineStr">
        <is>
          <t>Read this honestly: the 'Expected customers' total in F8 is the headline. At typical cold, pay-first rates it is around one paying customer from this whole list, not twenty. Demos on the prospect's own catalogue and warm introductions convert better; replace the yellow cells with your real rates as soon as you have them.</t>
        </is>
      </c>
    </row>
    <row r="12">
      <c r="A12" s="10" t="inlineStr">
        <is>
          <t>End-to-end conversion per prospect</t>
        </is>
      </c>
      <c r="F12" s="11">
        <f>IFERROR(F8/B8,0)</f>
        <v/>
      </c>
    </row>
    <row r="13">
      <c r="A13" s="10" t="inlineStr">
        <is>
          <t>Prospects to approach for 3 paying customers at these rates</t>
        </is>
      </c>
      <c r="F13" s="12">
        <f>IFERROR(3/F12,"n/a")</f>
        <v/>
      </c>
    </row>
  </sheetData>
  <mergeCells count="1">
    <mergeCell ref="A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1"/>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60" customWidth="1" min="3" max="3"/>
    <col width="12" customWidth="1" min="4" max="4"/>
  </cols>
  <sheetData>
    <row r="1">
      <c r="A1" s="6" t="inlineStr">
        <is>
          <t>Prospect</t>
        </is>
      </c>
      <c r="B1" s="6" t="inlineStr">
        <is>
          <t>Fact</t>
        </is>
      </c>
      <c r="C1" s="6" t="inlineStr">
        <is>
          <t>Source</t>
        </is>
      </c>
      <c r="D1" s="6" t="inlineStr">
        <is>
          <t>Retrieved</t>
        </is>
      </c>
    </row>
    <row r="2">
      <c r="A2" s="2" t="inlineStr">
        <is>
          <t>LOWKAL SA</t>
        </is>
      </c>
      <c r="B2" s="2" t="inlineStr">
        <is>
          <t>The About page calls LOWKAL SA 'an independent menswear and lifestyle boutique' in Pretoria Central, and the homepage carries the tagline 'Built Different. Worn Everywhere.'</t>
        </is>
      </c>
      <c r="C2" s="2" t="inlineStr">
        <is>
          <t>https://lowkalsa.co.za/pages/about-us</t>
        </is>
      </c>
      <c r="D2" s="2" t="inlineStr">
        <is>
          <t>2026-09-26</t>
        </is>
      </c>
    </row>
    <row r="3">
      <c r="A3" s="2" t="inlineStr">
        <is>
          <t>LOWKAL SA</t>
        </is>
      </c>
      <c r="B3" s="2" t="inlineStr">
        <is>
          <t>The physical store is at 256 Sisulu Street (Louis Pasteur Building), Pretoria Central, with published weekday and Saturday trading hours.</t>
        </is>
      </c>
      <c r="C3" s="2" t="inlineStr">
        <is>
          <t>https://lowkalsa.co.za/</t>
        </is>
      </c>
      <c r="D3" s="2" t="inlineStr">
        <is>
          <t>2026-09-26</t>
        </is>
      </c>
    </row>
    <row r="4">
      <c r="A4" s="2" t="inlineStr">
        <is>
          <t>LOWKAL SA</t>
        </is>
      </c>
      <c r="B4" s="2" t="inlineStr">
        <is>
          <t>The website publishes a business email (info@lowkalsa.co.za) and a phone number (+27 60 317 6878).</t>
        </is>
      </c>
      <c r="C4" s="2" t="inlineStr">
        <is>
          <t>https://lowkalsa.co.za/</t>
        </is>
      </c>
      <c r="D4" s="2" t="inlineStr">
        <is>
          <t>2026-09-26</t>
        </is>
      </c>
    </row>
    <row r="5">
      <c r="A5" s="2" t="inlineStr">
        <is>
          <t>LOWKAL SA</t>
        </is>
      </c>
      <c r="B5" s="2" t="inlineStr">
        <is>
          <t>The Contact page lists that same number as its WhatsApp number and asks customers to use WhatsApp for the fastest response on order tracking, size guidance, returns and product availability.</t>
        </is>
      </c>
      <c r="C5" s="2" t="inlineStr">
        <is>
          <t>https://lowkalsa.co.za/pages/contact-us</t>
        </is>
      </c>
      <c r="D5" s="2" t="inlineStr">
        <is>
          <t>2026-09-26</t>
        </is>
      </c>
    </row>
    <row r="6">
      <c r="A6" s="2" t="inlineStr">
        <is>
          <t>LOWKAL SA</t>
        </is>
      </c>
      <c r="B6" s="2" t="inlineStr">
        <is>
          <t>The online shop sells tops, bottoms, headwear and accessories, and its banner says nationwide delivery in 2-3 working days (the Contact page says about 2 to 4 business days).</t>
        </is>
      </c>
      <c r="C6" s="2" t="inlineStr">
        <is>
          <t>https://lowkalsa.co.za/</t>
        </is>
      </c>
      <c r="D6" s="2" t="inlineStr">
        <is>
          <t>2026-09-26</t>
        </is>
      </c>
    </row>
    <row r="7">
      <c r="A7" s="2" t="inlineStr">
        <is>
          <t>LOWKAL SA</t>
        </is>
      </c>
      <c r="B7" s="2" t="inlineStr">
        <is>
          <t>The jeans and trousers collection page has prices up to R550 and an availability filter that showed 87 products in stock and 44 out of stock on 26 September 2026.</t>
        </is>
      </c>
      <c r="C7" s="2" t="inlineStr">
        <is>
          <t>https://lowkalsa.co.za/collections/jeans-trousers</t>
        </is>
      </c>
      <c r="D7" s="2" t="inlineStr">
        <is>
          <t>2026-09-26</t>
        </is>
      </c>
    </row>
    <row r="8">
      <c r="A8" s="2" t="inlineStr">
        <is>
          <t>LOWKAL SA</t>
        </is>
      </c>
      <c r="B8" s="2" t="inlineStr">
        <is>
          <t>The collection page and footer offer a signup for early access and exclusive offers.</t>
        </is>
      </c>
      <c r="C8" s="2" t="inlineStr">
        <is>
          <t>https://lowkalsa.co.za/collections/jeans-trousers</t>
        </is>
      </c>
      <c r="D8" s="2" t="inlineStr">
        <is>
          <t>2026-09-26</t>
        </is>
      </c>
    </row>
    <row r="9">
      <c r="A9" s="2" t="inlineStr">
        <is>
          <t>LOWKAL SA</t>
        </is>
      </c>
      <c r="B9" s="2" t="inlineStr">
        <is>
          <t>The Instagram account @lowkalsa_ has the bio 'Premium Streetwear &amp; Casual Wear', 'Pretoria, South Africa' and a link to the online shop, and shows posts dated 20 to 22 September 2026.</t>
        </is>
      </c>
      <c r="C9" s="2" t="inlineStr">
        <is>
          <t>https://www.instagram.com/lowkalsa_/?hl=en</t>
        </is>
      </c>
      <c r="D9" s="2" t="inlineStr">
        <is>
          <t>2026-09-26</t>
        </is>
      </c>
    </row>
    <row r="10">
      <c r="A10" s="2" t="inlineStr">
        <is>
          <t>LOWKAL SA</t>
        </is>
      </c>
      <c r="B10" s="2" t="inlineStr">
        <is>
          <t>The homepage shows customer reviews that mention delivery within days, quality and fit.</t>
        </is>
      </c>
      <c r="C10" s="2" t="inlineStr">
        <is>
          <t>https://lowkalsa.co.za/</t>
        </is>
      </c>
      <c r="D10" s="2" t="inlineStr">
        <is>
          <t>2026-09-26</t>
        </is>
      </c>
    </row>
    <row r="11">
      <c r="A11" s="2" t="inlineStr">
        <is>
          <t>The Sweat Shack</t>
        </is>
      </c>
      <c r="B11" s="2" t="inlineStr">
        <is>
          <t>Says it was founded in April 2021 and is based at the World of Wellness Centre in Rynfield, Benoni.</t>
        </is>
      </c>
      <c r="C11" s="2" t="inlineStr">
        <is>
          <t>https://thesweatshack.co.za/</t>
        </is>
      </c>
      <c r="D11" s="2" t="inlineStr">
        <is>
          <t>2026-09-26</t>
        </is>
      </c>
    </row>
    <row r="12">
      <c r="A12" s="2" t="inlineStr">
        <is>
          <t>The Sweat Shack</t>
        </is>
      </c>
      <c r="B12" s="2" t="inlineStr">
        <is>
          <t>The site says the studio is owned and operated by qualified instructor Michelle Gordon Watt.</t>
        </is>
      </c>
      <c r="C12" s="2" t="inlineStr">
        <is>
          <t>https://thesweatshack.co.za/</t>
        </is>
      </c>
      <c r="D12" s="2" t="inlineStr">
        <is>
          <t>2026-09-26</t>
        </is>
      </c>
    </row>
    <row r="13">
      <c r="A13" s="2" t="inlineStr">
        <is>
          <t>The Sweat Shack</t>
        </is>
      </c>
      <c r="B13" s="2" t="inlineStr">
        <is>
          <t>The class timetable and pricing are shown on the website as images (files named 2026-Classes and PRICING-2026), not as text.</t>
        </is>
      </c>
      <c r="C13" s="2" t="inlineStr">
        <is>
          <t>https://thesweatshack.co.za/</t>
        </is>
      </c>
      <c r="D13" s="2" t="inlineStr">
        <is>
          <t>2026-09-26</t>
        </is>
      </c>
    </row>
    <row r="14">
      <c r="A14" s="2" t="inlineStr">
        <is>
          <t>The Sweat Shack</t>
        </is>
      </c>
      <c r="B14" s="2" t="inlineStr">
        <is>
          <t>The site's FAQ says to book classes through the Octiv Fitness App after signing up, or to WhatsApp Michelle if sign-up is a struggle; a WhatsApp number and info email address are in the site header.</t>
        </is>
      </c>
      <c r="C14" s="2" t="inlineStr">
        <is>
          <t>https://thesweatshack.co.za/</t>
        </is>
      </c>
      <c r="D14" s="2" t="inlineStr">
        <is>
          <t>2026-09-26</t>
        </is>
      </c>
    </row>
    <row r="15">
      <c r="A15" s="2" t="inlineStr">
        <is>
          <t>The Sweat Shack</t>
        </is>
      </c>
      <c r="B15" s="2" t="inlineStr">
        <is>
          <t>The site menu includes Fitness, a Wellness Club, an Info Hub and a Shop with a cart.</t>
        </is>
      </c>
      <c r="C15" s="2" t="inlineStr">
        <is>
          <t>https://thesweatshack.co.za/</t>
        </is>
      </c>
      <c r="D15" s="2" t="inlineStr">
        <is>
          <t>2026-09-26</t>
        </is>
      </c>
    </row>
    <row r="16">
      <c r="A16" s="2" t="inlineStr">
        <is>
          <t>The Sweat Shack</t>
        </is>
      </c>
      <c r="B16" s="2" t="inlineStr">
        <is>
          <t>The Wellness Club section lists nutrition and coaching packages, including a corporate wellness package.</t>
        </is>
      </c>
      <c r="C16" s="2" t="inlineStr">
        <is>
          <t>https://thesweatshack.co.za/</t>
        </is>
      </c>
      <c r="D16" s="2" t="inlineStr">
        <is>
          <t>2026-09-26</t>
        </is>
      </c>
    </row>
    <row r="17">
      <c r="A17" s="2" t="inlineStr">
        <is>
          <t>The Sweat Shack</t>
        </is>
      </c>
      <c r="B17" s="2" t="inlineStr">
        <is>
          <t>The site describes class types including rebounding, Yoga-lates, BoxFit, bootcamp and senior classes.</t>
        </is>
      </c>
      <c r="C17" s="2" t="inlineStr">
        <is>
          <t>https://thesweatshack.co.za/</t>
        </is>
      </c>
      <c r="D17" s="2" t="inlineStr">
        <is>
          <t>2026-09-26</t>
        </is>
      </c>
    </row>
    <row r="18">
      <c r="A18" s="2" t="inlineStr">
        <is>
          <t>The Sweat Shack</t>
        </is>
      </c>
      <c r="B18" s="2" t="inlineStr">
        <is>
          <t>The World of Wellness centre's site has a post dated 13 February 2025 saying senior classes at The Sweat Shack run on Wednesdays, with Michelle and her team, and gives her number for information.</t>
        </is>
      </c>
      <c r="C18" s="2" t="inlineStr">
        <is>
          <t>https://www.worldofwellness.co.za/post/senior-classes-now-on-offer-at-the-sweat-shack</t>
        </is>
      </c>
      <c r="D18" s="2" t="inlineStr">
        <is>
          <t>2026-09-26</t>
        </is>
      </c>
    </row>
    <row r="19">
      <c r="A19" s="2" t="inlineStr">
        <is>
          <t>Gauteng Party Hire</t>
        </is>
      </c>
      <c r="B19" s="2" t="inlineStr">
        <is>
          <t>Describes itself as an event equipment hire company supplying Tiffany chairs, tables, linen, décor, crockery, glassware and more for weddings, birthdays, corporate and kids' events across Johannesburg, Pretoria, Midrand and Gauteng.</t>
        </is>
      </c>
      <c r="C19" s="2" t="inlineStr">
        <is>
          <t>https://gautengpartyhire.co.za/</t>
        </is>
      </c>
      <c r="D19" s="2" t="inlineStr">
        <is>
          <t>2026-09-26</t>
        </is>
      </c>
    </row>
    <row r="20">
      <c r="A20" s="2" t="inlineStr">
        <is>
          <t>Gauteng Party Hire</t>
        </is>
      </c>
      <c r="B20" s="2" t="inlineStr">
        <is>
          <t>The homepage tells customers to WhatsApp for a quote 'within hours' and to send the event date, guest count, location and equipment needed by WhatsApp or email.</t>
        </is>
      </c>
      <c r="C20" s="2" t="inlineStr">
        <is>
          <t>https://gautengpartyhire.co.za/</t>
        </is>
      </c>
      <c r="D20" s="2" t="inlineStr">
        <is>
          <t>2026-09-26</t>
        </is>
      </c>
    </row>
    <row r="21">
      <c r="A21" s="2" t="inlineStr">
        <is>
          <t>Gauteng Party Hire</t>
        </is>
      </c>
      <c r="B21" s="2" t="inlineStr">
        <is>
          <t>Says that after a request it checks availability and sends a detailed quote including delivery, and that a deposit secures the booking once the quote is approved.</t>
        </is>
      </c>
      <c r="C21" s="2" t="inlineStr">
        <is>
          <t>https://gautengpartyhire.co.za/</t>
        </is>
      </c>
      <c r="D21" s="2" t="inlineStr">
        <is>
          <t>2026-09-26</t>
        </is>
      </c>
    </row>
    <row r="22">
      <c r="A22" s="2" t="inlineStr">
        <is>
          <t>Gauteng Party Hire</t>
        </is>
      </c>
      <c r="B22" s="2" t="inlineStr">
        <is>
          <t>Its booking terms page says a 50% deposit secures the equipment, the balance is due 7 days before delivery, and it accepts EFT only.</t>
        </is>
      </c>
      <c r="C22" s="2" t="inlineStr">
        <is>
          <t>https://gautengpartyhire.co.za/payement-terms/</t>
        </is>
      </c>
      <c r="D22" s="2" t="inlineStr">
        <is>
          <t>2026-09-26</t>
        </is>
      </c>
    </row>
    <row r="23">
      <c r="A23" s="2" t="inlineStr">
        <is>
          <t>Gauteng Party Hire</t>
        </is>
      </c>
      <c r="B23" s="2" t="inlineStr">
        <is>
          <t>The contact page has a quote form (name, WhatsApp number, email, event date, suburb, equipment needed, message) and lists a business email address and a phone number.</t>
        </is>
      </c>
      <c r="C23" s="2" t="inlineStr">
        <is>
          <t>https://gautengpartyhire.co.za/contact/</t>
        </is>
      </c>
      <c r="D23" s="2" t="inlineStr">
        <is>
          <t>2026-09-26</t>
        </is>
      </c>
    </row>
    <row r="24">
      <c r="A24" s="2" t="inlineStr">
        <is>
          <t>Gauteng Party Hire</t>
        </is>
      </c>
      <c r="B24" s="2" t="inlineStr">
        <is>
          <t>Publishes item prices on its pricing page (for example Tiffany chairs at R35 each) and says delivery is quoted separately by location.</t>
        </is>
      </c>
      <c r="C24" s="2" t="inlineStr">
        <is>
          <t>https://gautengpartyhire.co.za/pricing/</t>
        </is>
      </c>
      <c r="D24" s="2" t="inlineStr">
        <is>
          <t>2026-09-26</t>
        </is>
      </c>
    </row>
    <row r="25">
      <c r="A25" s="2" t="inlineStr">
        <is>
          <t>Gauteng Party Hire</t>
        </is>
      </c>
      <c r="B25" s="2" t="inlineStr">
        <is>
          <t>The About page says it has '10 Plus Members' on its team and more than 168 products, and gives a home base in Cosmo City, Johannesburg.</t>
        </is>
      </c>
      <c r="C25" s="2" t="inlineStr">
        <is>
          <t>https://gautengpartyhire.co.za/about-us/</t>
        </is>
      </c>
      <c r="D25" s="2" t="inlineStr">
        <is>
          <t>2026-09-26</t>
        </is>
      </c>
    </row>
    <row r="26">
      <c r="A26" s="2" t="inlineStr">
        <is>
          <t>Gauteng Party Hire</t>
        </is>
      </c>
      <c r="B26" s="2" t="inlineStr">
        <is>
          <t>The site's own sitemap shows pages last updated between May and 17 September 2026, and the homepage metadata gives a publish date of 21 April 2026.</t>
        </is>
      </c>
      <c r="C26" s="2" t="inlineStr">
        <is>
          <t>https://gautengpartyhire.co.za/page-sitemap.xml</t>
        </is>
      </c>
      <c r="D26" s="2" t="inlineStr">
        <is>
          <t>2026-09-26</t>
        </is>
      </c>
    </row>
    <row r="27">
      <c r="A27" s="2" t="inlineStr">
        <is>
          <t>Gauteng Party Hire</t>
        </is>
      </c>
      <c r="B27" s="2" t="inlineStr">
        <is>
          <t>Links to Facebook, YouTube and Instagram accounts in the page footer.</t>
        </is>
      </c>
      <c r="C27" s="2" t="inlineStr">
        <is>
          <t>https://gautengpartyhire.co.za/payement-terms/</t>
        </is>
      </c>
      <c r="D27" s="2" t="inlineStr">
        <is>
          <t>2026-09-26</t>
        </is>
      </c>
    </row>
    <row r="28">
      <c r="A28" s="2" t="inlineStr">
        <is>
          <t>The Nail Studio &amp; Beauty Salon</t>
        </is>
      </c>
      <c r="B28" s="2" t="inlineStr">
        <is>
          <t>The studio is at FF 4, Bassonia Shopping Centre, corner Comaro and Soetdoring Avenue, serving Johannesburg's southern suburbs.</t>
        </is>
      </c>
      <c r="C28" s="2" t="inlineStr">
        <is>
          <t>https://nailstudiosalon.co.za/</t>
        </is>
      </c>
      <c r="D28" s="2" t="inlineStr">
        <is>
          <t>2026-09-26</t>
        </is>
      </c>
    </row>
    <row r="29">
      <c r="A29" s="2" t="inlineStr">
        <is>
          <t>The Nail Studio &amp; Beauty Salon</t>
        </is>
      </c>
      <c r="B29" s="2" t="inlineStr">
        <is>
          <t>The website lists manicures, gel and acrylic nails, pedicures, nail art, brow and lash treatments, facials, waxing, massage, laser treatments and permanent makeup.</t>
        </is>
      </c>
      <c r="C29" s="2" t="inlineStr">
        <is>
          <t>https://nailstudiosalon.co.za/</t>
        </is>
      </c>
      <c r="D29" s="2" t="inlineStr">
        <is>
          <t>2026-09-26</t>
        </is>
      </c>
    </row>
    <row r="30">
      <c r="A30" s="2" t="inlineStr">
        <is>
          <t>The Nail Studio &amp; Beauty Salon</t>
        </is>
      </c>
      <c r="B30" s="2" t="inlineStr">
        <is>
          <t>The website invites clients to call or WhatsApp 067 080 3468 to book, and has a contact form and a 'book now' button.</t>
        </is>
      </c>
      <c r="C30" s="2" t="inlineStr">
        <is>
          <t>https://nailstudiosalon.co.za/</t>
        </is>
      </c>
      <c r="D30" s="2" t="inlineStr">
        <is>
          <t>2026-09-26</t>
        </is>
      </c>
    </row>
    <row r="31">
      <c r="A31" s="2" t="inlineStr">
        <is>
          <t>The Nail Studio &amp; Beauty Salon</t>
        </is>
      </c>
      <c r="B31" s="2" t="inlineStr">
        <is>
          <t>The website publishes an email address for the studio: thenailstudiosalon@gmail.com.</t>
        </is>
      </c>
      <c r="C31" s="2" t="inlineStr">
        <is>
          <t>https://nailstudiosalon.co.za/</t>
        </is>
      </c>
      <c r="D31" s="2" t="inlineStr">
        <is>
          <t>2026-09-26</t>
        </is>
      </c>
    </row>
    <row r="32">
      <c r="A32" s="2" t="inlineStr">
        <is>
          <t>The Nail Studio &amp; Beauty Salon</t>
        </is>
      </c>
      <c r="B32" s="2" t="inlineStr">
        <is>
          <t>The website offers 'Girls Day Out Packages', described as a pamper pedi party with wine or cappuccino service.</t>
        </is>
      </c>
      <c r="C32" s="2" t="inlineStr">
        <is>
          <t>https://nailstudiosalon.co.za/</t>
        </is>
      </c>
      <c r="D32" s="2" t="inlineStr">
        <is>
          <t>2026-09-26</t>
        </is>
      </c>
    </row>
    <row r="33">
      <c r="A33" s="2" t="inlineStr">
        <is>
          <t>The Nail Studio &amp; Beauty Salon</t>
        </is>
      </c>
      <c r="B33" s="2" t="inlineStr">
        <is>
          <t>The website links to Facebook (facebook.com/NailStudioAndBeauty) and Instagram (@nailstudioandbeauty) accounts.</t>
        </is>
      </c>
      <c r="C33" s="2" t="inlineStr">
        <is>
          <t>https://nailstudiosalon.co.za/</t>
        </is>
      </c>
      <c r="D33" s="2" t="inlineStr">
        <is>
          <t>2026-09-26</t>
        </is>
      </c>
    </row>
    <row r="34">
      <c r="A34" s="2" t="inlineStr">
        <is>
          <t>The Nail Studio &amp; Beauty Salon</t>
        </is>
      </c>
      <c r="B34" s="2" t="inlineStr">
        <is>
          <t>The Instagram profile shows the same phone number and website, and posts dated September 2026 advertise a pedicure and gel-toe combo for R410 and laser packages.</t>
        </is>
      </c>
      <c r="C34" s="2" t="inlineStr">
        <is>
          <t>https://www.instagram.com/nailstudioandbeauty/</t>
        </is>
      </c>
      <c r="D34" s="2" t="inlineStr">
        <is>
          <t>2026-09-26</t>
        </is>
      </c>
    </row>
    <row r="35">
      <c r="A35" s="2" t="inlineStr">
        <is>
          <t>The Nail Studio &amp; Beauty Salon</t>
        </is>
      </c>
      <c r="B35" s="2" t="inlineStr">
        <is>
          <t>The website lists RegimA facials, and Instagram posts (August and September 2026) advertise facials with prices.</t>
        </is>
      </c>
      <c r="C35" s="2" t="inlineStr">
        <is>
          <t>https://nailstudiosalon.co.za/</t>
        </is>
      </c>
      <c r="D35" s="2" t="inlineStr">
        <is>
          <t>2026-09-26</t>
        </is>
      </c>
    </row>
    <row r="36">
      <c r="A36" s="2" t="inlineStr">
        <is>
          <t>Hustle n Shine</t>
        </is>
      </c>
      <c r="B36" s="2" t="inlineStr">
        <is>
          <t>Presents itself as a premium mobile car detailing service in Bedfordview, Johannesburg.</t>
        </is>
      </c>
      <c r="C36" s="2" t="inlineStr">
        <is>
          <t>https://hustlenshine.co.za/</t>
        </is>
      </c>
      <c r="D36" s="2" t="inlineStr">
        <is>
          <t>2026-09-26</t>
        </is>
      </c>
    </row>
    <row r="37">
      <c r="A37" s="2" t="inlineStr">
        <is>
          <t>Hustle n Shine</t>
        </is>
      </c>
      <c r="B37" s="2" t="inlineStr">
        <is>
          <t>The About page says the business was established in 2026 by mechanical engineer Anver Sekadi.</t>
        </is>
      </c>
      <c r="C37" s="2" t="inlineStr">
        <is>
          <t>https://hustlenshine.co.za/about</t>
        </is>
      </c>
      <c r="D37" s="2" t="inlineStr">
        <is>
          <t>2026-09-26</t>
        </is>
      </c>
    </row>
    <row r="38">
      <c r="A38" s="2" t="inlineStr">
        <is>
          <t>Hustle n Shine</t>
        </is>
      </c>
      <c r="B38" s="2" t="inlineStr">
        <is>
          <t>Services listed include Essential, Signature and Executive detail packages, ceramic coating, paint enhancement, interior deep cleaning, engine bay detailing and headlight restoration.</t>
        </is>
      </c>
      <c r="C38" s="2" t="inlineStr">
        <is>
          <t>https://hustlenshine.co.za/</t>
        </is>
      </c>
      <c r="D38" s="2" t="inlineStr">
        <is>
          <t>2026-09-26</t>
        </is>
      </c>
    </row>
    <row r="39">
      <c r="A39" s="2" t="inlineStr">
        <is>
          <t>Hustle n Shine</t>
        </is>
      </c>
      <c r="B39" s="2" t="inlineStr">
        <is>
          <t>No prices are shown on the homepage; the Request a quote buttons link to WhatsApp.</t>
        </is>
      </c>
      <c r="C39" s="2" t="inlineStr">
        <is>
          <t>https://hustlenshine.co.za/</t>
        </is>
      </c>
      <c r="D39" s="2" t="inlineStr">
        <is>
          <t>2026-09-26</t>
        </is>
      </c>
    </row>
    <row r="40">
      <c r="A40" s="2" t="inlineStr">
        <is>
          <t>Hustle n Shine</t>
        </is>
      </c>
      <c r="B40" s="2" t="inlineStr">
        <is>
          <t>Publishes a contact page with a form, the same phone/WhatsApp number and an email address (info@hustlenshine.co.za).</t>
        </is>
      </c>
      <c r="C40" s="2" t="inlineStr">
        <is>
          <t>https://hustlenshine.co.za/contact</t>
        </is>
      </c>
      <c r="D40" s="2" t="inlineStr">
        <is>
          <t>2026-09-26</t>
        </is>
      </c>
    </row>
    <row r="41">
      <c r="A41" s="2" t="inlineStr">
        <is>
          <t>Hustle n Shine</t>
        </is>
      </c>
      <c r="B41" s="2" t="inlineStr">
        <is>
          <t>Says it serves private clients, corporate offices and dealerships, and travels to clients' homes and workplaces.</t>
        </is>
      </c>
      <c r="C41" s="2" t="inlineStr">
        <is>
          <t>https://hustlenshine.co.za/</t>
        </is>
      </c>
      <c r="D41" s="2" t="inlineStr">
        <is>
          <t>2026-09-26</t>
        </is>
      </c>
    </row>
    <row r="42">
      <c r="A42" s="2" t="inlineStr">
        <is>
          <t>Hustle n Shine</t>
        </is>
      </c>
      <c r="B42" s="2" t="inlineStr">
        <is>
          <t>The homepage shows a 5.0 Google rating; it says '13 reviews' near the top and 'based on 9 reviews' lower down, so no count is used here.</t>
        </is>
      </c>
      <c r="C42" s="2" t="inlineStr">
        <is>
          <t>https://hustlenshine.co.za/</t>
        </is>
      </c>
      <c r="D42" s="2" t="inlineStr">
        <is>
          <t>2026-09-26</t>
        </is>
      </c>
    </row>
    <row r="43">
      <c r="A43" s="2" t="inlineStr">
        <is>
          <t>Hustle n Shine</t>
        </is>
      </c>
      <c r="B43" s="2" t="inlineStr">
        <is>
          <t>Uses Instagram (@hnsmobiledetailing) and TikTok (@hns.mobile.detail) to show its work, according to its website.</t>
        </is>
      </c>
      <c r="C43" s="2" t="inlineStr">
        <is>
          <t>https://hustlenshine.co.za/</t>
        </is>
      </c>
      <c r="D43" s="2" t="inlineStr">
        <is>
          <t>2026-09-26</t>
        </is>
      </c>
    </row>
    <row r="44">
      <c r="A44" s="2" t="inlineStr">
        <is>
          <t>The Barbers Chop Shop</t>
        </is>
      </c>
      <c r="B44" s="2" t="inlineStr">
        <is>
          <t>The Barbers Chop Shop trades from two shops: 15 6th Avenue, Maraisburg and 4 Main Road, Melville, Johannesburg.</t>
        </is>
      </c>
      <c r="C44" s="2" t="inlineStr">
        <is>
          <t>https://thebarberschopshop.co.za/</t>
        </is>
      </c>
      <c r="D44" s="2" t="inlineStr">
        <is>
          <t>2026-09-26</t>
        </is>
      </c>
    </row>
    <row r="45">
      <c r="A45" s="2" t="inlineStr">
        <is>
          <t>The Barbers Chop Shop</t>
        </is>
      </c>
      <c r="B45" s="2" t="inlineStr">
        <is>
          <t>The About page says the business started in a backroom in Maraisburg with two barbers, opened its first shop with four barbers, and has since opened a second branch where it now employs a team of ten people.</t>
        </is>
      </c>
      <c r="C45" s="2" t="inlineStr">
        <is>
          <t>https://thebarberschopshop.co.za/about-us/</t>
        </is>
      </c>
      <c r="D45" s="2" t="inlineStr">
        <is>
          <t>2026-09-26</t>
        </is>
      </c>
    </row>
    <row r="46">
      <c r="A46" s="2" t="inlineStr">
        <is>
          <t>The Barbers Chop Shop</t>
        </is>
      </c>
      <c r="B46" s="2" t="inlineStr">
        <is>
          <t>The homepage lists operating times: Tuesday to Wednesday 9am to 5pm, Thursday to Friday 9am to 6pm, Saturday 9am to 6pm (Maraisburg closes at 3pm) and Sunday 9am to 2pm (Maraisburg closed).</t>
        </is>
      </c>
      <c r="C46" s="2" t="inlineStr">
        <is>
          <t>https://thebarberschopshop.co.za/</t>
        </is>
      </c>
      <c r="D46" s="2" t="inlineStr">
        <is>
          <t>2026-09-26</t>
        </is>
      </c>
    </row>
    <row r="47">
      <c r="A47" s="2" t="inlineStr">
        <is>
          <t>The Barbers Chop Shop</t>
        </is>
      </c>
      <c r="B47" s="2" t="inlineStr">
        <is>
          <t>The website links to online booking on Fresha, and the price-list page has a 'Proceed to booking' button.</t>
        </is>
      </c>
      <c r="C47" s="2" t="inlineStr">
        <is>
          <t>https://thebarberschopshop.co.za/pricelist/</t>
        </is>
      </c>
      <c r="D47" s="2" t="inlineStr">
        <is>
          <t>2026-09-26</t>
        </is>
      </c>
    </row>
    <row r="48">
      <c r="A48" s="2" t="inlineStr">
        <is>
          <t>The Barbers Chop Shop</t>
        </is>
      </c>
      <c r="B48" s="2" t="inlineStr">
        <is>
          <t>The price-list page says 'Card payments accepted' and shows a Yoco logo.</t>
        </is>
      </c>
      <c r="C48" s="2" t="inlineStr">
        <is>
          <t>https://thebarberschopshop.co.za/pricelist/</t>
        </is>
      </c>
      <c r="D48" s="2" t="inlineStr">
        <is>
          <t>2026-09-26</t>
        </is>
      </c>
    </row>
    <row r="49">
      <c r="A49" s="2" t="inlineStr">
        <is>
          <t>The Barbers Chop Shop</t>
        </is>
      </c>
      <c r="B49" s="2" t="inlineStr">
        <is>
          <t>The website menu has a 'Shop Perfume' link; it points to shop.thebarberschopshop.co.za, which redirects to a separate perfume store (scentsperfume.co.za).</t>
        </is>
      </c>
      <c r="C49" s="2" t="inlineStr">
        <is>
          <t>https://thebarberschopshop.co.za/</t>
        </is>
      </c>
      <c r="D49" s="2" t="inlineStr">
        <is>
          <t>2026-09-26</t>
        </is>
      </c>
    </row>
    <row r="50">
      <c r="A50" s="2" t="inlineStr">
        <is>
          <t>The Barbers Chop Shop</t>
        </is>
      </c>
      <c r="B50" s="2" t="inlineStr">
        <is>
          <t>The contact page publishes a business phone number and a business email address.</t>
        </is>
      </c>
      <c r="C50" s="2" t="inlineStr">
        <is>
          <t>https://thebarberschopshop.co.za/contact-us/</t>
        </is>
      </c>
      <c r="D50" s="2" t="inlineStr">
        <is>
          <t>2026-09-26</t>
        </is>
      </c>
    </row>
    <row r="51">
      <c r="A51" s="2" t="inlineStr">
        <is>
          <t>The Barbers Chop Shop</t>
        </is>
      </c>
      <c r="B51" s="2" t="inlineStr">
        <is>
          <t>The website links to TikTok, Instagram and Facebook accounts for the business.</t>
        </is>
      </c>
      <c r="C51" s="2" t="inlineStr">
        <is>
          <t>https://thebarberschopshop.co.za/</t>
        </is>
      </c>
      <c r="D51" s="2" t="inlineStr">
        <is>
          <t>2026-09-26</t>
        </is>
      </c>
    </row>
    <row r="52">
      <c r="A52" s="2" t="inlineStr">
        <is>
          <t>Lerato Nxumalo</t>
        </is>
      </c>
      <c r="B52" s="2" t="inlineStr">
        <is>
          <t>Wikipedia describes her as an actress, influencer, content creator and entrepreneur, with roles in Durban Gen (2020 to 2023), Scandal! (2023 to 2024) and Genesis (2025 to 2026), and says she focused on social media content creation from 2024.</t>
        </is>
      </c>
      <c r="C52" s="2" t="inlineStr">
        <is>
          <t>https://en.wikipedia.org/wiki/Lerato_Nxumalo</t>
        </is>
      </c>
      <c r="D52" s="2" t="inlineStr">
        <is>
          <t>2026-09-26</t>
        </is>
      </c>
    </row>
    <row r="53">
      <c r="A53" s="2" t="inlineStr">
        <is>
          <t>Lerato Nxumalo</t>
        </is>
      </c>
      <c r="B53" s="2" t="inlineStr">
        <is>
          <t>Briefly reported on 6 July 2025 that she said she was launching her 'very first business', blaHoody, the following week.</t>
        </is>
      </c>
      <c r="C53" s="2" t="inlineStr">
        <is>
          <t>https://briefly.co.za/entertainment/celebrities/219416-former-scandal-actress-lerato-nxumalo-launches-clothing-business/</t>
        </is>
      </c>
      <c r="D53" s="2" t="inlineStr">
        <is>
          <t>2026-09-26</t>
        </is>
      </c>
    </row>
    <row r="54">
      <c r="A54" s="2" t="inlineStr">
        <is>
          <t>Lerato Nxumalo</t>
        </is>
      </c>
      <c r="B54" s="2" t="inlineStr">
        <is>
          <t>Wikipedia says blaHoody, launched July 2025, specialises in comfort-wear hoodies and is primarily an online business.</t>
        </is>
      </c>
      <c r="C54" s="2" t="inlineStr">
        <is>
          <t>https://en.wikipedia.org/wiki/Lerato_Nxumalo</t>
        </is>
      </c>
      <c r="D54" s="2" t="inlineStr">
        <is>
          <t>2026-09-26</t>
        </is>
      </c>
    </row>
    <row r="55">
      <c r="A55" s="2" t="inlineStr">
        <is>
          <t>Lerato Nxumalo</t>
        </is>
      </c>
      <c r="B55" s="2" t="inlineStr">
        <is>
          <t>blaHoody has its own online store (blahoody.com) with a winter lounge collection, a cart and checkout, a contact page with a contact form and a customer-service email, and a 2026 copyright footer.</t>
        </is>
      </c>
      <c r="C55" s="2" t="inlineStr">
        <is>
          <t>https://www.blahoody.com/</t>
        </is>
      </c>
      <c r="D55" s="2" t="inlineStr">
        <is>
          <t>2026-09-26</t>
        </is>
      </c>
    </row>
    <row r="56">
      <c r="A56" s="2" t="inlineStr">
        <is>
          <t>Lerato Nxumalo</t>
        </is>
      </c>
      <c r="B56" s="2" t="inlineStr">
        <is>
          <t>SA Varsity Newz (29 July 2026) reports By Lovely Suites, a luxury beauty salon in Midrand, as her first-ever physical store, with construction underway.</t>
        </is>
      </c>
      <c r="C56" s="2" t="inlineStr">
        <is>
          <t>https://www.savarsitynewz.co.za/2026/07/29/from-screen-to-salon-lerato-nxumalo-launches-luxury-beauty-destination-by-lovely-suites/</t>
        </is>
      </c>
      <c r="D56" s="2" t="inlineStr">
        <is>
          <t>2026-09-26</t>
        </is>
      </c>
    </row>
    <row r="57">
      <c r="A57" s="2" t="inlineStr">
        <is>
          <t>Lerato Nxumalo</t>
        </is>
      </c>
      <c r="B57" s="2" t="inlineStr">
        <is>
          <t>The same article lists luxury wigs, installations and braiding, nail bars, eyelash extensions, aesthetic treatments and VIP private suites.</t>
        </is>
      </c>
      <c r="C57" s="2" t="inlineStr">
        <is>
          <t>https://www.savarsitynewz.co.za/2026/07/29/from-screen-to-salon-lerato-nxumalo-launches-luxury-beauty-destination-by-lovely-suites/</t>
        </is>
      </c>
      <c r="D57" s="2" t="inlineStr">
        <is>
          <t>2026-09-26</t>
        </is>
      </c>
    </row>
    <row r="58">
      <c r="A58" s="2" t="inlineStr">
        <is>
          <t>Lerato Nxumalo</t>
        </is>
      </c>
      <c r="B58" s="2" t="inlineStr">
        <is>
          <t>The article gives no opening date and does not say how bookings will be taken.</t>
        </is>
      </c>
      <c r="C58" s="2" t="inlineStr">
        <is>
          <t>https://www.savarsitynewz.co.za/2026/07/29/from-screen-to-salon-lerato-nxumalo-launches-luxury-beauty-destination-by-lovely-suites/</t>
        </is>
      </c>
      <c r="D58" s="2" t="inlineStr">
        <is>
          <t>2026-09-26</t>
        </is>
      </c>
    </row>
    <row r="59">
      <c r="A59" s="2" t="inlineStr">
        <is>
          <t>Lerato Nxumalo</t>
        </is>
      </c>
      <c r="B59" s="2" t="inlineStr">
        <is>
          <t>Wikipedia says she founded By Lovely Suites in Midrand in July 2026, as her first physical shop.</t>
        </is>
      </c>
      <c r="C59" s="2" t="inlineStr">
        <is>
          <t>https://en.wikipedia.org/wiki/Lerato_Nxumalo</t>
        </is>
      </c>
      <c r="D59" s="2" t="inlineStr">
        <is>
          <t>2026-09-26</t>
        </is>
      </c>
    </row>
    <row r="60">
      <c r="A60" s="2" t="inlineStr">
        <is>
          <t>Giftedhands Salon SA</t>
        </is>
      </c>
      <c r="B60" s="2" t="inlineStr">
        <is>
          <t>The Instagram bio reads 'Luxury Knotless Braids &amp; Protective Styles' and lists Centurion, Fourways and Housecalls.</t>
        </is>
      </c>
      <c r="C60" s="2" t="inlineStr">
        <is>
          <t>https://www.instagram.com/giftedhandssalonsa/</t>
        </is>
      </c>
      <c r="D60" s="2" t="inlineStr">
        <is>
          <t>2026-09-26</t>
        </is>
      </c>
    </row>
    <row r="61">
      <c r="A61" s="2" t="inlineStr">
        <is>
          <t>Giftedhands Salon SA</t>
        </is>
      </c>
      <c r="B61" s="2" t="inlineStr">
        <is>
          <t>The Instagram bio links to an online booking page at take.app/giftedhandssalonsa.</t>
        </is>
      </c>
      <c r="C61" s="2" t="inlineStr">
        <is>
          <t>https://www.instagram.com/giftedhandssalonsa/</t>
        </is>
      </c>
      <c r="D61" s="2" t="inlineStr">
        <is>
          <t>2026-09-26</t>
        </is>
      </c>
    </row>
    <row r="62">
      <c r="A62" s="2" t="inlineStr">
        <is>
          <t>Giftedhands Salon SA</t>
        </is>
      </c>
      <c r="B62" s="2" t="inlineStr">
        <is>
          <t>The Take App booking page is titled 'Home of No Pain Braiding' and has sections for Hair Wash, Braids, Kids Braids, a Nails Pricelist and Memberships.</t>
        </is>
      </c>
      <c r="C62" s="2" t="inlineStr">
        <is>
          <t>https://take.app/giftedhandssalonsa</t>
        </is>
      </c>
      <c r="D62" s="2" t="inlineStr">
        <is>
          <t>2026-09-26</t>
        </is>
      </c>
    </row>
    <row r="63">
      <c r="A63" s="2" t="inlineStr">
        <is>
          <t>Giftedhands Salon SA</t>
        </is>
      </c>
      <c r="B63" s="2" t="inlineStr">
        <is>
          <t>On the booking page, braids are listed from R450 to R2,400 depending on length and hair type, and nail services from R140 (French feet) upward.</t>
        </is>
      </c>
      <c r="C63" s="2" t="inlineStr">
        <is>
          <t>https://take.app/giftedhandssalonsa</t>
        </is>
      </c>
      <c r="D63" s="2" t="inlineStr">
        <is>
          <t>2026-09-26</t>
        </is>
      </c>
    </row>
    <row r="64">
      <c r="A64" s="2" t="inlineStr">
        <is>
          <t>Giftedhands Salon SA</t>
        </is>
      </c>
      <c r="B64" s="2" t="inlineStr">
        <is>
          <t>The booking page lists a physical address in Zwartkop (0157), Pretoria.</t>
        </is>
      </c>
      <c r="C64" s="2" t="inlineStr">
        <is>
          <t>https://take.app/giftedhandssalonsa</t>
        </is>
      </c>
      <c r="D64" s="2" t="inlineStr">
        <is>
          <t>2026-09-26</t>
        </is>
      </c>
    </row>
    <row r="65">
      <c r="A65" s="2" t="inlineStr">
        <is>
          <t>Giftedhands Salon SA</t>
        </is>
      </c>
      <c r="B65" s="2" t="inlineStr">
        <is>
          <t>A third-party mobile-stylist directory (Homesalon) says Giftedhands Salon SA is a team of mobile stylists working the Pretoria and Centurion area, lists Midrand among its areas, and says to call or WhatsApp to book.</t>
        </is>
      </c>
      <c r="C65" s="2" t="inlineStr">
        <is>
          <t>https://homesalon.co.za/mobile-stylist/giftedhands-salon-sa/</t>
        </is>
      </c>
      <c r="D65" s="2" t="inlineStr">
        <is>
          <t>2026-09-26</t>
        </is>
      </c>
    </row>
    <row r="66">
      <c r="A66" s="2" t="inlineStr">
        <is>
          <t>Giftedhands Salon SA</t>
        </is>
      </c>
      <c r="B66" s="2" t="inlineStr">
        <is>
          <t>The same directory listing has a review form that asks clients to rate communication, quality, time (was the person on time) and price.</t>
        </is>
      </c>
      <c r="C66" s="2" t="inlineStr">
        <is>
          <t>https://homesalon.co.za/mobile-stylist/giftedhands-salon-sa/</t>
        </is>
      </c>
      <c r="D66" s="2" t="inlineStr">
        <is>
          <t>2026-09-26</t>
        </is>
      </c>
    </row>
    <row r="67">
      <c r="A67" s="2" t="inlineStr">
        <is>
          <t>Giftedhands Salon SA</t>
        </is>
      </c>
      <c r="B67" s="2" t="inlineStr">
        <is>
          <t>The Instagram account shows video posts dated 22 to 26 September 2026, so it is active this month.</t>
        </is>
      </c>
      <c r="C67" s="2" t="inlineStr">
        <is>
          <t>https://www.instagram.com/giftedhandssalonsa/</t>
        </is>
      </c>
      <c r="D67" s="2" t="inlineStr">
        <is>
          <t>2026-09-26</t>
        </is>
      </c>
    </row>
    <row r="68">
      <c r="A68" s="2" t="inlineStr">
        <is>
          <t>Fifi's Kotas</t>
        </is>
      </c>
      <c r="B68" s="2" t="inlineStr">
        <is>
          <t>The business's own website lists a single address: 6696 Sontonga Road, Palmridge, Katlehong.</t>
        </is>
      </c>
      <c r="C68" s="2" t="inlineStr">
        <is>
          <t>https://fifiskotas.netlify.app/</t>
        </is>
      </c>
      <c r="D68" s="2" t="inlineStr">
        <is>
          <t>2026-09-26</t>
        </is>
      </c>
    </row>
    <row r="69">
      <c r="A69" s="2" t="inlineStr">
        <is>
          <t>Fifi's Kotas</t>
        </is>
      </c>
      <c r="B69" s="2" t="inlineStr">
        <is>
          <t>The website says customers should place orders directly on WhatsApp, and it links to a WhatsApp chat with a pre-typed 'I'd like to place an order' message.</t>
        </is>
      </c>
      <c r="C69" s="2" t="inlineStr">
        <is>
          <t>https://fifiskotas.netlify.app/</t>
        </is>
      </c>
      <c r="D69" s="2" t="inlineStr">
        <is>
          <t>2026-09-26</t>
        </is>
      </c>
    </row>
    <row r="70">
      <c r="A70" s="2" t="inlineStr">
        <is>
          <t>Fifi's Kotas</t>
        </is>
      </c>
      <c r="B70" s="2" t="inlineStr">
        <is>
          <t>The website lists kotas, dagwoods, burgers, fried chips and drinks, described as made fresh to order.</t>
        </is>
      </c>
      <c r="C70" s="2" t="inlineStr">
        <is>
          <t>https://fifiskotas.netlify.app/</t>
        </is>
      </c>
      <c r="D70" s="2" t="inlineStr">
        <is>
          <t>2026-09-26</t>
        </is>
      </c>
    </row>
    <row r="71">
      <c r="A71" s="2" t="inlineStr">
        <is>
          <t>Fifi's Kotas</t>
        </is>
      </c>
      <c r="B71" s="2" t="inlineStr">
        <is>
          <t>The website does not show prices for the menu items.</t>
        </is>
      </c>
      <c r="C71" s="2" t="inlineStr">
        <is>
          <t>https://fifiskotas.netlify.app/</t>
        </is>
      </c>
      <c r="D71" s="2" t="inlineStr">
        <is>
          <t>2026-09-26</t>
        </is>
      </c>
    </row>
    <row r="72">
      <c r="A72" s="2" t="inlineStr">
        <is>
          <t>Fifi's Kotas</t>
        </is>
      </c>
      <c r="B72" s="2" t="inlineStr">
        <is>
          <t>The website lists a WhatsApp/phone number and links to Facebook, Instagram (@fifiskotas) and TikTok (@fifiskotas) accounts.</t>
        </is>
      </c>
      <c r="C72" s="2" t="inlineStr">
        <is>
          <t>https://fifiskotas.netlify.app/</t>
        </is>
      </c>
      <c r="D72" s="2" t="inlineStr">
        <is>
          <t>2026-09-26</t>
        </is>
      </c>
    </row>
    <row r="73">
      <c r="A73" s="2" t="inlineStr">
        <is>
          <t>Fifi's Kotas</t>
        </is>
      </c>
      <c r="B73" s="2" t="inlineStr">
        <is>
          <t>The website's footer is dated 2025 and its logo is a placeholder image, so it looks like a very simple site.</t>
        </is>
      </c>
      <c r="C73" s="2" t="inlineStr">
        <is>
          <t>https://fifiskotas.netlify.app/</t>
        </is>
      </c>
      <c r="D73" s="2" t="inlineStr">
        <is>
          <t>2026-09-26</t>
        </is>
      </c>
    </row>
    <row r="74">
      <c r="A74" s="2" t="inlineStr">
        <is>
          <t>Fifi's Kotas</t>
        </is>
      </c>
      <c r="B74" s="2" t="inlineStr">
        <is>
          <t>The Instagram profile bio (read through a summariser, not raw text) describes fresh kotas, burgers, fries and drinks in Palmridge.</t>
        </is>
      </c>
      <c r="C74" s="2" t="inlineStr">
        <is>
          <t>https://www.instagram.com/fifiskotas/</t>
        </is>
      </c>
      <c r="D74" s="2" t="inlineStr">
        <is>
          <t>2026-09-26</t>
        </is>
      </c>
    </row>
    <row r="75">
      <c r="A75" s="2" t="inlineStr">
        <is>
          <t>Fifi's Kotas</t>
        </is>
      </c>
      <c r="B75" s="2" t="inlineStr">
        <is>
          <t>Instagram posts dated August to mid-September 2026 were visible (summariser-only), including a combo-price post and a 'closed for the day' post, which suggests the account is active.</t>
        </is>
      </c>
      <c r="C75" s="2" t="inlineStr">
        <is>
          <t>https://www.instagram.com/fifiskotas/</t>
        </is>
      </c>
      <c r="D75" s="2" t="inlineStr">
        <is>
          <t>2026-09-26</t>
        </is>
      </c>
    </row>
    <row r="76">
      <c r="A76" s="2" t="inlineStr">
        <is>
          <t>Baked by Nataleen</t>
        </is>
      </c>
      <c r="B76" s="2" t="inlineStr">
        <is>
          <t>The website presents the business as offering custom cakes, desserts, catering and confectionery courses.</t>
        </is>
      </c>
      <c r="C76" s="2" t="inlineStr">
        <is>
          <t>https://www.bakedbynataleen.co.za/</t>
        </is>
      </c>
      <c r="D76" s="2" t="inlineStr">
        <is>
          <t>2026-09-26</t>
        </is>
      </c>
    </row>
    <row r="77">
      <c r="A77" s="2" t="inlineStr">
        <is>
          <t>Baked by Nataleen</t>
        </is>
      </c>
      <c r="B77" s="2" t="inlineStr">
        <is>
          <t>The website's About text names Nataleen Vorster as the brainchild of the business and says she runs the kitchen; it says she first brought her baking skills to the Pioneer Museum's Boeremarket in 2009.</t>
        </is>
      </c>
      <c r="C77" s="2" t="inlineStr">
        <is>
          <t>https://www.bakedbynataleen.co.za/</t>
        </is>
      </c>
      <c r="D77" s="2" t="inlineStr">
        <is>
          <t>2026-09-26</t>
        </is>
      </c>
    </row>
    <row r="78">
      <c r="A78" s="2" t="inlineStr">
        <is>
          <t>Baked by Nataleen</t>
        </is>
      </c>
      <c r="B78" s="2" t="inlineStr">
        <is>
          <t>The website lists an online shop and cart, a contact form, a sales email address, a phone number and a WhatsApp link, and the address 135 Erich Mayer Street, Pretoria North.</t>
        </is>
      </c>
      <c r="C78" s="2" t="inlineStr">
        <is>
          <t>https://www.bakedbynataleen.co.za/</t>
        </is>
      </c>
      <c r="D78" s="2" t="inlineStr">
        <is>
          <t>2026-09-26</t>
        </is>
      </c>
    </row>
    <row r="79">
      <c r="A79" s="2" t="inlineStr">
        <is>
          <t>Baked by Nataleen</t>
        </is>
      </c>
      <c r="B79" s="2" t="inlineStr">
        <is>
          <t>The birthday cakes page says delivery is to Pretoria, Centurion, Pretoria East and elsewhere in Gauteng at a fee, and lists cakes and cupcakes priced from R180 up to R5,395.</t>
        </is>
      </c>
      <c r="C79" s="2" t="inlineStr">
        <is>
          <t>https://www.bakedbynataleen.co.za/cakes-for-sale/birthday-cakes/</t>
        </is>
      </c>
      <c r="D79" s="2" t="inlineStr">
        <is>
          <t>2026-09-26</t>
        </is>
      </c>
    </row>
    <row r="80">
      <c r="A80" s="2" t="inlineStr">
        <is>
          <t>Baked by Nataleen</t>
        </is>
      </c>
      <c r="B80" s="2" t="inlineStr">
        <is>
          <t>The contact page lists a sales email address, a phone number, a link to a contact form and the business address; its deposit wording (50% non-refundable) is in the class-booking terms.</t>
        </is>
      </c>
      <c r="C80" s="2" t="inlineStr">
        <is>
          <t>https://www.bakedbynataleen.co.za/contact-us/</t>
        </is>
      </c>
      <c r="D80" s="2" t="inlineStr">
        <is>
          <t>2026-09-26</t>
        </is>
      </c>
    </row>
    <row r="81">
      <c r="A81" s="2" t="inlineStr">
        <is>
          <t>Baked by Nataleen</t>
        </is>
      </c>
      <c r="B81" s="2" t="inlineStr">
        <is>
          <t>The Instagram bio (summariser-only) describes custom and themed cakes or cupcakes for birthday parties and special occasions, weekday opening hours, a WhatsApp/phone number, and links to the website and a Linktree.</t>
        </is>
      </c>
      <c r="C81" s="2" t="inlineStr">
        <is>
          <t>https://www.instagram.com/bakedbynataleen/</t>
        </is>
      </c>
      <c r="D81" s="2" t="inlineStr">
        <is>
          <t>2026-09-26</t>
        </is>
      </c>
    </row>
    <row r="82">
      <c r="A82" s="2" t="inlineStr">
        <is>
          <t>Baked by Nataleen</t>
        </is>
      </c>
      <c r="B82" s="2" t="inlineStr">
        <is>
          <t>Instagram (summariser-only) shows highlights for birthday, wedding and baby shower cakes, cupcakes, cakesicles and party combos, and posts dated up to 2026-09-25, with a September specials promotion.</t>
        </is>
      </c>
      <c r="C82" s="2" t="inlineStr">
        <is>
          <t>https://www.instagram.com/bakedbynataleen/</t>
        </is>
      </c>
      <c r="D82" s="2" t="inlineStr">
        <is>
          <t>2026-09-26</t>
        </is>
      </c>
    </row>
    <row r="83">
      <c r="A83" s="2" t="inlineStr">
        <is>
          <t>Classique Catering Creations</t>
        </is>
      </c>
      <c r="B83" s="2" t="inlineStr">
        <is>
          <t>The website describes Halaal-friendly catering for private functions, corporate events, weddings and family gatherings in Pretoria, Johannesburg and surrounding areas, including platters, savouries and daily home-cooked meals.</t>
        </is>
      </c>
      <c r="C83" s="2" t="inlineStr">
        <is>
          <t>https://classiquecatering.co.za/</t>
        </is>
      </c>
      <c r="D83" s="2" t="inlineStr">
        <is>
          <t>2026-09-26</t>
        </is>
      </c>
    </row>
    <row r="84">
      <c r="A84" s="2" t="inlineStr">
        <is>
          <t>Classique Catering Creations</t>
        </is>
      </c>
      <c r="B84" s="2" t="inlineStr">
        <is>
          <t>The website says orders for daily home-cooked meals should be placed at least two days in advance by WhatsApp or email, from one portion upward.</t>
        </is>
      </c>
      <c r="C84" s="2" t="inlineStr">
        <is>
          <t>https://classiquecatering.co.za/</t>
        </is>
      </c>
      <c r="D84" s="2" t="inlineStr">
        <is>
          <t>2026-09-26</t>
        </is>
      </c>
    </row>
    <row r="85">
      <c r="A85" s="2" t="inlineStr">
        <is>
          <t>Classique Catering Creations</t>
        </is>
      </c>
      <c r="B85" s="2" t="inlineStr">
        <is>
          <t>The website says customers can enquire through the website contact form, the request-a-quote page, phone, email or WhatsApp, and it carries a WhatsApp link with a pre-typed 'I would like to enquire about your catering services' message.</t>
        </is>
      </c>
      <c r="C85" s="2" t="inlineStr">
        <is>
          <t>https://classiquecatering.co.za/</t>
        </is>
      </c>
      <c r="D85" s="2" t="inlineStr">
        <is>
          <t>2026-09-26</t>
        </is>
      </c>
    </row>
    <row r="86">
      <c r="A86" s="2" t="inlineStr">
        <is>
          <t>Classique Catering Creations</t>
        </is>
      </c>
      <c r="B86" s="2" t="inlineStr">
        <is>
          <t>The website says an order is confirmed once full payment reflects in the bank account, and that proof of payment alone does not confirm it.</t>
        </is>
      </c>
      <c r="C86" s="2" t="inlineStr">
        <is>
          <t>https://classiquecatering.co.za/</t>
        </is>
      </c>
      <c r="D86" s="2" t="inlineStr">
        <is>
          <t>2026-09-26</t>
        </is>
      </c>
    </row>
    <row r="87">
      <c r="A87" s="2" t="inlineStr">
        <is>
          <t>Classique Catering Creations</t>
        </is>
      </c>
      <c r="B87" s="2" t="inlineStr">
        <is>
          <t>The Platters page lists prices, for example a sandwich platter at R550 and a cheese and cracker platter at R850 (large); the Savouries page lists the range (samoosas, pies, pizzas, kebabs and more) without prices.</t>
        </is>
      </c>
      <c r="C87" s="2" t="inlineStr">
        <is>
          <t>https://classiquecatering.co.za/platters/</t>
        </is>
      </c>
      <c r="D87" s="2" t="inlineStr">
        <is>
          <t>2026-09-26</t>
        </is>
      </c>
    </row>
    <row r="88">
      <c r="A88" s="2" t="inlineStr">
        <is>
          <t>Classique Catering Creations</t>
        </is>
      </c>
      <c r="B88" s="2" t="inlineStr">
        <is>
          <t>The request-a-quote form asks for the items required, number of guests, date needed, whether delivery is needed, the location and a description of the order.</t>
        </is>
      </c>
      <c r="C88" s="2" t="inlineStr">
        <is>
          <t>https://classiquecatering.co.za/request-a-quote/</t>
        </is>
      </c>
      <c r="D88" s="2" t="inlineStr">
        <is>
          <t>2026-09-26</t>
        </is>
      </c>
    </row>
    <row r="89">
      <c r="A89" s="2" t="inlineStr">
        <is>
          <t>Classique Catering Creations</t>
        </is>
      </c>
      <c r="B89" s="2" t="inlineStr">
        <is>
          <t>The Contact page lists a business address in Laudium, Pretoria, an email address, two mobile numbers and an enquiry form with an 'Order Enquiry' option.</t>
        </is>
      </c>
      <c r="C89" s="2" t="inlineStr">
        <is>
          <t>https://classiquecatering.co.za/contact-us/</t>
        </is>
      </c>
      <c r="D89" s="2" t="inlineStr">
        <is>
          <t>2026-09-26</t>
        </is>
      </c>
    </row>
    <row r="90">
      <c r="A90" s="2" t="inlineStr">
        <is>
          <t>Classique Catering Creations</t>
        </is>
      </c>
      <c r="B90" s="2" t="inlineStr">
        <is>
          <t>The blog shows posts dated 10 August 2026 and 10 September 2026, for example 'What Food Should You Serve at a Corporate Event?'.</t>
        </is>
      </c>
      <c r="C90" s="2" t="inlineStr">
        <is>
          <t>https://classiquecatering.co.za/blog/</t>
        </is>
      </c>
      <c r="D90" s="2" t="inlineStr">
        <is>
          <t>2026-09-26</t>
        </is>
      </c>
    </row>
    <row r="91">
      <c r="A91" s="2" t="inlineStr">
        <is>
          <t>Classique Catering Creations</t>
        </is>
      </c>
      <c r="B91" s="2" t="inlineStr">
        <is>
          <t>The FAQ says repeat catering orders, once-off orders and food-only orders can all be arranged, and that a booking is secured once the quote is approved and the required payment is made.</t>
        </is>
      </c>
      <c r="C91" s="2" t="inlineStr">
        <is>
          <t>https://classiquecatering.co.za/faq/</t>
        </is>
      </c>
      <c r="D91" s="2" t="inlineStr">
        <is>
          <t>2026-09-26</t>
        </is>
      </c>
    </row>
    <row r="92">
      <c r="A92" s="2" t="inlineStr">
        <is>
          <t>Milk Marketing</t>
        </is>
      </c>
      <c r="B92" s="2" t="inlineStr">
        <is>
          <t>Describes itself as a strategy-led digital marketing agency based in Pretoria.</t>
        </is>
      </c>
      <c r="C92" s="2" t="inlineStr">
        <is>
          <t>https://milkmarketing.co.za/</t>
        </is>
      </c>
      <c r="D92" s="2" t="inlineStr">
        <is>
          <t>2026-09-26</t>
        </is>
      </c>
    </row>
    <row r="93">
      <c r="A93" s="2" t="inlineStr">
        <is>
          <t>Milk Marketing</t>
        </is>
      </c>
      <c r="B93" s="2" t="inlineStr">
        <is>
          <t>Lists social media marketing and content creation, web design and development, brand strategy and logo design, email marketing and paid ads (Google, Facebook, Instagram) as services.</t>
        </is>
      </c>
      <c r="C93" s="2" t="inlineStr">
        <is>
          <t>https://milkmarketing.co.za/</t>
        </is>
      </c>
      <c r="D93" s="2" t="inlineStr">
        <is>
          <t>2026-09-26</t>
        </is>
      </c>
    </row>
    <row r="94">
      <c r="A94" s="2" t="inlineStr">
        <is>
          <t>Milk Marketing</t>
        </is>
      </c>
      <c r="B94" s="2" t="inlineStr">
        <is>
          <t>Names Annabelle as Founder and Marketing Director on its website.</t>
        </is>
      </c>
      <c r="C94" s="2" t="inlineStr">
        <is>
          <t>https://milkmarketing.co.za/</t>
        </is>
      </c>
      <c r="D94" s="2" t="inlineStr">
        <is>
          <t>2026-09-26</t>
        </is>
      </c>
    </row>
    <row r="95">
      <c r="A95" s="2" t="inlineStr">
        <is>
          <t>Milk Marketing</t>
        </is>
      </c>
      <c r="B95" s="2" t="inlineStr">
        <is>
          <t>Introduces a team of seven people by first name and role on its homepage: a founder, a marketing manager, four digital marketing specialists and a web developer.</t>
        </is>
      </c>
      <c r="C95" s="2" t="inlineStr">
        <is>
          <t>https://milkmarketing.co.za/</t>
        </is>
      </c>
      <c r="D95" s="2" t="inlineStr">
        <is>
          <t>2026-09-26</t>
        </is>
      </c>
    </row>
    <row r="96">
      <c r="A96" s="2" t="inlineStr">
        <is>
          <t>Milk Marketing</t>
        </is>
      </c>
      <c r="B96" s="2" t="inlineStr">
        <is>
          <t>Its contact page publishes an email address, a phone number, a contact form and an address in Waterkloof Heights, Pretoria.</t>
        </is>
      </c>
      <c r="C96" s="2" t="inlineStr">
        <is>
          <t>https://milkmarketing.co.za/contact/</t>
        </is>
      </c>
      <c r="D96" s="2" t="inlineStr">
        <is>
          <t>2026-09-26</t>
        </is>
      </c>
    </row>
    <row r="97">
      <c r="A97" s="2" t="inlineStr">
        <is>
          <t>Milk Marketing</t>
        </is>
      </c>
      <c r="B97" s="2" t="inlineStr">
        <is>
          <t>Its homepage embeds a feed of recent Instagram posts, one of which begins 'WE'RE HIRING'.</t>
        </is>
      </c>
      <c r="C97" s="2" t="inlineStr">
        <is>
          <t>https://milkmarketing.co.za/</t>
        </is>
      </c>
      <c r="D97" s="2" t="inlineStr">
        <is>
          <t>2026-09-26</t>
        </is>
      </c>
    </row>
    <row r="98">
      <c r="A98" s="2" t="inlineStr">
        <is>
          <t>Milk Marketing</t>
        </is>
      </c>
      <c r="B98" s="2" t="inlineStr">
        <is>
          <t>Links to Instagram, Facebook and LinkedIn from its website, and the footer is dated 2026.</t>
        </is>
      </c>
      <c r="C98" s="2" t="inlineStr">
        <is>
          <t>https://milkmarketing.co.za/</t>
        </is>
      </c>
      <c r="D98" s="2" t="inlineStr">
        <is>
          <t>2026-09-26</t>
        </is>
      </c>
    </row>
    <row r="99">
      <c r="A99" s="2" t="inlineStr">
        <is>
          <t>Milk Marketing</t>
        </is>
      </c>
      <c r="B99" s="2" t="inlineStr">
        <is>
          <t>Its Our Story page says it works with businesses across Pretoria and South Africa.</t>
        </is>
      </c>
      <c r="C99" s="2" t="inlineStr">
        <is>
          <t>https://milkmarketing.co.za/our-story/</t>
        </is>
      </c>
      <c r="D99" s="2" t="inlineStr">
        <is>
          <t>2026-09-26</t>
        </is>
      </c>
    </row>
    <row r="100">
      <c r="A100" s="2" t="inlineStr">
        <is>
          <t>SOWETO SP National Digital Marketing</t>
        </is>
      </c>
      <c r="B100" s="2" t="inlineStr">
        <is>
          <t>Describes itself as a digital marketing agency that combines marketing with cybersecurity, under a 'Secure Growth' model.</t>
        </is>
      </c>
      <c r="C100" s="2" t="inlineStr">
        <is>
          <t>https://www.sowetosp.co.za/</t>
        </is>
      </c>
      <c r="D100" s="2" t="inlineStr">
        <is>
          <t>2026-09-26</t>
        </is>
      </c>
    </row>
    <row r="101">
      <c r="A101" s="2" t="inlineStr">
        <is>
          <t>SOWETO SP National Digital Marketing</t>
        </is>
      </c>
      <c r="B101" s="2" t="inlineStr">
        <is>
          <t>Names Lebogang Mlangeni as CEO and founder and gives 2016 as the founding year; its about page says cybersecurity was added to its services in 2023.</t>
        </is>
      </c>
      <c r="C101" s="2" t="inlineStr">
        <is>
          <t>https://www.sowetosp.co.za/about/</t>
        </is>
      </c>
      <c r="D101" s="2" t="inlineStr">
        <is>
          <t>2026-09-26</t>
        </is>
      </c>
    </row>
    <row r="102">
      <c r="A102" s="2" t="inlineStr">
        <is>
          <t>SOWETO SP National Digital Marketing</t>
        </is>
      </c>
      <c r="B102" s="2" t="inlineStr">
        <is>
          <t>Lists social media marketing, Google Ads and PPC, SEO, web design and development, content marketing, email marketing and brand strategy among its digital marketing services.</t>
        </is>
      </c>
      <c r="C102" s="2" t="inlineStr">
        <is>
          <t>https://www.sowetosp.co.za/services/</t>
        </is>
      </c>
      <c r="D102" s="2" t="inlineStr">
        <is>
          <t>2026-09-26</t>
        </is>
      </c>
    </row>
    <row r="103">
      <c r="A103" s="2" t="inlineStr">
        <is>
          <t>SOWETO SP National Digital Marketing</t>
        </is>
      </c>
      <c r="B103" s="2" t="inlineStr">
        <is>
          <t>Its contact page gives an address at 104b Vincent Road, Zone 2, Meadowlands, Johannesburg and business hours of Monday to Friday, 9AM to 6PM.</t>
        </is>
      </c>
      <c r="C103" s="2" t="inlineStr">
        <is>
          <t>https://www.sowetosp.co.za/contact/</t>
        </is>
      </c>
      <c r="D103" s="2" t="inlineStr">
        <is>
          <t>2026-09-26</t>
        </is>
      </c>
    </row>
    <row r="104">
      <c r="A104" s="2" t="inlineStr">
        <is>
          <t>SOWETO SP National Digital Marketing</t>
        </is>
      </c>
      <c r="B104" s="2" t="inlineStr">
        <is>
          <t>Its contact page publishes an email address, a phone number and a contact form (name, phone, email, message); the site also has a WhatsApp link.</t>
        </is>
      </c>
      <c r="C104" s="2" t="inlineStr">
        <is>
          <t>https://www.sowetosp.co.za/contact/</t>
        </is>
      </c>
      <c r="D104" s="2" t="inlineStr">
        <is>
          <t>2026-09-26</t>
        </is>
      </c>
    </row>
    <row r="105">
      <c r="A105" s="2" t="inlineStr">
        <is>
          <t>SOWETO SP National Digital Marketing</t>
        </is>
      </c>
      <c r="B105" s="2" t="inlineStr">
        <is>
          <t>Links to Instagram, Twitter, Facebook and the CEO's LinkedIn from its website.</t>
        </is>
      </c>
      <c r="C105" s="2" t="inlineStr">
        <is>
          <t>https://www.sowetosp.co.za/</t>
        </is>
      </c>
      <c r="D105" s="2" t="inlineStr">
        <is>
          <t>2026-09-26</t>
        </is>
      </c>
    </row>
    <row r="106">
      <c r="A106" s="2" t="inlineStr">
        <is>
          <t>SOWETO SP National Digital Marketing</t>
        </is>
      </c>
      <c r="B106" s="2" t="inlineStr">
        <is>
          <t>Its about page lists three team members by name and role (CEO, Art Director, Digital Consultant) and lists 'Affordable Packages for SMEs' among its reasons to choose it.</t>
        </is>
      </c>
      <c r="C106" s="2" t="inlineStr">
        <is>
          <t>https://www.sowetosp.co.za/about/</t>
        </is>
      </c>
      <c r="D106" s="2" t="inlineStr">
        <is>
          <t>2026-09-26</t>
        </is>
      </c>
    </row>
    <row r="107">
      <c r="A107" s="2" t="inlineStr">
        <is>
          <t>SOWETO SP National Digital Marketing</t>
        </is>
      </c>
      <c r="B107" s="2" t="inlineStr">
        <is>
          <t>Its clients page shows three client testimonials, from named individuals, and no prices are published on the pages opened.</t>
        </is>
      </c>
      <c r="C107" s="2" t="inlineStr">
        <is>
          <t>https://www.sowetosp.co.za/clients/</t>
        </is>
      </c>
      <c r="D107" s="2" t="inlineStr">
        <is>
          <t>2026-09-26</t>
        </is>
      </c>
    </row>
    <row r="108">
      <c r="A108" s="2" t="inlineStr">
        <is>
          <t>Digital Photography Courses (DPC)</t>
        </is>
      </c>
      <c r="B108" s="2" t="inlineStr">
        <is>
          <t>The About page says DPC was founded in 2010 by photographer Danie Bester, who is listed as Programme Director.</t>
        </is>
      </c>
      <c r="C108" s="2" t="inlineStr">
        <is>
          <t>https://digitalphotographycourses.co.za/about/</t>
        </is>
      </c>
      <c r="D108" s="2" t="inlineStr">
        <is>
          <t>2026-09-26</t>
        </is>
      </c>
    </row>
    <row r="109">
      <c r="A109" s="2" t="inlineStr">
        <is>
          <t>Digital Photography Courses (DPC)</t>
        </is>
      </c>
      <c r="B109" s="2" t="inlineStr">
        <is>
          <t>Says it offers more than sixteen programmes and almost sixty face-to-face and online courses a year in and around Johannesburg and Pretoria, in small groups.</t>
        </is>
      </c>
      <c r="C109" s="2" t="inlineStr">
        <is>
          <t>https://digitalphotographycourses.co.za/</t>
        </is>
      </c>
      <c r="D109" s="2" t="inlineStr">
        <is>
          <t>2026-09-26</t>
        </is>
      </c>
    </row>
    <row r="110">
      <c r="A110" s="2" t="inlineStr">
        <is>
          <t>Digital Photography Courses (DPC)</t>
        </is>
      </c>
      <c r="B110" s="2" t="inlineStr">
        <is>
          <t>The Basic Photography Course page lists R4 900 per person, R4 100 per person for couples or friends, over five weeks with five evening Zoom classes and weekend practical shoots.</t>
        </is>
      </c>
      <c r="C110" s="2" t="inlineStr">
        <is>
          <t>https://digitalphotographycourses.co.za/basic-photography-courses/</t>
        </is>
      </c>
      <c r="D110" s="2" t="inlineStr">
        <is>
          <t>2026-09-26</t>
        </is>
      </c>
    </row>
    <row r="111">
      <c r="A111" s="2" t="inlineStr">
        <is>
          <t>Digital Photography Courses (DPC)</t>
        </is>
      </c>
      <c r="B111" s="2" t="inlineStr">
        <is>
          <t>That page lists a course running 06 Oct to 03 Nov 2026 with a 'Register Here' button, and its page timestamp is 3 September 2026.</t>
        </is>
      </c>
      <c r="C111" s="2" t="inlineStr">
        <is>
          <t>https://digitalphotographycourses.co.za/basic-photography-courses/</t>
        </is>
      </c>
      <c r="D111" s="2" t="inlineStr">
        <is>
          <t>2026-09-26</t>
        </is>
      </c>
    </row>
    <row r="112">
      <c r="A112" s="2" t="inlineStr">
        <is>
          <t>Digital Photography Courses (DPC)</t>
        </is>
      </c>
      <c r="B112" s="2" t="inlineStr">
        <is>
          <t>Tells students with questions to send an email or a WhatsApp, or speak to the Programme Director in office hours, and says new course dates are added throughout the year.</t>
        </is>
      </c>
      <c r="C112" s="2" t="inlineStr">
        <is>
          <t>https://digitalphotographycourses.co.za/basic-photography-courses/</t>
        </is>
      </c>
      <c r="D112" s="2" t="inlineStr">
        <is>
          <t>2026-09-26</t>
        </is>
      </c>
    </row>
    <row r="113">
      <c r="A113" s="2" t="inlineStr">
        <is>
          <t>Digital Photography Courses (DPC)</t>
        </is>
      </c>
      <c r="B113" s="2" t="inlineStr">
        <is>
          <t>The page invites people whose dates do not work to 'let us know' so they can be kept updated on future courses.</t>
        </is>
      </c>
      <c r="C113" s="2" t="inlineStr">
        <is>
          <t>https://digitalphotographycourses.co.za/basic-photography-courses/</t>
        </is>
      </c>
      <c r="D113" s="2" t="inlineStr">
        <is>
          <t>2026-09-26</t>
        </is>
      </c>
    </row>
    <row r="114">
      <c r="A114" s="2" t="inlineStr">
        <is>
          <t>Digital Photography Courses (DPC)</t>
        </is>
      </c>
      <c r="B114" s="2" t="inlineStr">
        <is>
          <t>The contact page has an enquiry form, a business email, a WhatsApp number and weekday hours of 09:00 to 16:00.</t>
        </is>
      </c>
      <c r="C114" s="2" t="inlineStr">
        <is>
          <t>https://digitalphotographycourses.co.za/contact/</t>
        </is>
      </c>
      <c r="D114" s="2" t="inlineStr">
        <is>
          <t>2026-09-26</t>
        </is>
      </c>
    </row>
    <row r="115">
      <c r="A115" s="2" t="inlineStr">
        <is>
          <t>Digital Photography Courses (DPC)</t>
        </is>
      </c>
      <c r="B115" s="2" t="inlineStr">
        <is>
          <t>The About page lists a small team (Danie Bester and John Fox) and describes an online student community with discussions and photo critiques.</t>
        </is>
      </c>
      <c r="C115" s="2" t="inlineStr">
        <is>
          <t>https://digitalphotographycourses.co.za/about/</t>
        </is>
      </c>
      <c r="D115" s="2" t="inlineStr">
        <is>
          <t>2026-09-26</t>
        </is>
      </c>
    </row>
    <row r="116">
      <c r="A116" s="2" t="inlineStr">
        <is>
          <t>Digital Photography Courses (DPC)</t>
        </is>
      </c>
      <c r="B116" s="2" t="inlineStr">
        <is>
          <t>The About page was last updated on 31 July 2026 per its page timestamp, and the site footer shows a 2026 copyright.</t>
        </is>
      </c>
      <c r="C116" s="2" t="inlineStr">
        <is>
          <t>https://digitalphotographycourses.co.za/about/</t>
        </is>
      </c>
      <c r="D116" s="2" t="inlineStr">
        <is>
          <t>2026-09-26</t>
        </is>
      </c>
    </row>
    <row r="117">
      <c r="A117" s="2" t="inlineStr">
        <is>
          <t>Juicy Designs</t>
        </is>
      </c>
      <c r="B117" s="2" t="inlineStr">
        <is>
          <t>Describes itself as a founder-led digital marketing agency in Pretoria, established in 2015 by Cobus van der Westhuizen and Wynand van der Westhuizen.</t>
        </is>
      </c>
      <c r="C117" s="2" t="inlineStr">
        <is>
          <t>https://www.juicydesigns.co.za/about/</t>
        </is>
      </c>
      <c r="D117" s="2" t="inlineStr">
        <is>
          <t>2026-09-26</t>
        </is>
      </c>
    </row>
    <row r="118">
      <c r="A118" s="2" t="inlineStr">
        <is>
          <t>Juicy Designs</t>
        </is>
      </c>
      <c r="B118" s="2" t="inlineStr">
        <is>
          <t>Says clients work directly with the founders, with no account managers.</t>
        </is>
      </c>
      <c r="C118" s="2" t="inlineStr">
        <is>
          <t>https://www.juicydesigns.co.za/</t>
        </is>
      </c>
      <c r="D118" s="2" t="inlineStr">
        <is>
          <t>2026-09-26</t>
        </is>
      </c>
    </row>
    <row r="119">
      <c r="A119" s="2" t="inlineStr">
        <is>
          <t>Juicy Designs</t>
        </is>
      </c>
      <c r="B119" s="2" t="inlineStr">
        <is>
          <t>Its Bizcommunity company profile lists 6 employees.</t>
        </is>
      </c>
      <c r="C119" s="2" t="inlineStr">
        <is>
          <t>https://www.bizcommunity.com/Company/JuicyDesigns</t>
        </is>
      </c>
      <c r="D119" s="2" t="inlineStr">
        <is>
          <t>2026-09-26</t>
        </is>
      </c>
    </row>
    <row r="120">
      <c r="A120" s="2" t="inlineStr">
        <is>
          <t>Juicy Designs</t>
        </is>
      </c>
      <c r="B120" s="2" t="inlineStr">
        <is>
          <t>Lists a wide range of services on its own site: SEO and AI-search work, Google Ads, Meta and other social advertising, social media management and content, email and SMS marketing, influencer work, PR, web design, branding, graphic design and printing.</t>
        </is>
      </c>
      <c r="C120" s="2" t="inlineStr">
        <is>
          <t>https://www.juicydesigns.co.za/</t>
        </is>
      </c>
      <c r="D120" s="2" t="inlineStr">
        <is>
          <t>2026-09-26</t>
        </is>
      </c>
    </row>
    <row r="121">
      <c r="A121" s="2" t="inlineStr">
        <is>
          <t>Juicy Designs</t>
        </is>
      </c>
      <c r="B121" s="2" t="inlineStr">
        <is>
          <t>Publishes 'from' prices on its own site: social media management from R6,000 a month and Google Ads management from R6,000 a month (ad spend separate); its homepage says packages start from R5,000 a month.</t>
        </is>
      </c>
      <c r="C121" s="2" t="inlineStr">
        <is>
          <t>https://www.juicydesigns.co.za/</t>
        </is>
      </c>
      <c r="D121" s="2" t="inlineStr">
        <is>
          <t>2026-09-26</t>
        </is>
      </c>
    </row>
    <row r="122">
      <c r="A122" s="2" t="inlineStr">
        <is>
          <t>Juicy Designs</t>
        </is>
      </c>
      <c r="B122" s="2" t="inlineStr">
        <is>
          <t>Its homepage describes Cobus as Google Ads Certified and Wynand as a Meta Business Partner.</t>
        </is>
      </c>
      <c r="C122" s="2" t="inlineStr">
        <is>
          <t>https://www.juicydesigns.co.za/</t>
        </is>
      </c>
      <c r="D122" s="2" t="inlineStr">
        <is>
          <t>2026-09-26</t>
        </is>
      </c>
    </row>
    <row r="123">
      <c r="A123" s="2" t="inlineStr">
        <is>
          <t>Juicy Designs</t>
        </is>
      </c>
      <c r="B123" s="2" t="inlineStr">
        <is>
          <t>States that it has served more than 64 clients since 2015.</t>
        </is>
      </c>
      <c r="C123" s="2" t="inlineStr">
        <is>
          <t>https://www.juicydesigns.co.za/</t>
        </is>
      </c>
      <c r="D123" s="2" t="inlineStr">
        <is>
          <t>2026-09-26</t>
        </is>
      </c>
    </row>
    <row r="124">
      <c r="A124" s="2" t="inlineStr">
        <is>
          <t>Juicy Designs</t>
        </is>
      </c>
      <c r="B124" s="2" t="inlineStr">
        <is>
          <t>Its homepage publishes an email address, a phone number and a WhatsApp link.</t>
        </is>
      </c>
      <c r="C124" s="2" t="inlineStr">
        <is>
          <t>https://www.juicydesigns.co.za/</t>
        </is>
      </c>
      <c r="D124" s="2" t="inlineStr">
        <is>
          <t>2026-09-26</t>
        </is>
      </c>
    </row>
    <row r="125">
      <c r="A125" s="2" t="inlineStr">
        <is>
          <t>Juicy Designs</t>
        </is>
      </c>
      <c r="B125" s="2" t="inlineStr">
        <is>
          <t>Links to Facebook, Instagram, LinkedIn, X and TikTok from its website.</t>
        </is>
      </c>
      <c r="C125" s="2" t="inlineStr">
        <is>
          <t>https://www.juicydesigns.co.za/</t>
        </is>
      </c>
      <c r="D125" s="2" t="inlineStr">
        <is>
          <t>2026-09-26</t>
        </is>
      </c>
    </row>
    <row r="126">
      <c r="A126" s="2" t="inlineStr">
        <is>
          <t>Khan's Butchery &amp; MexiKhano's</t>
        </is>
      </c>
      <c r="B126" s="2" t="inlineStr">
        <is>
          <t>The website describes a halaal, Muslim-owned butchery at Shop 10, NTN Centre, Lenasia South, open seven days a week, selling beef, lamb, chicken, boerewors and ready-to-cook products, with a MexiKhano's takeaway food brand inside the shop.</t>
        </is>
      </c>
      <c r="C126" s="2" t="inlineStr">
        <is>
          <t>https://khansbutchery.online/</t>
        </is>
      </c>
      <c r="D126" s="2" t="inlineStr">
        <is>
          <t>2026-09-26</t>
        </is>
      </c>
    </row>
    <row r="127">
      <c r="A127" s="2" t="inlineStr">
        <is>
          <t>Khan's Butchery &amp; MexiKhano's</t>
        </is>
      </c>
      <c r="B127" s="2" t="inlineStr">
        <is>
          <t>The About page calls it a family-owned halaal butchery whose team cuts and prepares meat in store.</t>
        </is>
      </c>
      <c r="C127" s="2" t="inlineStr">
        <is>
          <t>https://khansbutchery.online/about</t>
        </is>
      </c>
      <c r="D127" s="2" t="inlineStr">
        <is>
          <t>2026-09-26</t>
        </is>
      </c>
    </row>
    <row r="128">
      <c r="A128" s="2" t="inlineStr">
        <is>
          <t>Khan's Butchery &amp; MexiKhano's</t>
        </is>
      </c>
      <c r="B128" s="2" t="inlineStr">
        <is>
          <t>The homepage has 'Order on WhatsApp' buttons and lists a WhatsApp number and a landline; it says customers can order online in a few taps or WhatsApp if they prefer.</t>
        </is>
      </c>
      <c r="C128" s="2" t="inlineStr">
        <is>
          <t>https://khansbutchery.online/</t>
        </is>
      </c>
      <c r="D128" s="2" t="inlineStr">
        <is>
          <t>2026-09-26</t>
        </is>
      </c>
    </row>
    <row r="129">
      <c r="A129" s="2" t="inlineStr">
        <is>
          <t>Khan's Butchery &amp; MexiKhano's</t>
        </is>
      </c>
      <c r="B129" s="2" t="inlineStr">
        <is>
          <t>The Specials page does not list meat specials; it says to WhatsApp for today's specials and prices, and it lists a few MexiKhano's combo prices.</t>
        </is>
      </c>
      <c r="C129" s="2" t="inlineStr">
        <is>
          <t>https://khansbutchery.online/specials</t>
        </is>
      </c>
      <c r="D129" s="2" t="inlineStr">
        <is>
          <t>2026-09-26</t>
        </is>
      </c>
    </row>
    <row r="130">
      <c r="A130" s="2" t="inlineStr">
        <is>
          <t>Khan's Butchery &amp; MexiKhano's</t>
        </is>
      </c>
      <c r="B130" s="2" t="inlineStr">
        <is>
          <t>The FAQ says new specials are posted every Wednesday on TikTok, Instagram and Facebook, and that customers can WhatsApp to be added to a specials broadcast list.</t>
        </is>
      </c>
      <c r="C130" s="2" t="inlineStr">
        <is>
          <t>https://khansbutchery.online/faq</t>
        </is>
      </c>
      <c r="D130" s="2" t="inlineStr">
        <is>
          <t>2026-09-26</t>
        </is>
      </c>
    </row>
    <row r="131">
      <c r="A131" s="2" t="inlineStr">
        <is>
          <t>Khan's Butchery &amp; MexiKhano's</t>
        </is>
      </c>
      <c r="B131" s="2" t="inlineStr">
        <is>
          <t>The FAQ says bulk orders and braai packs for events are available and customers should WhatsApp their requirements to get a quote; delivery orders are placed on WhatsApp for Lenasia South, Lenasia, Ennerdale and Zakariyya Park.</t>
        </is>
      </c>
      <c r="C131" s="2" t="inlineStr">
        <is>
          <t>https://khansbutchery.online/faq</t>
        </is>
      </c>
      <c r="D131" s="2" t="inlineStr">
        <is>
          <t>2026-09-26</t>
        </is>
      </c>
    </row>
    <row r="132">
      <c r="A132" s="2" t="inlineStr">
        <is>
          <t>Khan's Butchery &amp; MexiKhano's</t>
        </is>
      </c>
      <c r="B132" s="2" t="inlineStr">
        <is>
          <t>The braai calculator works out kilograms of meat for a braai and opens a WhatsApp message with the list pre-typed for a quote.</t>
        </is>
      </c>
      <c r="C132" s="2" t="inlineStr">
        <is>
          <t>https://khansbutchery.online/braai-calculator</t>
        </is>
      </c>
      <c r="D132" s="2" t="inlineStr">
        <is>
          <t>2026-09-26</t>
        </is>
      </c>
    </row>
    <row r="133">
      <c r="A133" s="2" t="inlineStr">
        <is>
          <t>Khan's Butchery &amp; MexiKhano's</t>
        </is>
      </c>
      <c r="B133" s="2" t="inlineStr">
        <is>
          <t>The blog shows posts dated 26 March 2026 and 28 March 2026, and the footer carries a 2026 copyright.</t>
        </is>
      </c>
      <c r="C133" s="2" t="inlineStr">
        <is>
          <t>https://khansbutchery.online/blog</t>
        </is>
      </c>
      <c r="D133" s="2" t="inlineStr">
        <is>
          <t>2026-09-26</t>
        </is>
      </c>
    </row>
    <row r="134">
      <c r="A134" s="2" t="inlineStr">
        <is>
          <t>Khan's Butchery &amp; MexiKhano's</t>
        </is>
      </c>
      <c r="B134" s="2" t="inlineStr">
        <is>
          <t>The site has its own Order Online page (its menu loads by script and could not be read as plain text), a loyalty page in its menu and a footer saying it is 'Powered by StoreStack', described as loyalty, ordering and POS for South African shops.</t>
        </is>
      </c>
      <c r="C134" s="2" t="inlineStr">
        <is>
          <t>https://khansbutchery.online/order</t>
        </is>
      </c>
      <c r="D134" s="2" t="inlineStr">
        <is>
          <t>2026-09-26</t>
        </is>
      </c>
    </row>
    <row r="135">
      <c r="A135" s="2" t="inlineStr">
        <is>
          <t>Khan's Butchery &amp; MexiKhano's</t>
        </is>
      </c>
      <c r="B135" s="2" t="inlineStr">
        <is>
          <t>The Terms page (last updated 29 May 2026) says the StoreStack loyalty service is operated by Omar Khans Butchery (Pty) Ltd, trading as Khan's Butchery &amp; MexiKhano's.</t>
        </is>
      </c>
      <c r="C135" s="2" t="inlineStr">
        <is>
          <t>https://khansbutchery.online/terms</t>
        </is>
      </c>
      <c r="D135" s="2" t="inlineStr">
        <is>
          <t>2026-09-26</t>
        </is>
      </c>
    </row>
    <row r="136">
      <c r="A136" s="2" t="inlineStr">
        <is>
          <t>Hyde Park Physiotherapy</t>
        </is>
      </c>
      <c r="B136" s="2" t="inlineStr">
        <is>
          <t>Describes itself as a private, one-on-one practice in the Hyde Park Corner Office Tower in Sandton, offering physiotherapy, sports massage and Pilates.</t>
        </is>
      </c>
      <c r="C136" s="2" t="inlineStr">
        <is>
          <t>https://hydeparkphysio.co.za/about/</t>
        </is>
      </c>
      <c r="D136" s="2" t="inlineStr">
        <is>
          <t>2026-09-26</t>
        </is>
      </c>
    </row>
    <row r="137">
      <c r="A137" s="2" t="inlineStr">
        <is>
          <t>Hyde Park Physiotherapy</t>
        </is>
      </c>
      <c r="B137" s="2" t="inlineStr">
        <is>
          <t>Carmen Baier is named on the About page as the physiotherapist who runs the practice, with 15+ years of experience.</t>
        </is>
      </c>
      <c r="C137" s="2" t="inlineStr">
        <is>
          <t>https://hydeparkphysio.co.za/about/</t>
        </is>
      </c>
      <c r="D137" s="2" t="inlineStr">
        <is>
          <t>2026-09-26</t>
        </is>
      </c>
    </row>
    <row r="138">
      <c r="A138" s="2" t="inlineStr">
        <is>
          <t>Hyde Park Physiotherapy</t>
        </is>
      </c>
      <c r="B138" s="2" t="inlineStr">
        <is>
          <t>Offers booking online (real-time availability, up to a month ahead or as late as four hours before), by phone during office hours, or by WhatsApp message or email with preferred times.</t>
        </is>
      </c>
      <c r="C138" s="2" t="inlineStr">
        <is>
          <t>https://hydeparkphysio.co.za/book-your-appointment/</t>
        </is>
      </c>
      <c r="D138" s="2" t="inlineStr">
        <is>
          <t>2026-09-26</t>
        </is>
      </c>
    </row>
    <row r="139">
      <c r="A139" s="2" t="inlineStr">
        <is>
          <t>Hyde Park Physiotherapy</t>
        </is>
      </c>
      <c r="B139" s="2" t="inlineStr">
        <is>
          <t>States a cancellation rule: reschedule or cancel at least 4 business hours before the appointment to avoid a late-cancellation fee, and says it will try to offer the slot to someone else.</t>
        </is>
      </c>
      <c r="C139" s="2" t="inlineStr">
        <is>
          <t>https://hydeparkphysio.co.za/book-your-appointment/</t>
        </is>
      </c>
      <c r="D139" s="2" t="inlineStr">
        <is>
          <t>2026-09-26</t>
        </is>
      </c>
    </row>
    <row r="140">
      <c r="A140" s="2" t="inlineStr">
        <is>
          <t>Hyde Park Physiotherapy</t>
        </is>
      </c>
      <c r="B140" s="2" t="inlineStr">
        <is>
          <t>Publishes one number for phone and WhatsApp, and asks for no WhatsApp calls (messages only).</t>
        </is>
      </c>
      <c r="C140" s="2" t="inlineStr">
        <is>
          <t>https://hydeparkphysio.co.za/contact-us/</t>
        </is>
      </c>
      <c r="D140" s="2" t="inlineStr">
        <is>
          <t>2026-09-26</t>
        </is>
      </c>
    </row>
    <row r="141">
      <c r="A141" s="2" t="inlineStr">
        <is>
          <t>Hyde Park Physiotherapy</t>
        </is>
      </c>
      <c r="B141" s="2" t="inlineStr">
        <is>
          <t>Publishes a practice email address and a Suite 404 street address at Hyde Park Corner on its contact page.</t>
        </is>
      </c>
      <c r="C141" s="2" t="inlineStr">
        <is>
          <t>https://hydeparkphysio.co.za/contact-us/</t>
        </is>
      </c>
      <c r="D141" s="2" t="inlineStr">
        <is>
          <t>2026-09-26</t>
        </is>
      </c>
    </row>
    <row r="142">
      <c r="A142" s="2" t="inlineStr">
        <is>
          <t>Hyde Park Physiotherapy</t>
        </is>
      </c>
      <c r="B142" s="2" t="inlineStr">
        <is>
          <t>States phone office hours as Monday to Friday, 07:30 to 17:00.</t>
        </is>
      </c>
      <c r="C142" s="2" t="inlineStr">
        <is>
          <t>https://hydeparkphysio.co.za/book-your-appointment/</t>
        </is>
      </c>
      <c r="D142" s="2" t="inlineStr">
        <is>
          <t>2026-09-26</t>
        </is>
      </c>
    </row>
    <row r="143">
      <c r="A143" s="2" t="inlineStr">
        <is>
          <t>Hyde Park Physiotherapy</t>
        </is>
      </c>
      <c r="B143" s="2" t="inlineStr">
        <is>
          <t>The practice has a public Setmore booking page showing opening hours, a 4-hour cancellation policy and a 5.0 rating from 85 reviews.</t>
        </is>
      </c>
      <c r="C143" s="2" t="inlineStr">
        <is>
          <t>https://hydeparkphysiosa.setmore.com/</t>
        </is>
      </c>
      <c r="D143" s="2" t="inlineStr">
        <is>
          <t>2026-09-26</t>
        </is>
      </c>
    </row>
    <row r="144">
      <c r="A144" s="2" t="inlineStr">
        <is>
          <t>Shimza</t>
        </is>
      </c>
      <c r="B144" s="2" t="inlineStr">
        <is>
          <t>His official site has a merch shop with T-shirts and a cap priced from R500 to R1,050, with several items marked 'Out of Stock!'; the shop page footer says 2025.</t>
        </is>
      </c>
      <c r="C144" s="2" t="inlineStr">
        <is>
          <t>https://djshimza.com/shop/</t>
        </is>
      </c>
      <c r="D144" s="2" t="inlineStr">
        <is>
          <t>2026-09-26</t>
        </is>
      </c>
    </row>
    <row r="145">
      <c r="A145" s="2" t="inlineStr">
        <is>
          <t>Shimza</t>
        </is>
      </c>
      <c r="B145" s="2" t="inlineStr">
        <is>
          <t>The official site's booking section lists a bookings phone number, an info@ email labelled 'Management', and a separate booking email at Metropole Talent.</t>
        </is>
      </c>
      <c r="C145" s="2" t="inlineStr">
        <is>
          <t>https://djshimza.com</t>
        </is>
      </c>
      <c r="D145" s="2" t="inlineStr">
        <is>
          <t>2026-09-26</t>
        </is>
      </c>
    </row>
    <row r="146">
      <c r="A146" s="2" t="inlineStr">
        <is>
          <t>Shimza</t>
        </is>
      </c>
      <c r="B146" s="2" t="inlineStr">
        <is>
          <t>The Kunye page on HustleSasa describes KUNYE as Shimza's record label and event series (the page is credited 'Brought to you by Gondwana KE' and lists a Nairobi address).</t>
        </is>
      </c>
      <c r="C146" s="2" t="inlineStr">
        <is>
          <t>https://kunye.hustlesasa.shop/</t>
        </is>
      </c>
      <c r="D146" s="2" t="inlineStr">
        <is>
          <t>2026-09-26</t>
        </is>
      </c>
    </row>
    <row r="147">
      <c r="A147" s="2" t="inlineStr">
        <is>
          <t>Shimza</t>
        </is>
      </c>
      <c r="B147" s="2" t="inlineStr">
        <is>
          <t>Howler lists KUNYE | JOZI XI in Johannesburg on 7 November 2026 (12:00 to 22:00, over-18s only, cashless), with Shimza on the line-up.</t>
        </is>
      </c>
      <c r="C147" s="2" t="inlineStr">
        <is>
          <t>https://kunye.howler.co.za/events/kunye-jozi-xi-4221</t>
        </is>
      </c>
      <c r="D147" s="2" t="inlineStr">
        <is>
          <t>2026-09-26</t>
        </is>
      </c>
    </row>
    <row r="148">
      <c r="A148" s="2" t="inlineStr">
        <is>
          <t>Shimza</t>
        </is>
      </c>
      <c r="B148" s="2" t="inlineStr">
        <is>
          <t>Howler's Kunye events page lists two events: KUNYE | JOZI XI (7 November 2026, from R400) and KUNYE New Year's Day in Cape Town (1 to 2 January 2027, from R450).</t>
        </is>
      </c>
      <c r="C148" s="2" t="inlineStr">
        <is>
          <t>https://www.howler.co.za/collections/197</t>
        </is>
      </c>
      <c r="D148" s="2" t="inlineStr">
        <is>
          <t>2026-09-26</t>
        </is>
      </c>
    </row>
    <row r="149">
      <c r="A149" s="2" t="inlineStr">
        <is>
          <t>Shimza</t>
        </is>
      </c>
      <c r="B149" s="2" t="inlineStr">
        <is>
          <t>Ticketing for these events is through Howler, a ticketing platform.</t>
        </is>
      </c>
      <c r="C149" s="2" t="inlineStr">
        <is>
          <t>https://kunye.howler.co.za/events/kunye-jozi-xi-4221</t>
        </is>
      </c>
      <c r="D149" s="2" t="inlineStr">
        <is>
          <t>2026-09-26</t>
        </is>
      </c>
    </row>
    <row r="150">
      <c r="A150" s="2" t="inlineStr">
        <is>
          <t>Shimza</t>
        </is>
      </c>
      <c r="B150" s="2" t="inlineStr">
        <is>
          <t>Beats of Africa carried an article (25 June 2024) titled 'Kunye and Shimza at National Botanical Gardens in Pretoria'; only the title was read.</t>
        </is>
      </c>
      <c r="C150" s="2" t="inlineStr">
        <is>
          <t>https://www.beatsofafrica.net/kunye-and-shimza-present-pretoria-iii-at-national-botanical-gardens/</t>
        </is>
      </c>
      <c r="D150" s="2" t="inlineStr">
        <is>
          <t>2026-09-26</t>
        </is>
      </c>
    </row>
    <row r="151">
      <c r="A151" s="2" t="inlineStr">
        <is>
          <t>Shimza</t>
        </is>
      </c>
      <c r="B151" s="2" t="inlineStr">
        <is>
          <t>Wikipedia lists a Sunset in Pretoria EP released on 19 June 2026, citing a Music In Africa report of 24 June 2026.</t>
        </is>
      </c>
      <c r="C151" s="2" t="inlineStr">
        <is>
          <t>https://en.wikipedia.org/wiki/Shimza</t>
        </is>
      </c>
      <c r="D151" s="2" t="inlineStr">
        <is>
          <t>2026-09-26</t>
        </is>
      </c>
    </row>
    <row r="152">
      <c r="A152" s="2" t="inlineStr">
        <is>
          <t>Shimza</t>
        </is>
      </c>
      <c r="B152" s="2" t="inlineStr">
        <is>
          <t>His own site's events section showed no upcoming events when read (its footer says 2025), so it lags the Howler listings; the site also has a demo-submission section and links to YouTube, Instagram, Facebook, X and SoundCloud.</t>
        </is>
      </c>
      <c r="C152" s="2" t="inlineStr">
        <is>
          <t>https://djshimza.com</t>
        </is>
      </c>
      <c r="D152" s="2" t="inlineStr">
        <is>
          <t>2026-09-26</t>
        </is>
      </c>
    </row>
    <row r="153">
      <c r="A153" s="2" t="inlineStr">
        <is>
          <t>Etchells &amp; Young Property Brokers</t>
        </is>
      </c>
      <c r="B153" s="2" t="inlineStr">
        <is>
          <t>Calls itself a boutique estate agency with 21 years of local expertise, and says rentals and rental management are its core business alongside sales.</t>
        </is>
      </c>
      <c r="C153" s="2" t="inlineStr">
        <is>
          <t>https://www.etchellsandyoung.co.za/</t>
        </is>
      </c>
      <c r="D153" s="2" t="inlineStr">
        <is>
          <t>2026-09-26</t>
        </is>
      </c>
    </row>
    <row r="154">
      <c r="A154" s="2" t="inlineStr">
        <is>
          <t>Etchells &amp; Young Property Brokers</t>
        </is>
      </c>
      <c r="B154" s="2" t="inlineStr">
        <is>
          <t>Lists Randburg, Sandton, Fourways and Roodepoort as the areas it operates in.</t>
        </is>
      </c>
      <c r="C154" s="2" t="inlineStr">
        <is>
          <t>https://www.etchellsandyoung.co.za/</t>
        </is>
      </c>
      <c r="D154" s="2" t="inlineStr">
        <is>
          <t>2026-09-26</t>
        </is>
      </c>
    </row>
    <row r="155">
      <c r="A155" s="2" t="inlineStr">
        <is>
          <t>Etchells &amp; Young Property Brokers</t>
        </is>
      </c>
      <c r="B155" s="2" t="inlineStr">
        <is>
          <t>Its contact page publishes an office at 261 Surrey Ave, Ferndale, an office landline, an online contact form and a WhatsApp link.</t>
        </is>
      </c>
      <c r="C155" s="2" t="inlineStr">
        <is>
          <t>https://www.etchellsandyoung.co.za/contact-us</t>
        </is>
      </c>
      <c r="D155" s="2" t="inlineStr">
        <is>
          <t>2026-09-26</t>
        </is>
      </c>
    </row>
    <row r="156">
      <c r="A156" s="2" t="inlineStr">
        <is>
          <t>Etchells &amp; Young Property Brokers</t>
        </is>
      </c>
      <c r="B156" s="2" t="inlineStr">
        <is>
          <t>Links to Facebook, Instagram, LinkedIn, TikTok, X and YouTube accounts from its website.</t>
        </is>
      </c>
      <c r="C156" s="2" t="inlineStr">
        <is>
          <t>https://www.etchellsandyoung.co.za/</t>
        </is>
      </c>
      <c r="D156" s="2" t="inlineStr">
        <is>
          <t>2026-09-26</t>
        </is>
      </c>
    </row>
    <row r="157">
      <c r="A157" s="2" t="inlineStr">
        <is>
          <t>Etchells &amp; Young Property Brokers</t>
        </is>
      </c>
      <c r="B157" s="2" t="inlineStr">
        <is>
          <t>Its Property24 agency profile says it specialises in sectional title residential rentals, rental management and sales in the greater Randburg and Sandton areas.</t>
        </is>
      </c>
      <c r="C157" s="2" t="inlineStr">
        <is>
          <t>https://www.property24.com/estate-agents/etchells-and-young-property-brokers/9381</t>
        </is>
      </c>
      <c r="D157" s="2" t="inlineStr">
        <is>
          <t>2026-09-26</t>
        </is>
      </c>
    </row>
    <row r="158">
      <c r="A158" s="2" t="inlineStr">
        <is>
          <t>Etchells &amp; Young Property Brokers</t>
        </is>
      </c>
      <c r="B158" s="2" t="inlineStr">
        <is>
          <t>The Property24 profile showed 120 rental listings and 109 sale listings on the retrieval date, and names 23 agents, 8 of them interns.</t>
        </is>
      </c>
      <c r="C158" s="2" t="inlineStr">
        <is>
          <t>https://www.property24.com/estate-agents/etchells-and-young-property-brokers/9381</t>
        </is>
      </c>
      <c r="D158" s="2" t="inlineStr">
        <is>
          <t>2026-09-26</t>
        </is>
      </c>
    </row>
    <row r="159">
      <c r="A159" s="2" t="inlineStr">
        <is>
          <t>Etchells &amp; Young Property Brokers</t>
        </is>
      </c>
      <c r="B159" s="2" t="inlineStr">
        <is>
          <t>States that it is registered with the Property Practitioners Regulatory Authority (PPRA).</t>
        </is>
      </c>
      <c r="C159" s="2" t="inlineStr">
        <is>
          <t>https://www.etchellsandyoung.co.za/contact-us</t>
        </is>
      </c>
      <c r="D159" s="2" t="inlineStr">
        <is>
          <t>2026-09-26</t>
        </is>
      </c>
    </row>
    <row r="160">
      <c r="A160" s="2" t="inlineStr">
        <is>
          <t>Etchells &amp; Young Property Brokers</t>
        </is>
      </c>
      <c r="B160" s="2" t="inlineStr">
        <is>
          <t>Publishes landlord and seller guides on its website.</t>
        </is>
      </c>
      <c r="C160" s="2" t="inlineStr">
        <is>
          <t>https://www.etchellsandyoung.co.za/</t>
        </is>
      </c>
      <c r="D160" s="2" t="inlineStr">
        <is>
          <t>2026-09-26</t>
        </is>
      </c>
    </row>
    <row r="161">
      <c r="A161" s="2" t="inlineStr">
        <is>
          <t>Etchells &amp; Young Property Brokers</t>
        </is>
      </c>
      <c r="B161" s="2" t="inlineStr">
        <is>
          <t>Its own practitioners page lists 19 property practitioners by name (11 full status, 8 interns), with a mix of rentals and sales roles across Randburg, Sandton and Fourways.</t>
        </is>
      </c>
      <c r="C161" s="2" t="inlineStr">
        <is>
          <t>https://www.etchellsandyoung.co.za/our-property-practitioners</t>
        </is>
      </c>
      <c r="D161" s="2" t="inlineStr">
        <is>
          <t>2026-09-26</t>
        </is>
      </c>
    </row>
    <row r="162">
      <c r="A162" s="2" t="inlineStr">
        <is>
          <t>Etchells &amp; Young Property Brokers</t>
        </is>
      </c>
      <c r="B162" s="2" t="inlineStr">
        <is>
          <t>Its company page says Etchells &amp; Young was established in 2005 by Aubrie Etchells and added rentals in 2006.</t>
        </is>
      </c>
      <c r="C162" s="2" t="inlineStr">
        <is>
          <t>https://www.etchellsandyoung.co.za/real-estate-services</t>
        </is>
      </c>
      <c r="D162" s="2" t="inlineStr">
        <is>
          <t>2026-09-26</t>
        </is>
      </c>
    </row>
    <row r="163">
      <c r="A163" s="2" t="inlineStr">
        <is>
          <t>Khuli Chana</t>
        </is>
      </c>
      <c r="B163" s="2" t="inlineStr">
        <is>
          <t>Maftown Heights was co-founded by Khuli Chana and Refiloe Ramogase, and Zkhiphani dates its inception to 2010; it celebrates Mahikeng, the birthplace of Motswako.</t>
        </is>
      </c>
      <c r="C163" s="2" t="inlineStr">
        <is>
          <t>https://www.zkhiphani.co.za/maftown-heights/</t>
        </is>
      </c>
      <c r="D163" s="2" t="inlineStr">
        <is>
          <t>2026-09-26</t>
        </is>
      </c>
    </row>
    <row r="164">
      <c r="A164" s="2" t="inlineStr">
        <is>
          <t>Khuli Chana</t>
        </is>
      </c>
      <c r="B164" s="2" t="inlineStr">
        <is>
          <t>Music In Africa (2 October 2024) reported that Maftown Heights would return on 29 November (2024) at Mary Fitzgerald Square, Newtown, as a 'reunion edition', with Maglera Doe Boy as festival curator alongside co-founder Khuli Chana.</t>
        </is>
      </c>
      <c r="C164" s="2" t="inlineStr">
        <is>
          <t>https://www.musicinafrica.net/magazine/sa-maftown-heights-festival-announces-return-confirmed-date</t>
        </is>
      </c>
      <c r="D164" s="2" t="inlineStr">
        <is>
          <t>2026-09-26</t>
        </is>
      </c>
    </row>
    <row r="165">
      <c r="A165" s="2" t="inlineStr">
        <is>
          <t>Khuli Chana</t>
        </is>
      </c>
      <c r="B165" s="2" t="inlineStr">
        <is>
          <t>The same article says a four-part documentary series, Maftown Heights Untold Stories, premiered in June 2024.</t>
        </is>
      </c>
      <c r="C165" s="2" t="inlineStr">
        <is>
          <t>https://www.musicinafrica.net/magazine/sa-maftown-heights-festival-announces-return-confirmed-date</t>
        </is>
      </c>
      <c r="D165" s="2" t="inlineStr">
        <is>
          <t>2026-09-26</t>
        </is>
      </c>
    </row>
    <row r="166">
      <c r="A166" s="2" t="inlineStr">
        <is>
          <t>Khuli Chana</t>
        </is>
      </c>
      <c r="B166" s="2" t="inlineStr">
        <is>
          <t>LAMag's report on the 2024 edition (6 December 2024) says exclusive festival merchandise was available, mentions food offerings and a Legends Barber pop-up, and says the festival will return 'next year' (no date given).</t>
        </is>
      </c>
      <c r="C166" s="2" t="inlineStr">
        <is>
          <t>https://lamag.africa/2024/12/06/maftown-heights-2024-was-a-spectacular-celebration-of-music-culture-and-community/</t>
        </is>
      </c>
      <c r="D166" s="2" t="inlineStr">
        <is>
          <t>2026-09-26</t>
        </is>
      </c>
    </row>
    <row r="167">
      <c r="A167" s="2" t="inlineStr">
        <is>
          <t>Khuli Chana</t>
        </is>
      </c>
      <c r="B167" s="2" t="inlineStr">
        <is>
          <t>Briefly (27 July 2022) reported that Khuli Chana had opened Khuli Chana Studios, described as a content creation hub for creatives with TV production facilities, sound, live streaming and music production.</t>
        </is>
      </c>
      <c r="C167" s="2" t="inlineStr">
        <is>
          <t>https://briefly.co.za/entertainment/celebrities/133439-khuli-chana-opens-studios-rappers-content-creation-hub-tv-sound-music-production-facilities/</t>
        </is>
      </c>
      <c r="D167" s="2" t="inlineStr">
        <is>
          <t>2026-09-26</t>
        </is>
      </c>
    </row>
    <row r="168">
      <c r="A168" s="2" t="inlineStr">
        <is>
          <t>Khuli Chana</t>
        </is>
      </c>
      <c r="B168" s="2" t="inlineStr">
        <is>
          <t>Texx and the City (1 August 2022) reported the studio in Midrand as a content creation hub offering TV production, podcasting, music production, sound engineering, webinars, conferencing and events.</t>
        </is>
      </c>
      <c r="C168" s="2" t="inlineStr">
        <is>
          <t>https://texxandthecity.com/2022/08/khuli-chana-levels-up-with-the-launch-of-khuli-chana-studios-in-midrand/</t>
        </is>
      </c>
      <c r="D168" s="2" t="inlineStr">
        <is>
          <t>2026-09-26</t>
        </is>
      </c>
    </row>
    <row r="169">
      <c r="A169" s="2" t="inlineStr">
        <is>
          <t>Khuli Chana</t>
        </is>
      </c>
      <c r="B169" s="2" t="inlineStr">
        <is>
          <t>Daily Sun (15 April 2021) reported that he started his own record label, MyThrone, in partnership with Universal Music Group.</t>
        </is>
      </c>
      <c r="C169" s="2" t="inlineStr">
        <is>
          <t>https://www.snl24.com/dailysun/celebs/khuli-chana-launches-label-20210415</t>
        </is>
      </c>
      <c r="D169" s="2" t="inlineStr">
        <is>
          <t>2026-09-26</t>
        </is>
      </c>
    </row>
    <row r="170">
      <c r="A170" s="2" t="inlineStr">
        <is>
          <t>Khuli Chana</t>
        </is>
      </c>
      <c r="B170" s="2" t="inlineStr">
        <is>
          <t>His official YouTube channel's About text gives separate booking and PR/interview email addresses at refram.co.za.</t>
        </is>
      </c>
      <c r="C170" s="2" t="inlineStr">
        <is>
          <t>https://www.youtube.com/@KhuliChana/about</t>
        </is>
      </c>
      <c r="D170" s="2" t="inlineStr">
        <is>
          <t>2026-09-26</t>
        </is>
      </c>
    </row>
    <row r="171">
      <c r="A171" s="2" t="inlineStr">
        <is>
          <t>Khuli Chana</t>
        </is>
      </c>
      <c r="B171" s="2" t="inlineStr">
        <is>
          <t>Golden Thread African Agency lists Khuli Chana on its talent page (footer dated 2026) with a bookings email and phone numbers.</t>
        </is>
      </c>
      <c r="C171" s="2" t="inlineStr">
        <is>
          <t>https://goldenthreadagency.co.za/team-member/khuli-chana/</t>
        </is>
      </c>
      <c r="D171" s="2" t="inlineStr">
        <is>
          <t>2026-09-26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s="13" t="inlineStr">
        <is>
          <t>Human-sent, one-to-one messages only. No bulk sends, no automated DMs, no AI cold calls (POPIA s69).</t>
        </is>
      </c>
    </row>
    <row r="2">
      <c r="A2" s="13" t="inlineStr">
        <is>
          <t>Use only a route the business publishes itself (website form, listed business email or number, public business account) or a warm introduction.</t>
        </is>
      </c>
    </row>
    <row r="3">
      <c r="A3" s="13" t="inlineStr">
        <is>
          <t>Never guess or scrape an email address or a personal number. Public figures: management or booking.</t>
        </is>
      </c>
    </row>
    <row r="4">
      <c r="A4" s="13" t="inlineStr">
        <is>
          <t>Every first message: who we are, why this business (one true observation), the ask (a 20-minute call), an opt-out line.</t>
        </is>
      </c>
    </row>
    <row r="5">
      <c r="A5" s="13" t="inlineStr">
        <is>
          <t>No trial, free-period, pilot, customer-count or results language. FluxMuse has no customers or results yet, say so.</t>
        </is>
      </c>
    </row>
    <row r="6">
      <c r="A6" s="13" t="inlineStr">
        <is>
          <t>If someone says stop, stop, and record it in the Status column as Lost with a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2026-10-01T08:01:27Z</dcterms:created>
  <dcterms:modified xmlns:dcterms="http://purl.org/dc/terms/" xmlns:xsi="http://www.w3.org/2001/XMLSchema-instance" xsi:type="dcterms:W3CDTF">2026-10-01T08:01:27Z</dcterms:modified>
</cp:coreProperties>
</file>